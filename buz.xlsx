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HINECHEREM\Documents\"/>
    </mc:Choice>
  </mc:AlternateContent>
  <xr:revisionPtr revIDLastSave="0" documentId="8_{D2C1114E-8677-4B24-B963-8DF7F9AAFF24}" xr6:coauthVersionLast="47" xr6:coauthVersionMax="47" xr10:uidLastSave="{00000000-0000-0000-0000-000000000000}"/>
  <bookViews>
    <workbookView xWindow="-120" yWindow="-120" windowWidth="20730" windowHeight="11160" firstSheet="1" activeTab="2" xr2:uid="{00000000-000D-0000-FFFF-FFFF00000000}"/>
  </bookViews>
  <sheets>
    <sheet name="dashboard" sheetId="3" r:id="rId1"/>
    <sheet name="Analysis1" sheetId="5" r:id="rId2"/>
    <sheet name=" Dashboards " sheetId="7" r:id="rId3"/>
    <sheet name="Sales Dataset" sheetId="1" r:id="rId4"/>
    <sheet name="Table1" sheetId="6" r:id="rId5"/>
    <sheet name=" Dashboards  (2)" sheetId="8" r:id="rId6"/>
  </sheets>
  <definedNames>
    <definedName name="_xlchart.v5.0" hidden="1">Analysis1!$E$26:$F$26</definedName>
    <definedName name="_xlchart.v5.1" hidden="1">Analysis1!$E$27:$F$32</definedName>
    <definedName name="_xlchart.v5.10" hidden="1">Analysis1!$H$28</definedName>
    <definedName name="_xlchart.v5.11" hidden="1">Analysis1!$H$29:$H$34</definedName>
    <definedName name="_xlchart.v5.2" hidden="1">Analysis1!$H$26</definedName>
    <definedName name="_xlchart.v5.3" hidden="1">Analysis1!$H$27:$H$32</definedName>
    <definedName name="_xlchart.v5.4" hidden="1">Analysis1!$E$28:$F$28</definedName>
    <definedName name="_xlchart.v5.5" hidden="1">Analysis1!$E$29:$F$34</definedName>
    <definedName name="_xlchart.v5.6" hidden="1">Analysis1!$H$28</definedName>
    <definedName name="_xlchart.v5.7" hidden="1">Analysis1!$H$29:$H$34</definedName>
    <definedName name="_xlchart.v5.8" hidden="1">Analysis1!$E$28:$F$28</definedName>
    <definedName name="_xlchart.v5.9" hidden="1">Analysis1!$E$29:$F$34</definedName>
    <definedName name="ExternalData_1" localSheetId="4" hidden="1">Table1!$A$1:$M$1195</definedName>
    <definedName name="Slicer_PaymentMode">#N/A</definedName>
  </definedNames>
  <calcPr calcId="191029"/>
  <pivotCaches>
    <pivotCache cacheId="6"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61012bd8-85ba-4d15-b43e-6ef9dd503f3b"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5" l="1"/>
  <c r="D15" i="5"/>
  <c r="C16" i="5"/>
  <c r="D16" i="5"/>
  <c r="C17" i="5"/>
  <c r="D17" i="5"/>
  <c r="D14" i="5"/>
  <c r="C14" i="5"/>
  <c r="H5" i="5"/>
  <c r="I5" i="5"/>
  <c r="G4" i="5"/>
  <c r="D5" i="5"/>
  <c r="E5" i="5"/>
  <c r="F5" i="5"/>
  <c r="C5" i="5"/>
  <c r="A10" i="5"/>
  <c r="B10" i="5" a="1"/>
  <c r="B10" i="5" s="1"/>
  <c r="A13" i="5" l="1"/>
  <c r="A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946736-73DE-4D9D-A720-619A26F83506}"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77917942-7E90-44BA-BF76-1163057203BE}" name="Query - Table1" description="Connection to the 'Table1' query in the workbook." type="100" refreshedVersion="8" minRefreshableVersion="5">
    <extLst>
      <ext xmlns:x15="http://schemas.microsoft.com/office/spreadsheetml/2010/11/main" uri="{DE250136-89BD-433C-8126-D09CA5730AF9}">
        <x15:connection id="c71cdd9a-bf5e-4843-93c7-738090f35d81"/>
      </ext>
    </extLst>
  </connection>
  <connection id="3" xr16:uid="{33C1E2CA-EDAE-4193-A40F-2039713CFF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<sst xmlns="http://schemas.openxmlformats.org/spreadsheetml/2006/main" count="18013" uniqueCount="1494">
  <si>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</si>
  <si>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</si>
  <si>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</si>
  <si>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</si>
  <si>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</si>
  <si>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</si>
  <si>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</si>
  <si>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</si>
  <si>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</si>
  <si>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</si>
  <si>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</si>
  <si>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</si>
  <si>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</si>
  <si>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</si>
  <si>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</si>
  <si>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</si>
  <si>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</si>
  <si>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</si>
  <si>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</si>
  <si>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</si>
  <si>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</si>
  <si>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</si>
  <si>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</si>
  <si>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</si>
  <si>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</si>
  <si>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</si>
  <si>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</si>
  <si>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</si>
  <si>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</si>
  <si>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</si>
  <si>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</si>
  <si>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</si>
  <si>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</si>
  <si>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</si>
  <si>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</si>
  <si>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</si>
  <si>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</si>
  <si>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</si>
  <si>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</si>
  <si>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</si>
  <si>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</si>
  <si>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</si>
  <si>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</si>
  <si>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</si>
  <si>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</si>
  <si>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</si>
  <si>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</si>
  <si>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</si>
  <si>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</si>
  <si>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</si>
  <si>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</si>
  <si>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</si>
  <si>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</si>
  <si>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</si>
  <si>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</si>
  <si>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</si>
  <si>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</si>
  <si>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</si>
  <si>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</si>
  <si>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</si>
  <si>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</si>
  <si>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</si>
  <si>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</si>
  <si>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</si>
  <si>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</si>
  <si>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</si>
  <si>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</si>
  <si>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</si>
  <si>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</si>
  <si>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</si>
  <si>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</si>
  <si>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</si>
  <si>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</si>
  <si>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</si>
  <si>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</si>
  <si>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</si>
  <si>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</si>
  <si>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</si>
  <si>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</si>
  <si>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</si>
  <si>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</si>
  <si>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</si>
  <si>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</si>
  <si>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</si>
  <si>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</si>
  <si>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</si>
  <si>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</si>
  <si>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</si>
  <si>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</si>
  <si>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</si>
  <si>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</si>
  <si>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</si>
  <si>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</si>
  <si>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</si>
  <si>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</si>
  <si>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</si>
  <si>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</si>
  <si>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</si>
  <si>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</si>
  <si>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</si>
  <si>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</si>
  <si>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</si>
  <si>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</si>
  <si>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</si>
  <si>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</si>
  <si>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</si>
  <si>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</si>
  <si>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</si>
  <si>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</si>
  <si>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</si>
  <si>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</si>
  <si>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</si>
  <si>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</si>
  <si>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</si>
  <si>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</si>
  <si>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</si>
  <si>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</si>
  <si>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</si>
  <si>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</si>
  <si>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</si>
  <si>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</si>
  <si>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</si>
  <si>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</si>
  <si>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</si>
  <si>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</si>
  <si>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</si>
  <si>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</si>
  <si>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</si>
  <si>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</si>
  <si>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</si>
  <si>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</si>
  <si>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</si>
  <si>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</si>
  <si>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</si>
  <si>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</si>
  <si>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</si>
  <si>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</si>
  <si>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</si>
  <si>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</si>
  <si>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</si>
  <si>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</si>
  <si>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</si>
  <si>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</si>
  <si>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</si>
  <si>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</si>
  <si>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</si>
  <si>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</si>
  <si>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</si>
  <si>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</si>
  <si>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</si>
  <si>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</si>
  <si>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</si>
  <si>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</si>
  <si>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</si>
  <si>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</si>
  <si>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</si>
  <si>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</si>
  <si>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</si>
  <si>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</si>
  <si>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</si>
  <si>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</si>
  <si>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</si>
  <si>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</si>
  <si>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</si>
  <si>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</si>
  <si>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</si>
  <si>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</si>
  <si>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</si>
  <si>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</si>
  <si>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</si>
  <si>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</si>
  <si>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</si>
  <si>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</si>
  <si>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</si>
  <si>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</si>
  <si>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</si>
  <si>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</si>
  <si>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</si>
  <si>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</si>
  <si>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</si>
  <si>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</si>
  <si>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</si>
  <si>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</si>
  <si>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</si>
  <si>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</si>
  <si>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</si>
  <si>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</si>
  <si>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</si>
  <si>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</si>
  <si>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</si>
  <si>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</si>
  <si>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</si>
  <si>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</si>
  <si>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</si>
  <si>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</si>
  <si>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</si>
  <si>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</si>
  <si>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</si>
  <si>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</si>
  <si>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</si>
  <si>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</si>
  <si>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</si>
  <si>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</si>
  <si>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</si>
  <si>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</si>
  <si>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</si>
  <si>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</si>
  <si>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</si>
  <si>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</si>
  <si>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</si>
  <si>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</si>
  <si>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</si>
  <si>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</si>
  <si>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</si>
  <si>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</si>
  <si>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</si>
  <si>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</si>
  <si>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</si>
  <si>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</si>
  <si>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</si>
  <si>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</si>
  <si>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</si>
  <si>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</si>
  <si>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</si>
  <si>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</si>
  <si>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</si>
  <si>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</si>
  <si>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</si>
  <si>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</si>
  <si>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</si>
  <si>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</si>
  <si>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</si>
  <si>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</si>
  <si>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</si>
  <si>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</si>
  <si>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</si>
  <si>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</si>
  <si>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</si>
  <si>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</si>
  <si>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</si>
  <si>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</si>
  <si>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</si>
  <si>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</si>
  <si>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</si>
  <si>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</si>
  <si>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</si>
  <si>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</si>
  <si>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</si>
  <si>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</si>
  <si>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</si>
  <si>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</si>
  <si>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</si>
  <si>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</si>
  <si>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</si>
  <si>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</si>
  <si>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</si>
  <si>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</si>
  <si>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</si>
  <si>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</si>
  <si>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</si>
  <si>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</si>
  <si>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</si>
  <si>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</si>
  <si>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</si>
  <si>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</si>
  <si>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</si>
  <si>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</si>
  <si>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</si>
  <si>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</si>
  <si>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</si>
  <si>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</si>
  <si>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</si>
  <si>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</si>
  <si>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</si>
  <si>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</si>
  <si>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</si>
  <si>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</si>
  <si>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</si>
  <si>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</si>
  <si>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</si>
  <si>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</si>
  <si>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</si>
  <si>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</si>
  <si>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</si>
  <si>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</si>
  <si>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</si>
  <si>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</si>
  <si>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</si>
  <si>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</si>
  <si>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</si>
  <si>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</si>
  <si>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</si>
  <si>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</si>
  <si>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</si>
  <si>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</si>
  <si>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</si>
  <si>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</si>
  <si>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</si>
  <si>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</si>
  <si>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</si>
  <si>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</si>
  <si>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</si>
  <si>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</si>
  <si>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</si>
  <si>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</si>
  <si>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</si>
  <si>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</si>
  <si>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</si>
  <si>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</si>
  <si>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</si>
  <si>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</si>
  <si>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</si>
  <si>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</si>
  <si>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</si>
  <si>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</si>
  <si>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</si>
  <si>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</si>
  <si>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</si>
  <si>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</si>
  <si>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</si>
  <si>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</si>
  <si>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</si>
  <si>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</si>
  <si>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</si>
  <si>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</si>
  <si>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</si>
  <si>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</si>
  <si>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</si>
  <si>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</si>
  <si>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</si>
  <si>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</si>
  <si>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</si>
  <si>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</si>
  <si>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</si>
  <si>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</si>
  <si>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</si>
  <si>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</si>
  <si>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</si>
  <si>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</si>
  <si>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</si>
  <si>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</si>
  <si>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</si>
  <si>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</si>
  <si>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</si>
  <si>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</si>
  <si>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</si>
  <si>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</si>
  <si>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</si>
  <si>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</si>
  <si>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</si>
  <si>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</si>
  <si>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</si>
  <si>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</si>
  <si>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</si>
  <si>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</si>
  <si>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</si>
  <si>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</si>
  <si>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</si>
  <si>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</si>
  <si>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</si>
  <si>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</si>
  <si>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</si>
  <si>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</si>
  <si>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</si>
  <si>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</si>
  <si>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</si>
  <si>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</si>
  <si>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</si>
  <si>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</si>
  <si>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</si>
  <si>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</si>
  <si>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</si>
  <si>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</si>
  <si>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</si>
  <si>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</si>
  <si>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</si>
  <si>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</si>
  <si>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</si>
  <si>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</si>
  <si>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</si>
  <si>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</si>
  <si>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</si>
  <si>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</si>
  <si>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</si>
  <si>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</si>
  <si>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</si>
  <si>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</si>
  <si>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</si>
  <si>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</si>
  <si>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</si>
  <si>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</si>
  <si>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</si>
  <si>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</si>
  <si>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</si>
  <si>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</si>
  <si>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</si>
  <si>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</si>
  <si>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</si>
  <si>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</si>
  <si>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</si>
  <si>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</si>
  <si>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</si>
  <si>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</si>
  <si>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</si>
  <si>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</si>
  <si>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</si>
  <si>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</si>
  <si>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</si>
  <si>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</si>
  <si>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</si>
  <si>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</si>
  <si>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</si>
  <si>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</si>
  <si>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</si>
  <si>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</si>
  <si>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</si>
  <si>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</si>
  <si>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</si>
  <si>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</si>
  <si>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</si>
  <si>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</si>
  <si>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</si>
  <si>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</si>
  <si>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</si>
  <si>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</si>
  <si>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</si>
  <si>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</si>
  <si>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</si>
  <si>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</si>
  <si>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</si>
  <si>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</si>
  <si>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</si>
  <si>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</si>
  <si>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</si>
  <si>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</si>
  <si>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</si>
  <si>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</si>
  <si>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</si>
  <si>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</si>
  <si>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</si>
  <si>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</si>
  <si>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</si>
  <si>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</si>
  <si>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</si>
  <si>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</si>
  <si>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</si>
  <si>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</si>
  <si>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</si>
  <si>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</si>
  <si>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</si>
  <si>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</si>
  <si>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</si>
  <si>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</si>
  <si>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</si>
  <si>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</si>
  <si>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</si>
  <si>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</si>
  <si>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</si>
  <si>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</si>
  <si>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</si>
  <si>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</si>
  <si>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</si>
  <si>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</si>
  <si>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</si>
  <si>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</si>
  <si>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</si>
  <si>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</si>
  <si>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</si>
  <si>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</si>
  <si>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</si>
  <si>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</si>
  <si>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</si>
  <si>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</si>
  <si>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</si>
  <si>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</si>
  <si>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</si>
  <si>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</si>
  <si>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</si>
  <si>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</si>
  <si>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</si>
  <si>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</si>
  <si>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</si>
  <si>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</si>
  <si>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</si>
  <si>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</si>
  <si>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</si>
  <si>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</si>
  <si>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</si>
  <si>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</si>
  <si>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</si>
  <si>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</si>
  <si>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</si>
  <si>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</si>
  <si>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</si>
  <si>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</si>
  <si>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</si>
  <si>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</si>
  <si>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</si>
  <si>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</si>
  <si>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</si>
  <si>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</si>
  <si>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</si>
  <si>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</si>
  <si>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</si>
  <si>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</si>
  <si>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</si>
  <si>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</si>
  <si>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</si>
  <si>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</si>
  <si>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</si>
  <si>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</si>
  <si>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</si>
  <si>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</si>
  <si>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</si>
  <si>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</si>
  <si>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</si>
  <si>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</si>
  <si>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</si>
  <si>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</si>
  <si>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</si>
  <si>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</si>
  <si>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</si>
  <si>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</si>
  <si>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</si>
  <si>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</si>
  <si>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</si>
  <si>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</si>
  <si>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</si>
  <si>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</si>
  <si>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</si>
  <si>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</si>
  <si>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</si>
  <si>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</si>
  <si>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</si>
  <si>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</si>
  <si>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</si>
  <si>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</si>
  <si>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</si>
  <si>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</si>
  <si>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</si>
  <si>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</si>
  <si>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</si>
  <si>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</si>
  <si>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</si>
  <si>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</si>
  <si>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</si>
  <si>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</si>
  <si>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</si>
  <si>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</si>
  <si>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</si>
  <si>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</si>
  <si>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</si>
  <si>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</si>
  <si>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</si>
  <si>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</si>
  <si>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</si>
  <si>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</si>
  <si>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</si>
  <si>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</si>
  <si>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</si>
  <si>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</si>
  <si>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</si>
  <si>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</si>
  <si>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</si>
  <si>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</si>
  <si>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</si>
  <si>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</si>
  <si>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</si>
  <si>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</si>
  <si>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</si>
  <si>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</si>
  <si>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</si>
  <si>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</si>
  <si>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</si>
  <si>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</si>
  <si>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</si>
  <si>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</si>
  <si>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</si>
  <si>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</si>
  <si>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</si>
  <si>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</si>
  <si>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</si>
  <si>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</si>
  <si>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</si>
  <si>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</si>
  <si>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</si>
  <si>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</si>
  <si>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</si>
  <si>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</si>
  <si>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</si>
  <si>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</si>
  <si>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</si>
  <si>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</si>
  <si>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</si>
  <si>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</si>
  <si>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</si>
  <si>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</si>
  <si>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</si>
  <si>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</si>
  <si>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</si>
  <si>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</si>
  <si>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</si>
  <si>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</si>
  <si>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</si>
  <si>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</si>
  <si>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</si>
  <si>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</si>
  <si>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</si>
  <si>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</si>
  <si>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</si>
  <si>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</si>
  <si>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</si>
  <si>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</si>
  <si>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</si>
  <si>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</si>
  <si>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</si>
  <si>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</si>
  <si>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</si>
  <si>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</si>
  <si>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</si>
  <si>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</si>
  <si>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</si>
  <si>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</si>
  <si>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</si>
  <si>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</si>
  <si>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</si>
  <si>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</si>
  <si>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</si>
  <si>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</si>
  <si>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</si>
  <si>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</si>
  <si>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</si>
  <si>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</si>
  <si>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</si>
  <si>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</si>
  <si>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</si>
  <si>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</si>
  <si>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</si>
  <si>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</si>
  <si>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</si>
  <si>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</si>
  <si>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</si>
  <si>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</si>
  <si>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</si>
  <si>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</si>
  <si>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</si>
  <si>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</si>
  <si>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</si>
  <si>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</si>
  <si>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</si>
  <si>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</si>
  <si>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</si>
  <si>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</si>
  <si>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</si>
  <si>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</si>
  <si>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</si>
  <si>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</si>
  <si>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</si>
  <si>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</si>
  <si>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</si>
  <si>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</si>
  <si>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</si>
  <si>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</si>
  <si>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</si>
  <si>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</si>
  <si>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</si>
  <si>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</si>
  <si>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</si>
  <si>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</si>
  <si>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</si>
  <si>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</si>
  <si>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</si>
  <si>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</si>
  <si>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</si>
  <si>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</si>
  <si>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</si>
  <si>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</si>
  <si>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</si>
  <si>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</si>
  <si>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</si>
  <si>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</si>
  <si>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</si>
  <si>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</si>
  <si>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</si>
  <si>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</si>
  <si>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</si>
  <si>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</si>
  <si>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</si>
  <si>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</si>
  <si>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</si>
  <si>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</si>
  <si>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</si>
  <si>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</si>
  <si>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</si>
  <si>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</si>
  <si>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</si>
  <si>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</si>
  <si>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</si>
  <si>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</si>
  <si>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</si>
  <si>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</si>
  <si>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</si>
  <si>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</si>
  <si>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</si>
  <si>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</si>
  <si>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</si>
  <si>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</si>
  <si>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</si>
  <si>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</si>
  <si>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</si>
  <si>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</si>
  <si>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</si>
  <si>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</si>
  <si>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</si>
  <si>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</si>
  <si>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</si>
  <si>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</si>
  <si>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</si>
  <si>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</si>
  <si>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</si>
  <si>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</si>
  <si>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</si>
  <si>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</si>
  <si>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</si>
  <si>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</si>
  <si>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</si>
  <si>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</si>
  <si>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</si>
  <si>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</si>
  <si>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</si>
  <si>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</si>
  <si>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</si>
  <si>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</si>
  <si>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</si>
  <si>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</si>
  <si>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</si>
  <si>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</si>
  <si>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</si>
  <si>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</si>
  <si>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</si>
  <si>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</si>
  <si>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</si>
  <si>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</si>
  <si>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</si>
  <si>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</si>
  <si>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</si>
  <si>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</si>
  <si>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</si>
  <si>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</si>
  <si>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</si>
  <si>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</si>
  <si>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</si>
  <si>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</si>
  <si>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</si>
  <si>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</si>
  <si>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</si>
  <si>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</si>
  <si>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</si>
  <si>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</si>
  <si>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</si>
  <si>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</si>
  <si>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</si>
  <si>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</si>
  <si>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</si>
  <si>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</si>
  <si>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</si>
  <si>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</si>
  <si>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</si>
  <si>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</si>
  <si>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</si>
  <si>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</si>
  <si>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</si>
  <si>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</si>
  <si>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</si>
  <si>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</si>
  <si>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</si>
  <si>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</si>
  <si>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</si>
  <si>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</si>
  <si>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</si>
  <si>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</si>
  <si>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</si>
  <si>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</si>
  <si>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</si>
  <si>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</si>
  <si>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</si>
  <si>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</si>
  <si>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</si>
  <si>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</si>
  <si>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</si>
  <si>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</si>
  <si>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</si>
  <si>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</si>
  <si>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</si>
  <si>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</si>
  <si>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</si>
  <si>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</si>
  <si>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</si>
  <si>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</si>
  <si>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</si>
  <si>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</si>
  <si>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</si>
  <si>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</si>
  <si>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</si>
  <si>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</si>
  <si>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</si>
  <si>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</si>
  <si>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</si>
  <si>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</si>
  <si>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</si>
  <si>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</si>
  <si>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</si>
  <si>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</si>
  <si>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</si>
  <si>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</si>
  <si>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</si>
  <si>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</si>
  <si>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</si>
  <si>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</si>
  <si>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</si>
  <si>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</si>
  <si>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</si>
  <si>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</si>
  <si>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</si>
  <si>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</si>
  <si>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</si>
  <si>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</si>
  <si>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</si>
  <si>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</si>
  <si>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</si>
  <si>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</si>
  <si>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</si>
  <si>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</si>
  <si>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</si>
  <si>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</si>
  <si>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</si>
  <si>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</si>
  <si>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</si>
  <si>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</si>
  <si>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</si>
  <si>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</si>
  <si>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</si>
  <si>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</si>
  <si>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</si>
  <si>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</si>
  <si>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</si>
  <si>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</si>
  <si>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</si>
  <si>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</si>
  <si>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</si>
  <si>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</si>
  <si>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</si>
  <si>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</si>
  <si>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</si>
  <si>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</si>
  <si>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</si>
  <si>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</si>
  <si>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</si>
  <si>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</si>
  <si>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</si>
  <si>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</si>
  <si>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</si>
  <si>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</si>
  <si>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</si>
  <si>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</si>
  <si>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</si>
  <si>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</si>
  <si>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</si>
  <si>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</si>
  <si>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</si>
  <si>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</si>
  <si>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</si>
  <si>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</si>
  <si>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</si>
  <si>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</si>
  <si>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</si>
  <si>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</si>
  <si>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</si>
  <si>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</si>
  <si>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</si>
  <si>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</si>
  <si>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</si>
  <si>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</si>
  <si>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</si>
  <si>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</si>
  <si>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</si>
  <si>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</si>
  <si>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</si>
  <si>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</si>
  <si>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</si>
  <si>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</si>
  <si>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</si>
  <si>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</si>
  <si>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</si>
  <si>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</si>
  <si>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</si>
  <si>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</si>
  <si>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</si>
  <si>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</si>
  <si>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</si>
  <si>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</si>
  <si>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</si>
  <si>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</si>
  <si>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</si>
  <si>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</si>
  <si>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</si>
  <si>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</si>
  <si>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</si>
  <si>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</si>
  <si>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</si>
  <si>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</si>
  <si>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</si>
  <si>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</si>
  <si>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</si>
  <si>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</si>
  <si>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</si>
  <si>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</si>
  <si>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</si>
  <si>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</si>
  <si>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</si>
  <si>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</si>
  <si>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</si>
  <si>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</si>
  <si>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</si>
  <si>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</si>
  <si>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</si>
  <si>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</si>
  <si>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</si>
  <si>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</si>
  <si>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</si>
  <si>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</si>
  <si>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</si>
  <si>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</si>
  <si>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</si>
  <si>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</si>
  <si>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</si>
  <si>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</si>
  <si>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</si>
  <si>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</si>
  <si>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</si>
  <si>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</si>
  <si>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</si>
  <si>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</si>
  <si>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</si>
  <si>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</si>
  <si>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</si>
  <si>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</si>
  <si>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</si>
  <si>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</si>
  <si>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</si>
  <si>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</si>
  <si>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</si>
  <si>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</si>
  <si>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</si>
  <si>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</si>
  <si>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</si>
  <si>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</si>
  <si>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</si>
  <si>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</si>
  <si>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</si>
  <si>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</si>
  <si>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</si>
  <si>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</si>
  <si>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</si>
  <si>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</si>
  <si>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</si>
  <si>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</si>
  <si>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</si>
  <si>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</si>
  <si>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</si>
  <si>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</si>
  <si>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</si>
  <si>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</si>
  <si>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</si>
  <si>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</si>
  <si>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</si>
  <si>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</si>
  <si>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</si>
  <si>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</si>
  <si>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</si>
  <si>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</si>
  <si>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</si>
  <si>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</si>
  <si>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</si>
  <si>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</si>
  <si>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</si>
  <si>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</si>
  <si>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</si>
  <si>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</si>
  <si>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</si>
  <si>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</si>
  <si>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</si>
  <si>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</si>
  <si>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</si>
  <si>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</si>
  <si>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</si>
  <si>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</si>
  <si>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</si>
  <si>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</si>
  <si>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</si>
  <si>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</si>
  <si>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</si>
  <si>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</si>
  <si>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</si>
  <si>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</si>
  <si>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</si>
  <si>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</si>
  <si>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</si>
  <si>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</si>
  <si>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</si>
  <si>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</si>
  <si>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</si>
  <si>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</si>
  <si>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</si>
  <si>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</si>
  <si>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</si>
  <si>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</si>
  <si>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</si>
  <si>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</si>
  <si>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</si>
  <si>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</si>
  <si>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</si>
  <si>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</si>
  <si>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</si>
  <si>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</si>
  <si>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</si>
  <si>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</si>
  <si>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</si>
  <si>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</si>
  <si>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</si>
  <si>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</si>
  <si>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</si>
  <si>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</si>
  <si>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</si>
  <si>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</si>
  <si>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</si>
  <si>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</si>
  <si>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</si>
  <si>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</si>
  <si>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</si>
  <si>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</si>
  <si>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</si>
  <si>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</si>
  <si>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</si>
  <si>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</si>
  <si>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</si>
  <si>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</si>
  <si>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</si>
  <si>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</si>
  <si>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</si>
  <si>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</si>
  <si>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</si>
  <si>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</si>
  <si>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</si>
  <si>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</si>
  <si>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</si>
  <si>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</si>
  <si>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</si>
  <si>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</si>
  <si>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</si>
  <si>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</si>
  <si>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</si>
  <si>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</si>
  <si>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</si>
  <si>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</si>
  <si>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</si>
  <si>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</si>
  <si>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</si>
  <si>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</si>
  <si>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</si>
  <si>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</si>
  <si>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</si>
  <si>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</si>
  <si>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</si>
  <si>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</si>
  <si>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</si>
  <si>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</si>
  <si>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</si>
  <si>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</si>
  <si>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</si>
  <si>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</si>
  <si>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</si>
  <si>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</si>
  <si>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</si>
  <si>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</si>
  <si>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</si>
  <si>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</si>
  <si>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</si>
  <si>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</si>
  <si>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</si>
  <si>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</si>
  <si>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</si>
  <si>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</si>
  <si>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</si>
  <si>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</si>
  <si>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</si>
  <si>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</si>
  <si>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</si>
  <si>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</si>
  <si>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</si>
  <si>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</si>
  <si>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</si>
  <si>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</si>
  <si>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</si>
  <si>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</si>
  <si>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</si>
  <si>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</si>
  <si>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</si>
  <si>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</si>
  <si>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</si>
  <si>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</si>
  <si>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</si>
  <si>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</si>
  <si>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</si>
  <si>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</si>
  <si>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</si>
  <si>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</si>
  <si>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</si>
  <si>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</si>
  <si>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</si>
  <si>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</si>
  <si>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</si>
  <si>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</si>
  <si>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</si>
  <si>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</si>
  <si>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</si>
  <si>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</si>
  <si>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</si>
  <si>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</si>
  <si>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</si>
  <si>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</si>
  <si>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</si>
  <si>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</si>
  <si>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</si>
  <si>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</si>
  <si>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</si>
  <si>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</si>
  <si>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</si>
  <si>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</si>
  <si>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</si>
  <si>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</si>
  <si>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</si>
  <si>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</si>
  <si>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</si>
  <si>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</si>
  <si>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</si>
  <si>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</si>
  <si>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</si>
  <si>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</si>
  <si>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</si>
  <si>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</si>
  <si>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</si>
  <si>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</si>
  <si>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</si>
  <si>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</si>
  <si>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</si>
  <si>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</si>
  <si>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</si>
  <si>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</si>
  <si>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</si>
  <si>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</si>
  <si>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</si>
  <si>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</si>
  <si>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</si>
  <si>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</si>
  <si>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</si>
  <si>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</si>
  <si>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</si>
  <si>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</si>
  <si>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</si>
  <si>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</si>
  <si>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</si>
  <si>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</si>
  <si>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</si>
  <si>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</si>
  <si>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</si>
  <si>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</si>
  <si>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</si>
  <si>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</si>
  <si>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</si>
  <si>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</si>
  <si>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</si>
  <si>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</si>
  <si>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</si>
  <si>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</si>
  <si>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</si>
  <si>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</si>
  <si>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</si>
  <si>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</si>
  <si>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</si>
  <si>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</si>
  <si>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</si>
  <si>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</si>
  <si>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</si>
  <si>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</si>
  <si>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</si>
  <si>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</si>
  <si>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</si>
  <si>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</si>
  <si>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</si>
  <si>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</si>
  <si>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</si>
  <si>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</si>
  <si>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</si>
  <si>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</si>
  <si>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</si>
  <si>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</si>
  <si>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</si>
  <si>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</si>
  <si>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</si>
  <si>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</si>
  <si>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</si>
  <si>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</si>
  <si>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</si>
  <si>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</si>
  <si>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</si>
  <si>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</si>
  <si>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</si>
  <si>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</si>
  <si>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</si>
  <si>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</si>
  <si>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</si>
  <si>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</si>
  <si>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</si>
  <si>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</si>
  <si>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</si>
  <si>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</si>
  <si>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</si>
  <si>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</si>
  <si>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</si>
  <si>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</si>
  <si>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</si>
  <si>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</si>
  <si>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</si>
  <si>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</si>
  <si>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</si>
  <si>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</si>
  <si>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</si>
  <si>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</si>
  <si>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</si>
  <si>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</si>
  <si>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</si>
  <si>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</si>
  <si>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</si>
  <si>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</si>
  <si>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</si>
  <si>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</si>
  <si>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</si>
  <si>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</si>
  <si>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</si>
  <si>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</si>
  <si>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</si>
  <si>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</si>
  <si>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</si>
  <si>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</si>
  <si>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</si>
  <si>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</si>
  <si>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</si>
  <si>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</si>
  <si>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</si>
  <si>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</si>
  <si>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</si>
  <si>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</si>
  <si>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</si>
  <si>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</si>
  <si>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</si>
  <si>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</si>
  <si>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</si>
  <si>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</si>
  <si>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</si>
  <si>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</si>
  <si>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</si>
  <si>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</si>
  <si>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</si>
  <si>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</si>
  <si>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</si>
  <si>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</si>
  <si>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</si>
  <si>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</si>
  <si>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</si>
  <si>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</si>
  <si>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</si>
  <si>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</si>
  <si>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</si>
  <si>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</si>
  <si>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</si>
  <si>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</si>
  <si>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</si>
  <si>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</si>
  <si>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</si>
  <si>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</si>
  <si>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</si>
  <si>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</si>
  <si>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</si>
  <si>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</si>
  <si>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</si>
  <si>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</si>
  <si>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</si>
  <si>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</si>
  <si>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</si>
  <si>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</si>
  <si>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</si>
  <si>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</si>
  <si>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</si>
  <si>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</si>
  <si>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</si>
  <si>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</si>
  <si>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</si>
  <si>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</si>
  <si>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</si>
  <si>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</si>
  <si>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</si>
  <si>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</si>
  <si>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</si>
  <si>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</si>
  <si>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</si>
  <si>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</si>
  <si>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</si>
  <si>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</si>
  <si>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</si>
  <si>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</si>
  <si>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</si>
  <si>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</si>
  <si>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</si>
  <si>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</si>
  <si>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</si>
  <si>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</si>
  <si>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</si>
  <si>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</si>
  <si>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</si>
  <si>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</si>
  <si>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</si>
  <si>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</si>
  <si>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</si>
  <si>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</si>
  <si>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</si>
  <si>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</si>
  <si>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</si>
  <si>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</si>
  <si>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</si>
  <si>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</si>
  <si>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</si>
  <si>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</si>
  <si>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</si>
  <si>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</si>
  <si>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</si>
  <si>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</si>
  <si>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</si>
  <si>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</si>
  <si>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</si>
  <si>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</si>
  <si>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</si>
  <si>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</si>
  <si>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</si>
  <si>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</si>
  <si>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</si>
  <si>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</si>
  <si>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</si>
  <si>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</si>
  <si>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</si>
  <si>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</si>
  <si>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</si>
  <si>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</si>
  <si>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</si>
  <si>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</si>
  <si>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</si>
  <si>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</si>
  <si>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</si>
  <si>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</si>
  <si>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</si>
  <si>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</si>
  <si>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</si>
  <si>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</si>
  <si>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</si>
  <si>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</si>
  <si>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</si>
  <si>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</si>
  <si>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</si>
  <si>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</si>
  <si>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</si>
  <si>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</si>
  <si>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</si>
  <si>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</si>
  <si>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</si>
  <si>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</si>
  <si>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</si>
  <si>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</si>
  <si>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</si>
  <si>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</si>
  <si>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</si>
  <si>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</si>
  <si>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</si>
  <si>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</si>
  <si>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</si>
  <si>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</si>
  <si>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</si>
  <si>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</si>
  <si>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</si>
  <si>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</si>
  <si>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</si>
  <si>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</si>
  <si>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</si>
  <si>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</si>
  <si>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</si>
  <si>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</si>
  <si>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</si>
  <si>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</si>
  <si>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</si>
  <si>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</si>
  <si>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</si>
  <si>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</si>
  <si>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</si>
  <si>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</si>
  <si>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</si>
  <si>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</si>
  <si>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</si>
  <si>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</si>
  <si>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</si>
  <si>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</si>
  <si>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</si>
  <si>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</si>
  <si>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</si>
  <si>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</si>
  <si>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</si>
  <si>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</si>
  <si>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</si>
  <si>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</si>
  <si>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</si>
  <si>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</si>
  <si>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</si>
  <si>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</si>
  <si>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</si>
  <si>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</si>
  <si>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</si>
  <si>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</si>
  <si>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</si>
  <si>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</si>
  <si>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</si>
  <si>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</si>
  <si>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</si>
  <si>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</si>
  <si>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</si>
  <si>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</si>
  <si>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</si>
  <si>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</si>
  <si>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</si>
  <si>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</si>
  <si>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</si>
  <si>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</si>
  <si>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</si>
  <si>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</si>
  <si>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</si>
  <si>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</si>
  <si>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</si>
  <si>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</si>
  <si>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</si>
  <si>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</si>
  <si>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</si>
  <si>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</si>
  <si>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</si>
  <si>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</si>
  <si>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</si>
  <si>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</si>
  <si>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</si>
  <si>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</si>
  <si>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</si>
  <si>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Sum of Profit</t>
  </si>
  <si>
    <t>Sum of Quantity</t>
  </si>
  <si>
    <t>Grand Total</t>
  </si>
  <si>
    <t>Sum of Amount</t>
  </si>
  <si>
    <t>Total Price</t>
  </si>
  <si>
    <t>Catergories</t>
  </si>
  <si>
    <t>Sub-Catergories</t>
  </si>
  <si>
    <t>Payment method</t>
  </si>
  <si>
    <t>Top customer</t>
  </si>
  <si>
    <t>Top -5 customers</t>
  </si>
  <si>
    <t>Year</t>
  </si>
  <si>
    <t>yearly</t>
  </si>
  <si>
    <t>state</t>
  </si>
  <si>
    <t>Column Labels</t>
  </si>
  <si>
    <t>,</t>
  </si>
  <si>
    <t>USA</t>
  </si>
  <si>
    <t>Total price</t>
  </si>
  <si>
    <t>florida</t>
  </si>
  <si>
    <t>illinois</t>
  </si>
  <si>
    <t>New york</t>
  </si>
  <si>
    <t>ohio</t>
  </si>
  <si>
    <t>Country</t>
  </si>
  <si>
    <t>Electronics perct</t>
  </si>
  <si>
    <t>Total revenue</t>
  </si>
  <si>
    <t>profit %</t>
  </si>
  <si>
    <t>z</t>
  </si>
  <si>
    <t>Toal Orders</t>
  </si>
  <si>
    <t>average items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</si>
</sst>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_ ;_-[$$-409]* \-#,##0\ ;_-[$$-409]* &quot;-&quot;??_ ;_-@_ "/>
    <numFmt numFmtId="165" formatCode="[$$-1009]#,##0"/>
    <numFmt numFmtId="168" formatCode="0.0%"/>
  </numFmts>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A484E4"/>
        <bgColor indexed="64"/>
      </patternFill>
    </fill>
    <fill>
      <patternFill patternType="solid">
        <fgColor theme="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2" fontId="0" fillId="0" borderId="0" xfId="0" applyNumberFormat="1"/>
    <xf numFmtId="165" fontId="0" fillId="0" borderId="0" xfId="0" applyNumberFormat="1"/>
    <xf numFmtId="0" fontId="0" fillId="0" borderId="0" xfId="0" applyAlignment="1">
      <alignment horizontal="right"/>
    </xf>
    <xf numFmtId="164" fontId="0" fillId="0" borderId="0" xfId="0" applyNumberFormat="1" applyAlignment="1">
      <alignment horizontal="right"/>
    </xf>
    <xf numFmtId="0" fontId="0" fillId="34" borderId="0" xfId="0" applyFill="1"/>
    <xf numFmtId="49" fontId="0" fillId="0" borderId="0" xfId="0" applyNumberFormat="1"/>
    <xf numFmtId="0" fontId="16" fillId="33" borderId="0" xfId="0" applyFont="1" applyFill="1" applyBorder="1"/>
    <xf numFmtId="0" fontId="0" fillId="0" borderId="10" xfId="0" applyBorder="1"/>
    <xf numFmtId="0" fontId="0" fillId="0" borderId="12" xfId="0" applyBorder="1"/>
    <xf numFmtId="165" fontId="0" fillId="0" borderId="13" xfId="0" applyNumberFormat="1" applyBorder="1"/>
    <xf numFmtId="165" fontId="0" fillId="0" borderId="0" xfId="0" applyNumberFormat="1" applyBorder="1" applyAlignment="1">
      <alignment horizontal="left"/>
    </xf>
    <xf numFmtId="165" fontId="0" fillId="0" borderId="0" xfId="0" applyNumberFormat="1" applyBorder="1"/>
    <xf numFmtId="165" fontId="0" fillId="33" borderId="11" xfId="0" applyNumberFormat="1" applyFill="1" applyBorder="1"/>
    <xf numFmtId="9" fontId="0" fillId="0" borderId="0" xfId="42" applyFont="1"/>
    <xf numFmtId="168" fontId="0" fillId="0" borderId="0" xfId="42" applyNumberFormat="1" applyFont="1"/>
    <xf numFmtId="9" fontId="0" fillId="0" borderId="0" xfId="0" applyNumberFormat="1"/>
    <xf numFmtId="168" fontId="0" fillId="0" borderId="0" xfId="0" applyNumberFormat="1"/>
    <xf numFmtId="0" fontId="0" fillId="35" borderId="0" xfId="0" applyFill="1"/>
    <xf numFmtId="164" fontId="0" fillId="35" borderId="0" xfId="0" applyNumberFormat="1" applyFill="1"/>
    <xf numFmtId="0" fontId="0" fillId="0" borderId="0" xfId="0" applyNumberForma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7">
    <dxf>
      <font>
        <color theme="0"/>
      </font>
      <fill>
        <patternFill>
          <bgColor theme="1"/>
        </patternFill>
      </fill>
      <border diagonalUp="0" diagonalDown="0">
        <left/>
        <right/>
        <top/>
        <bottom/>
        <vertical/>
        <horizontal/>
      </border>
    </dxf>
    <dxf>
      <font>
        <color theme="0"/>
      </font>
      <fill>
        <patternFill>
          <bgColor theme="1" tint="4.9989318521683403E-2"/>
        </patternFill>
      </fill>
      <border diagonalUp="0" diagonalDown="0">
        <left/>
        <right/>
        <top/>
        <bottom/>
        <vertical/>
        <horizontal/>
      </border>
    </dxf>
    <dxf>
      <font>
        <color theme="0"/>
      </font>
      <fill>
        <patternFill>
          <bgColor theme="1"/>
        </patternFill>
      </fill>
      <border diagonalUp="0" diagonalDown="0">
        <left/>
        <right/>
        <top/>
        <bottom/>
        <vertical/>
        <horizontal/>
      </border>
    </dxf>
    <dxf>
      <font>
        <color rgb="FF7B1290"/>
      </font>
      <fill>
        <patternFill>
          <bgColor theme="1" tint="4.9989318521683403E-2"/>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65" formatCode="[$$-1009]#,##0"/>
    </dxf>
    <dxf>
      <numFmt numFmtId="165" formatCode="[$$-1009]#,##0"/>
      <alignment horizontal="left" vertical="bottom" textRotation="0" wrapText="0" indent="0" justifyLastLine="0" shrinkToFit="0" readingOrder="0"/>
    </dxf>
    <dxf>
      <numFmt numFmtId="165" formatCode="[$$-1009]#,##0"/>
      <alignment horizontal="left" vertical="bottom" textRotation="0" wrapText="0" indent="0" justifyLastLine="0" shrinkToFit="0" readingOrder="0"/>
    </dxf>
    <dxf>
      <numFmt numFmtId="165" formatCode="[$$-1009]#,##0"/>
    </dxf>
    <dxf>
      <numFmt numFmtId="165" formatCode="[$$-1009]#,##0"/>
    </dxf>
    <dxf>
      <border diagonalUp="0" diagonalDown="0">
        <left/>
        <right/>
        <top style="thin">
          <color theme="4" tint="0.39997558519241921"/>
        </top>
        <bottom style="thin">
          <color theme="4" tint="0.39997558519241921"/>
        </bottom>
      </border>
    </dxf>
    <dxf>
      <numFmt numFmtId="19" formatCode="d/m/yyyy"/>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30" formatCode="@"/>
    </dxf>
    <dxf>
      <numFmt numFmtId="166" formatCode="dd/mm/yyyy"/>
    </dxf>
    <dxf>
      <numFmt numFmtId="164" formatCode="_-[$$-409]* #,##0_ ;_-[$$-409]* \-#,##0\ ;_-[$$-409]* &quot;-&quot;??_ ;_-@_ "/>
    </dxf>
    <dxf>
      <numFmt numFmtId="164" formatCode="_-[$$-409]* #,##0_ ;_-[$$-409]* \-#,##0\ ;_-[$$-409]* &quot;-&quot;??_ ;_-@_ "/>
    </dxf>
    <dxf>
      <numFmt numFmtId="165" formatCode="[$$-1009]#,##0"/>
    </dxf>
    <dxf>
      <alignment horizontal="right"/>
    </dxf>
  </dxfs>
  <tableStyles count="3" defaultTableStyle="TableStyleMedium2" defaultPivotStyle="PivotStyleLight16">
    <tableStyle name="SlicerStyleDark1 2" pivot="0" table="0" count="10" xr9:uid="{0E470861-7324-40CC-BF99-B069A12E3ED2}">
      <tableStyleElement type="wholeTable" dxfId="5"/>
      <tableStyleElement type="headerRow" dxfId="4"/>
    </tableStyle>
    <tableStyle name="SlicerStyleOther2 2" pivot="0" table="0" count="10" xr9:uid="{3A3C1A9A-61FC-4BE0-A93B-B4E9F337A8FF}">
      <tableStyleElement type="wholeTable" dxfId="1"/>
      <tableStyleElement type="headerRow" dxfId="0"/>
    </tableStyle>
    <tableStyle name="SlicerStyleOther2 2 2" pivot="0" table="0" count="10" xr9:uid="{2B21E146-4D71-46B3-B24F-B8AC80782859}">
      <tableStyleElement type="wholeTable" dxfId="3"/>
      <tableStyleElement type="headerRow" dxfId="2"/>
    </tableStyle>
  </tableStyles>
  <colors>
    <mruColors>
      <color rgb="FF682AC4"/>
      <color rgb="FFC938E6"/>
      <color rgb="FFA484E4"/>
      <color rgb="FF7B1290"/>
      <color rgb="FFCC66FF"/>
    </mruColors>
  </color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diagonalUp="0" diagonalDown="0">
            <left/>
            <right/>
            <top/>
            <bottom/>
            <vertical/>
            <horizontal/>
          </border>
        </dxf>
        <dxf>
          <font>
            <color theme="0"/>
          </font>
          <fill>
            <patternFill patternType="solid">
              <fgColor auto="1"/>
              <bgColor rgb="FF7030A0"/>
            </patternFill>
          </fill>
          <border diagonalUp="0" diagonalDown="0">
            <left/>
            <right/>
            <top/>
            <bottom/>
            <vertical/>
            <horizontal/>
          </border>
        </dxf>
        <dxf>
          <font>
            <color theme="0" tint="-4.9989318521683403E-2"/>
          </font>
          <fill>
            <patternFill patternType="solid">
              <fgColor auto="1"/>
              <bgColor theme="0" tint="-4.9989318521683403E-2"/>
            </patternFill>
          </fill>
          <border diagonalUp="0" diagonalDown="0">
            <left/>
            <right/>
            <top/>
            <bottom/>
            <vertical/>
            <horizontal/>
          </border>
        </dxf>
        <dxf>
          <font>
            <color theme="0"/>
          </font>
          <fill>
            <patternFill patternType="solid">
              <fgColor auto="1"/>
              <bgColor rgb="FFCC66FF"/>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patternFill>
          </fill>
          <border diagonalUp="0" diagonalDown="0">
            <left/>
            <right/>
            <top/>
            <bottom/>
            <vertical/>
            <horizontal/>
          </border>
        </dxf>
        <dxf>
          <font>
            <color theme="0"/>
          </font>
          <fill>
            <patternFill patternType="solid">
              <fgColor auto="1"/>
              <bgColor theme="0"/>
            </patternFill>
          </fill>
          <border diagonalUp="0" diagonalDown="0">
            <left/>
            <right/>
            <top/>
            <bottom/>
            <vertical/>
            <horizontal/>
          </border>
        </dxf>
        <dxf>
          <font>
            <color theme="0" tint="-4.9989318521683403E-2"/>
          </font>
          <fill>
            <patternFill patternType="solid">
              <fgColor auto="1"/>
              <bgColor rgb="FF7030A0"/>
            </patternFill>
          </fill>
          <border diagonalUp="0" diagonalDown="0">
            <left/>
            <right/>
            <top/>
            <bottom/>
            <vertical/>
            <horizontal/>
          </border>
        </dxf>
        <dxf>
          <font>
            <color rgb="FF682AC4"/>
          </font>
          <fill>
            <patternFill patternType="solid">
              <fgColor auto="1"/>
              <bgColor rgb="FF7030A0"/>
            </patternFill>
          </fill>
          <border diagonalUp="0" diagonalDown="0">
            <left/>
            <right/>
            <top/>
            <bottom/>
            <vertical/>
            <horizontal/>
          </border>
        </dxf>
        <dxf>
          <font>
            <color theme="0"/>
          </font>
          <fill>
            <patternFill patternType="solid">
              <fgColor auto="1"/>
              <bgColor rgb="FF7030A0"/>
            </patternFill>
          </fill>
          <border diagonalUp="0" diagonalDown="0">
            <left/>
            <right/>
            <top/>
            <bottom/>
            <vertical/>
            <horizontal/>
          </border>
        </dxf>
        <dxf>
          <font>
            <color theme="0"/>
          </font>
          <fill>
            <patternFill patternType="solid">
              <fgColor auto="1"/>
              <bgColor rgb="FFCC66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smooth val="1"/>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EF2-4A61-A94B-20AF94B2FA81}"/>
            </c:ext>
          </c:extLst>
        </c:ser>
        <c:dLbls>
          <c:dLblPos val="t"/>
          <c:showLegendKey val="0"/>
          <c:showVal val="1"/>
          <c:showCatName val="0"/>
          <c:showSerName val="0"/>
          <c:showPercent val="0"/>
          <c:showBubbleSize val="0"/>
        </c:dLbls>
        <c:smooth val="0"/>
        <c:axId val="275521280"/>
        <c:axId val="275520496"/>
      </c:lineChart>
      <c:catAx>
        <c:axId val="27552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520496"/>
        <c:crosses val="autoZero"/>
        <c:auto val="1"/>
        <c:lblAlgn val="ctr"/>
        <c:lblOffset val="100"/>
        <c:noMultiLvlLbl val="0"/>
      </c:catAx>
      <c:valAx>
        <c:axId val="275520496"/>
        <c:scaling>
          <c:orientation val="minMax"/>
        </c:scaling>
        <c:delete val="1"/>
        <c:axPos val="l"/>
        <c:numFmt formatCode="General" sourceLinked="1"/>
        <c:majorTickMark val="none"/>
        <c:minorTickMark val="none"/>
        <c:tickLblPos val="nextTo"/>
        <c:crossAx val="27552128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803368328958884E-2"/>
          <c:y val="0.19486111111111112"/>
          <c:w val="0.95419663167104107"/>
          <c:h val="0.67003098571011954"/>
        </c:manualLayout>
      </c:layout>
      <c:barChart>
        <c:barDir val="col"/>
        <c:grouping val="clustered"/>
        <c:varyColors val="0"/>
        <c:dLbls>
          <c:dLblPos val="outEnd"/>
          <c:showLegendKey val="0"/>
          <c:showVal val="1"/>
          <c:showCatName val="0"/>
          <c:showSerName val="0"/>
          <c:showPercent val="0"/>
          <c:showBubbleSize val="0"/>
        </c:dLbls>
        <c:gapWidth val="219"/>
        <c:overlap val="-27"/>
        <c:axId val="275525200"/>
        <c:axId val="275525592"/>
      </c:barChart>
      <c:catAx>
        <c:axId val="27552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525592"/>
        <c:crosses val="autoZero"/>
        <c:auto val="1"/>
        <c:lblAlgn val="ctr"/>
        <c:lblOffset val="100"/>
        <c:noMultiLvlLbl val="0"/>
      </c:catAx>
      <c:valAx>
        <c:axId val="275525592"/>
        <c:scaling>
          <c:orientation val="minMax"/>
        </c:scaling>
        <c:delete val="1"/>
        <c:axPos val="l"/>
        <c:numFmt formatCode="General" sourceLinked="1"/>
        <c:majorTickMark val="none"/>
        <c:minorTickMark val="none"/>
        <c:tickLblPos val="nextTo"/>
        <c:crossAx val="275525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38E6"/>
          </a:solidFill>
          <a:ln>
            <a:noFill/>
          </a:ln>
          <a:effectLst/>
        </c:spPr>
      </c:pivotFmt>
    </c:pivotFmts>
    <c:plotArea>
      <c:layout>
        <c:manualLayout>
          <c:layoutTarget val="inner"/>
          <c:xMode val="edge"/>
          <c:yMode val="edge"/>
          <c:x val="2.542376928706944E-2"/>
          <c:y val="0.10126989696132316"/>
          <c:w val="0.97457623071293054"/>
          <c:h val="0.46668749574115503"/>
        </c:manualLayout>
      </c:layout>
      <c:barChart>
        <c:barDir val="col"/>
        <c:grouping val="clustered"/>
        <c:varyColors val="0"/>
        <c:ser>
          <c:idx val="0"/>
          <c:order val="0"/>
          <c:tx>
            <c:strRef>
              <c:f>Analysis1!$F$9</c:f>
              <c:strCache>
                <c:ptCount val="1"/>
                <c:pt idx="0">
                  <c:v>Total</c:v>
                </c:pt>
              </c:strCache>
            </c:strRef>
          </c:tx>
          <c:spPr>
            <a:solidFill>
              <a:srgbClr val="682AC4"/>
            </a:solidFill>
            <a:ln>
              <a:noFill/>
            </a:ln>
            <a:effectLst/>
          </c:spPr>
          <c:invertIfNegative val="0"/>
          <c:dPt>
            <c:idx val="4"/>
            <c:invertIfNegative val="0"/>
            <c:bubble3D val="0"/>
            <c:spPr>
              <a:solidFill>
                <a:srgbClr val="C938E6"/>
              </a:solidFill>
              <a:ln>
                <a:noFill/>
              </a:ln>
              <a:effectLst/>
            </c:spPr>
            <c:extLst>
              <c:ext xmlns:c16="http://schemas.microsoft.com/office/drawing/2014/chart" uri="{C3380CC4-5D6E-409C-BE32-E72D297353CC}">
                <c16:uniqueId val="{00000001-FC1D-4231-A9F9-31111CFE6502}"/>
              </c:ext>
            </c:extLst>
          </c:dPt>
          <c:cat>
            <c:strRef>
              <c:f>Analysis1!$E$10:$E$22</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Analysis1!$F$10:$F$22</c:f>
              <c:numCache>
                <c:formatCode>_-[$$-409]* #,##0_ ;_-[$$-409]* \-#,##0\ ;_-[$$-409]* "-"??_ ;_-@_ </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extLst>
            <c:ext xmlns:c16="http://schemas.microsoft.com/office/drawing/2014/chart" uri="{C3380CC4-5D6E-409C-BE32-E72D297353CC}">
              <c16:uniqueId val="{00000000-FC1D-4231-A9F9-31111CFE6502}"/>
            </c:ext>
          </c:extLst>
        </c:ser>
        <c:dLbls>
          <c:showLegendKey val="0"/>
          <c:showVal val="0"/>
          <c:showCatName val="0"/>
          <c:showSerName val="0"/>
          <c:showPercent val="0"/>
          <c:showBubbleSize val="0"/>
        </c:dLbls>
        <c:gapWidth val="347"/>
        <c:overlap val="-27"/>
        <c:axId val="1203094127"/>
        <c:axId val="1203120047"/>
      </c:barChart>
      <c:catAx>
        <c:axId val="12030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3120047"/>
        <c:crosses val="autoZero"/>
        <c:auto val="1"/>
        <c:lblAlgn val="ctr"/>
        <c:lblOffset val="100"/>
        <c:noMultiLvlLbl val="0"/>
      </c:catAx>
      <c:valAx>
        <c:axId val="1203120047"/>
        <c:scaling>
          <c:orientation val="minMax"/>
        </c:scaling>
        <c:delete val="1"/>
        <c:axPos val="l"/>
        <c:numFmt formatCode="_-[$$-409]* #,##0_ ;_-[$$-409]* \-#,##0\ ;_-[$$-409]* &quot;-&quot;??_ ;_-@_ " sourceLinked="1"/>
        <c:majorTickMark val="none"/>
        <c:minorTickMark val="none"/>
        <c:tickLblPos val="nextTo"/>
        <c:crossAx val="120309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82A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
        <c:spPr>
          <a:ln w="25400" cap="rnd">
            <a:solidFill>
              <a:srgbClr val="A484E4"/>
            </a:solidFill>
            <a:round/>
          </a:ln>
          <a:effectLst>
            <a:outerShdw blurRad="50800" dist="38100" dir="5400000" algn="t" rotWithShape="0">
              <a:srgbClr val="A484E4">
                <a:alpha val="40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6350" cap="rnd">
            <a:solidFill>
              <a:srgbClr val="C938E6"/>
            </a:solidFill>
            <a:round/>
          </a:ln>
          <a:effectLst>
            <a:outerShdw blurRad="50800" dist="38100" dir="5400000" algn="t"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rgbClr val="682AC4"/>
            </a:solidFill>
            <a:round/>
          </a:ln>
          <a:effectLst>
            <a:outerShdw blurRad="50800" dist="38100" dir="5400000" algn="t" rotWithShape="0">
              <a:srgbClr val="682AC4">
                <a:alpha val="40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350641373592994E-2"/>
          <c:y val="0.10545449604526769"/>
          <c:w val="0.95451363197318473"/>
          <c:h val="0.67214899203014622"/>
        </c:manualLayout>
      </c:layout>
      <c:lineChart>
        <c:grouping val="standard"/>
        <c:varyColors val="0"/>
        <c:ser>
          <c:idx val="0"/>
          <c:order val="0"/>
          <c:tx>
            <c:strRef>
              <c:f>Analysis1!$P$24:$P$25</c:f>
              <c:strCache>
                <c:ptCount val="1"/>
                <c:pt idx="0">
                  <c:v>Electronics</c:v>
                </c:pt>
              </c:strCache>
            </c:strRef>
          </c:tx>
          <c:spPr>
            <a:ln w="28575" cap="rnd">
              <a:solidFill>
                <a:srgbClr val="682AC4"/>
              </a:solidFill>
              <a:round/>
            </a:ln>
            <a:effectLst>
              <a:outerShdw blurRad="50800" dist="38100" dir="5400000" algn="t" rotWithShape="0">
                <a:srgbClr val="682AC4">
                  <a:alpha val="40000"/>
                </a:srgb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Analysis1!$P$26:$P$31</c:f>
              <c:numCache>
                <c:formatCode>[$$-1009]#,##0</c:formatCode>
                <c:ptCount val="6"/>
                <c:pt idx="0">
                  <c:v>233178</c:v>
                </c:pt>
                <c:pt idx="1">
                  <c:v>387757</c:v>
                </c:pt>
                <c:pt idx="2">
                  <c:v>478451</c:v>
                </c:pt>
                <c:pt idx="3">
                  <c:v>538319</c:v>
                </c:pt>
                <c:pt idx="4">
                  <c:v>318630</c:v>
                </c:pt>
                <c:pt idx="5">
                  <c:v>98121</c:v>
                </c:pt>
              </c:numCache>
            </c:numRef>
          </c:val>
          <c:smooth val="1"/>
          <c:extLst>
            <c:ext xmlns:c16="http://schemas.microsoft.com/office/drawing/2014/chart" uri="{C3380CC4-5D6E-409C-BE32-E72D297353CC}">
              <c16:uniqueId val="{00000000-DFC6-44D7-921F-01EF38D81145}"/>
            </c:ext>
          </c:extLst>
        </c:ser>
        <c:ser>
          <c:idx val="1"/>
          <c:order val="1"/>
          <c:tx>
            <c:strRef>
              <c:f>Analysis1!$Q$24:$Q$25</c:f>
              <c:strCache>
                <c:ptCount val="1"/>
                <c:pt idx="0">
                  <c:v>Furniture</c:v>
                </c:pt>
              </c:strCache>
            </c:strRef>
          </c:tx>
          <c:spPr>
            <a:ln w="25400" cap="rnd">
              <a:solidFill>
                <a:srgbClr val="A484E4"/>
              </a:solidFill>
              <a:round/>
            </a:ln>
            <a:effectLst>
              <a:outerShdw blurRad="50800" dist="38100" dir="5400000" algn="t" rotWithShape="0">
                <a:srgbClr val="A484E4">
                  <a:alpha val="40000"/>
                </a:srgb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Analysis1!$Q$26:$Q$31</c:f>
              <c:numCache>
                <c:formatCode>[$$-1009]#,##0</c:formatCode>
                <c:ptCount val="6"/>
                <c:pt idx="0">
                  <c:v>299708</c:v>
                </c:pt>
                <c:pt idx="1">
                  <c:v>391342</c:v>
                </c:pt>
                <c:pt idx="2">
                  <c:v>496353</c:v>
                </c:pt>
                <c:pt idx="3">
                  <c:v>385893</c:v>
                </c:pt>
                <c:pt idx="4">
                  <c:v>415878</c:v>
                </c:pt>
                <c:pt idx="5">
                  <c:v>49499</c:v>
                </c:pt>
              </c:numCache>
            </c:numRef>
          </c:val>
          <c:smooth val="1"/>
          <c:extLst>
            <c:ext xmlns:c16="http://schemas.microsoft.com/office/drawing/2014/chart" uri="{C3380CC4-5D6E-409C-BE32-E72D297353CC}">
              <c16:uniqueId val="{00000018-DFC6-44D7-921F-01EF38D81145}"/>
            </c:ext>
          </c:extLst>
        </c:ser>
        <c:ser>
          <c:idx val="2"/>
          <c:order val="2"/>
          <c:tx>
            <c:strRef>
              <c:f>Analysis1!$R$24:$R$25</c:f>
              <c:strCache>
                <c:ptCount val="1"/>
                <c:pt idx="0">
                  <c:v>Office Supplies</c:v>
                </c:pt>
              </c:strCache>
            </c:strRef>
          </c:tx>
          <c:spPr>
            <a:ln w="6350" cap="rnd">
              <a:solidFill>
                <a:srgbClr val="C938E6"/>
              </a:solidFill>
              <a:round/>
            </a:ln>
            <a:effectLst>
              <a:outerShdw blurRad="50800" dist="38100" dir="5400000" algn="t" rotWithShape="0">
                <a:prstClr val="black">
                  <a:alpha val="40000"/>
                </a:prst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Analysis1!$R$26:$R$31</c:f>
              <c:numCache>
                <c:formatCode>[$$-1009]#,##0</c:formatCode>
                <c:ptCount val="6"/>
                <c:pt idx="0">
                  <c:v>326515</c:v>
                </c:pt>
                <c:pt idx="1">
                  <c:v>402347</c:v>
                </c:pt>
                <c:pt idx="2">
                  <c:v>484971</c:v>
                </c:pt>
                <c:pt idx="3">
                  <c:v>305511</c:v>
                </c:pt>
                <c:pt idx="4">
                  <c:v>467970</c:v>
                </c:pt>
                <c:pt idx="5">
                  <c:v>102196</c:v>
                </c:pt>
              </c:numCache>
            </c:numRef>
          </c:val>
          <c:smooth val="1"/>
          <c:extLst>
            <c:ext xmlns:c16="http://schemas.microsoft.com/office/drawing/2014/chart" uri="{C3380CC4-5D6E-409C-BE32-E72D297353CC}">
              <c16:uniqueId val="{00000019-DFC6-44D7-921F-01EF38D81145}"/>
            </c:ext>
          </c:extLst>
        </c:ser>
        <c:dLbls>
          <c:showLegendKey val="0"/>
          <c:showVal val="0"/>
          <c:showCatName val="0"/>
          <c:showSerName val="0"/>
          <c:showPercent val="0"/>
          <c:showBubbleSize val="0"/>
        </c:dLbls>
        <c:smooth val="0"/>
        <c:axId val="1203106127"/>
        <c:axId val="1203123407"/>
      </c:lineChart>
      <c:catAx>
        <c:axId val="120310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3123407"/>
        <c:crosses val="autoZero"/>
        <c:auto val="1"/>
        <c:lblAlgn val="ctr"/>
        <c:lblOffset val="100"/>
        <c:noMultiLvlLbl val="0"/>
      </c:catAx>
      <c:valAx>
        <c:axId val="1203123407"/>
        <c:scaling>
          <c:orientation val="minMax"/>
        </c:scaling>
        <c:delete val="1"/>
        <c:axPos val="l"/>
        <c:numFmt formatCode="[$$-1009]#,##0" sourceLinked="1"/>
        <c:majorTickMark val="none"/>
        <c:minorTickMark val="none"/>
        <c:tickLblPos val="nextTo"/>
        <c:crossAx val="12031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38E6"/>
          </a:solidFill>
          <a:ln>
            <a:noFill/>
          </a:ln>
          <a:effectLst/>
        </c:spPr>
      </c:pivotFmt>
    </c:pivotFmts>
    <c:plotArea>
      <c:layout/>
      <c:barChart>
        <c:barDir val="bar"/>
        <c:grouping val="clustered"/>
        <c:varyColors val="0"/>
        <c:ser>
          <c:idx val="0"/>
          <c:order val="0"/>
          <c:tx>
            <c:strRef>
              <c:f>Analysis1!$J$9</c:f>
              <c:strCache>
                <c:ptCount val="1"/>
                <c:pt idx="0">
                  <c:v>Total</c:v>
                </c:pt>
              </c:strCache>
            </c:strRef>
          </c:tx>
          <c:spPr>
            <a:solidFill>
              <a:srgbClr val="682AC4"/>
            </a:solidFill>
            <a:ln>
              <a:noFill/>
            </a:ln>
            <a:effectLst/>
          </c:spPr>
          <c:invertIfNegative val="0"/>
          <c:dPt>
            <c:idx val="3"/>
            <c:invertIfNegative val="0"/>
            <c:bubble3D val="0"/>
            <c:spPr>
              <a:solidFill>
                <a:srgbClr val="C938E6"/>
              </a:solidFill>
              <a:ln>
                <a:noFill/>
              </a:ln>
              <a:effectLst/>
            </c:spPr>
            <c:extLst>
              <c:ext xmlns:c16="http://schemas.microsoft.com/office/drawing/2014/chart" uri="{C3380CC4-5D6E-409C-BE32-E72D297353CC}">
                <c16:uniqueId val="{00000001-5F32-4AFC-9A99-C23339F0FD50}"/>
              </c:ext>
            </c:extLst>
          </c:dPt>
          <c:cat>
            <c:strRef>
              <c:f>Analysis1!$I$10:$I$15</c:f>
              <c:strCache>
                <c:ptCount val="5"/>
                <c:pt idx="0">
                  <c:v>Cory Evans</c:v>
                </c:pt>
                <c:pt idx="1">
                  <c:v>Emily Ellison</c:v>
                </c:pt>
                <c:pt idx="2">
                  <c:v>George Foster</c:v>
                </c:pt>
                <c:pt idx="3">
                  <c:v>Katherine Williams</c:v>
                </c:pt>
                <c:pt idx="4">
                  <c:v>Nicholas Anderson</c:v>
                </c:pt>
              </c:strCache>
            </c:strRef>
          </c:cat>
          <c:val>
            <c:numRef>
              <c:f>Analysis1!$J$10:$J$15</c:f>
              <c:numCache>
                <c:formatCode>_-[$$-409]* #,##0_ ;_-[$$-409]* \-#,##0\ ;_-[$$-409]* "-"??_ ;_-@_ </c:formatCode>
                <c:ptCount val="5"/>
                <c:pt idx="0">
                  <c:v>28557</c:v>
                </c:pt>
                <c:pt idx="1">
                  <c:v>27352</c:v>
                </c:pt>
                <c:pt idx="2">
                  <c:v>27352</c:v>
                </c:pt>
                <c:pt idx="3">
                  <c:v>25121</c:v>
                </c:pt>
                <c:pt idx="4">
                  <c:v>27352</c:v>
                </c:pt>
              </c:numCache>
            </c:numRef>
          </c:val>
          <c:extLst>
            <c:ext xmlns:c16="http://schemas.microsoft.com/office/drawing/2014/chart" uri="{C3380CC4-5D6E-409C-BE32-E72D297353CC}">
              <c16:uniqueId val="{00000000-5F32-4AFC-9A99-C23339F0FD50}"/>
            </c:ext>
          </c:extLst>
        </c:ser>
        <c:dLbls>
          <c:showLegendKey val="0"/>
          <c:showVal val="0"/>
          <c:showCatName val="0"/>
          <c:showSerName val="0"/>
          <c:showPercent val="0"/>
          <c:showBubbleSize val="0"/>
        </c:dLbls>
        <c:gapWidth val="182"/>
        <c:axId val="1065818831"/>
        <c:axId val="1065820271"/>
      </c:barChart>
      <c:catAx>
        <c:axId val="106581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820271"/>
        <c:crosses val="autoZero"/>
        <c:auto val="1"/>
        <c:lblAlgn val="ctr"/>
        <c:lblOffset val="100"/>
        <c:noMultiLvlLbl val="0"/>
      </c:catAx>
      <c:valAx>
        <c:axId val="1065820271"/>
        <c:scaling>
          <c:orientation val="minMax"/>
        </c:scaling>
        <c:delete val="1"/>
        <c:axPos val="b"/>
        <c:numFmt formatCode="_-[$$-409]* #,##0_ ;_-[$$-409]* \-#,##0\ ;_-[$$-409]* &quot;-&quot;??_ ;_-@_ " sourceLinked="1"/>
        <c:majorTickMark val="none"/>
        <c:minorTickMark val="none"/>
        <c:tickLblPos val="nextTo"/>
        <c:crossAx val="10658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7B1290"/>
            </a:solidFill>
          </c:spPr>
          <c:dPt>
            <c:idx val="0"/>
            <c:bubble3D val="0"/>
            <c:spPr>
              <a:solidFill>
                <a:srgbClr val="682AC4"/>
              </a:solidFill>
              <a:ln w="19050">
                <a:noFill/>
              </a:ln>
              <a:effectLst/>
            </c:spPr>
            <c:extLst>
              <c:ext xmlns:c16="http://schemas.microsoft.com/office/drawing/2014/chart" uri="{C3380CC4-5D6E-409C-BE32-E72D297353CC}">
                <c16:uniqueId val="{00000001-EE16-40F7-B2ED-41FFD9FCCABF}"/>
              </c:ext>
            </c:extLst>
          </c:dPt>
          <c:dPt>
            <c:idx val="1"/>
            <c:bubble3D val="0"/>
            <c:spPr>
              <a:solidFill>
                <a:srgbClr val="A484E4"/>
              </a:solidFill>
              <a:ln w="19050">
                <a:noFill/>
              </a:ln>
              <a:effectLst/>
            </c:spPr>
            <c:extLst>
              <c:ext xmlns:c16="http://schemas.microsoft.com/office/drawing/2014/chart" uri="{C3380CC4-5D6E-409C-BE32-E72D297353CC}">
                <c16:uniqueId val="{00000003-EE16-40F7-B2ED-41FFD9FCCABF}"/>
              </c:ext>
            </c:extLst>
          </c:dPt>
          <c:val>
            <c:numRef>
              <c:f>Analysis1!$A$10:$A$11</c:f>
              <c:numCache>
                <c:formatCode>0%</c:formatCode>
                <c:ptCount val="2"/>
                <c:pt idx="0" formatCode="0.0%">
                  <c:v>0.33229434874007685</c:v>
                </c:pt>
                <c:pt idx="1">
                  <c:v>1</c:v>
                </c:pt>
              </c:numCache>
            </c:numRef>
          </c:val>
          <c:extLst>
            <c:ext xmlns:c16="http://schemas.microsoft.com/office/drawing/2014/chart" uri="{C3380CC4-5D6E-409C-BE32-E72D297353CC}">
              <c16:uniqueId val="{00000004-EE16-40F7-B2ED-41FFD9FCCABF}"/>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C938E6"/>
            </a:solidFill>
            <a:ln>
              <a:noFill/>
            </a:ln>
          </c:spPr>
          <c:dPt>
            <c:idx val="0"/>
            <c:bubble3D val="0"/>
            <c:spPr>
              <a:solidFill>
                <a:srgbClr val="A484E4"/>
              </a:solidFill>
              <a:ln w="19050">
                <a:noFill/>
              </a:ln>
              <a:effectLst/>
            </c:spPr>
            <c:extLst>
              <c:ext xmlns:c16="http://schemas.microsoft.com/office/drawing/2014/chart" uri="{C3380CC4-5D6E-409C-BE32-E72D297353CC}">
                <c16:uniqueId val="{00000001-88CB-4B11-8ADA-FDD05F11DEDD}"/>
              </c:ext>
            </c:extLst>
          </c:dPt>
          <c:dPt>
            <c:idx val="1"/>
            <c:bubble3D val="0"/>
            <c:spPr>
              <a:solidFill>
                <a:srgbClr val="C938E6"/>
              </a:solidFill>
              <a:ln w="19050">
                <a:noFill/>
              </a:ln>
              <a:effectLst/>
            </c:spPr>
            <c:extLst>
              <c:ext xmlns:c16="http://schemas.microsoft.com/office/drawing/2014/chart" uri="{C3380CC4-5D6E-409C-BE32-E72D297353CC}">
                <c16:uniqueId val="{00000003-88CB-4B11-8ADA-FDD05F11DEDD}"/>
              </c:ext>
            </c:extLst>
          </c:dPt>
          <c:val>
            <c:numRef>
              <c:f>Analysis1!$A$11:$A$12</c:f>
              <c:numCache>
                <c:formatCode>0.0%</c:formatCode>
                <c:ptCount val="2"/>
                <c:pt idx="0" formatCode="0%">
                  <c:v>1</c:v>
                </c:pt>
                <c:pt idx="1">
                  <c:v>0.32974155534554095</c:v>
                </c:pt>
              </c:numCache>
            </c:numRef>
          </c:val>
          <c:extLst>
            <c:ext xmlns:c16="http://schemas.microsoft.com/office/drawing/2014/chart" uri="{C3380CC4-5D6E-409C-BE32-E72D297353CC}">
              <c16:uniqueId val="{00000004-88CB-4B11-8ADA-FDD05F11DED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0">
                  <a:schemeClr val="accent5">
                    <a:lumMod val="40000"/>
                    <a:lumOff val="60000"/>
                  </a:schemeClr>
                </a:gs>
                <a:gs pos="46000">
                  <a:srgbClr val="7B1290"/>
                </a:gs>
                <a:gs pos="100000">
                  <a:srgbClr val="7B1290"/>
                </a:gs>
              </a:gsLst>
              <a:path path="circle">
                <a:fillToRect l="50000" t="130000" r="50000" b="-30000"/>
              </a:path>
              <a:tileRect/>
            </a:gradFill>
            <a:ln>
              <a:noFill/>
            </a:ln>
          </c:spPr>
          <c:dPt>
            <c:idx val="0"/>
            <c:bubble3D val="0"/>
            <c:spPr>
              <a:gradFill flip="none" rotWithShape="1">
                <a:gsLst>
                  <a:gs pos="48000">
                    <a:schemeClr val="accent5">
                      <a:lumMod val="40000"/>
                      <a:lumOff val="60000"/>
                    </a:schemeClr>
                  </a:gs>
                  <a:gs pos="97000">
                    <a:srgbClr val="7B1290"/>
                  </a:gs>
                  <a:gs pos="48000">
                    <a:srgbClr val="A8A1D5"/>
                  </a:gs>
                  <a:gs pos="56000">
                    <a:srgbClr val="7B1290"/>
                  </a:gs>
                </a:gsLst>
                <a:path path="circle">
                  <a:fillToRect l="50000" t="130000" r="50000" b="-30000"/>
                </a:path>
                <a:tileRect/>
              </a:gradFill>
              <a:ln w="19050">
                <a:noFill/>
              </a:ln>
              <a:effectLst/>
            </c:spPr>
            <c:extLst>
              <c:ext xmlns:c16="http://schemas.microsoft.com/office/drawing/2014/chart" uri="{C3380CC4-5D6E-409C-BE32-E72D297353CC}">
                <c16:uniqueId val="{00000001-95BA-4CEC-BB6F-6F672935ED4D}"/>
              </c:ext>
            </c:extLst>
          </c:dPt>
          <c:dPt>
            <c:idx val="1"/>
            <c:bubble3D val="0"/>
            <c:spPr>
              <a:solidFill>
                <a:srgbClr val="A484E4"/>
              </a:solidFill>
              <a:ln w="19050">
                <a:noFill/>
              </a:ln>
              <a:effectLst/>
            </c:spPr>
            <c:extLst>
              <c:ext xmlns:c16="http://schemas.microsoft.com/office/drawing/2014/chart" uri="{C3380CC4-5D6E-409C-BE32-E72D297353CC}">
                <c16:uniqueId val="{00000003-95BA-4CEC-BB6F-6F672935ED4D}"/>
              </c:ext>
            </c:extLst>
          </c:dPt>
          <c:val>
            <c:numRef>
              <c:f>Analysis1!$A$13:$A$14</c:f>
              <c:numCache>
                <c:formatCode>0%</c:formatCode>
                <c:ptCount val="2"/>
                <c:pt idx="0" formatCode="0.0%">
                  <c:v>0.3379640959143822</c:v>
                </c:pt>
                <c:pt idx="1">
                  <c:v>1</c:v>
                </c:pt>
              </c:numCache>
            </c:numRef>
          </c:val>
          <c:extLst>
            <c:ext xmlns:c16="http://schemas.microsoft.com/office/drawing/2014/chart" uri="{C3380CC4-5D6E-409C-BE32-E72D297353CC}">
              <c16:uniqueId val="{00000004-95BA-4CEC-BB6F-6F672935ED4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38E6"/>
          </a:solidFill>
          <a:ln>
            <a:noFill/>
          </a:ln>
          <a:effectLst/>
        </c:spPr>
      </c:pivotFmt>
      <c:pivotFmt>
        <c:idx val="4"/>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38E6"/>
          </a:solidFill>
          <a:ln>
            <a:noFill/>
          </a:ln>
          <a:effectLst/>
        </c:spPr>
      </c:pivotFmt>
      <c:pivotFmt>
        <c:idx val="6"/>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938E6"/>
          </a:solidFill>
          <a:ln>
            <a:noFill/>
          </a:ln>
          <a:effectLst/>
        </c:spPr>
      </c:pivotFmt>
    </c:pivotFmts>
    <c:plotArea>
      <c:layout>
        <c:manualLayout>
          <c:layoutTarget val="inner"/>
          <c:xMode val="edge"/>
          <c:yMode val="edge"/>
          <c:x val="2.542376928706944E-2"/>
          <c:y val="0.10126989696132316"/>
          <c:w val="0.97457623071293054"/>
          <c:h val="0.46668749574115503"/>
        </c:manualLayout>
      </c:layout>
      <c:barChart>
        <c:barDir val="col"/>
        <c:grouping val="clustered"/>
        <c:varyColors val="0"/>
        <c:ser>
          <c:idx val="0"/>
          <c:order val="0"/>
          <c:tx>
            <c:strRef>
              <c:f>Analysis1!$F$9</c:f>
              <c:strCache>
                <c:ptCount val="1"/>
                <c:pt idx="0">
                  <c:v>Total</c:v>
                </c:pt>
              </c:strCache>
            </c:strRef>
          </c:tx>
          <c:spPr>
            <a:solidFill>
              <a:srgbClr val="682AC4"/>
            </a:solidFill>
            <a:ln>
              <a:noFill/>
            </a:ln>
            <a:effectLst/>
          </c:spPr>
          <c:invertIfNegative val="0"/>
          <c:dPt>
            <c:idx val="4"/>
            <c:invertIfNegative val="0"/>
            <c:bubble3D val="0"/>
            <c:spPr>
              <a:solidFill>
                <a:srgbClr val="C938E6"/>
              </a:solidFill>
              <a:ln>
                <a:noFill/>
              </a:ln>
              <a:effectLst/>
            </c:spPr>
            <c:extLst>
              <c:ext xmlns:c16="http://schemas.microsoft.com/office/drawing/2014/chart" uri="{C3380CC4-5D6E-409C-BE32-E72D297353CC}">
                <c16:uniqueId val="{00000001-7E72-4F64-8B1A-B5AB4755C7B0}"/>
              </c:ext>
            </c:extLst>
          </c:dPt>
          <c:cat>
            <c:strRef>
              <c:f>Analysis1!$E$10:$E$22</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Analysis1!$F$10:$F$22</c:f>
              <c:numCache>
                <c:formatCode>_-[$$-409]* #,##0_ ;_-[$$-409]* \-#,##0\ ;_-[$$-409]* "-"??_ ;_-@_ </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extLst>
            <c:ext xmlns:c16="http://schemas.microsoft.com/office/drawing/2014/chart" uri="{C3380CC4-5D6E-409C-BE32-E72D297353CC}">
              <c16:uniqueId val="{00000002-7E72-4F64-8B1A-B5AB4755C7B0}"/>
            </c:ext>
          </c:extLst>
        </c:ser>
        <c:dLbls>
          <c:showLegendKey val="0"/>
          <c:showVal val="0"/>
          <c:showCatName val="0"/>
          <c:showSerName val="0"/>
          <c:showPercent val="0"/>
          <c:showBubbleSize val="0"/>
        </c:dLbls>
        <c:gapWidth val="347"/>
        <c:overlap val="-27"/>
        <c:axId val="1203094127"/>
        <c:axId val="1203120047"/>
      </c:barChart>
      <c:catAx>
        <c:axId val="12030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3120047"/>
        <c:crosses val="autoZero"/>
        <c:auto val="1"/>
        <c:lblAlgn val="ctr"/>
        <c:lblOffset val="100"/>
        <c:noMultiLvlLbl val="0"/>
      </c:catAx>
      <c:valAx>
        <c:axId val="1203120047"/>
        <c:scaling>
          <c:orientation val="minMax"/>
        </c:scaling>
        <c:delete val="1"/>
        <c:axPos val="l"/>
        <c:numFmt formatCode="_-[$$-409]* #,##0_ ;_-[$$-409]* \-#,##0\ ;_-[$$-409]* &quot;-&quot;??_ ;_-@_ " sourceLinked="1"/>
        <c:majorTickMark val="none"/>
        <c:minorTickMark val="none"/>
        <c:tickLblPos val="nextTo"/>
        <c:crossAx val="120309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[buz.xlsx]Analysis1!PivotTable12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82A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cap="rnd">
            <a:solidFill>
              <a:srgbClr val="A484E4"/>
            </a:solidFill>
            <a:round/>
          </a:ln>
          <a:effectLst>
            <a:outerShdw blurRad="50800" dist="38100" dir="5400000" algn="t" rotWithShape="0">
              <a:srgbClr val="A484E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6350" cap="rnd">
            <a:solidFill>
              <a:srgbClr val="C938E6"/>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682AC4"/>
            </a:solidFill>
            <a:round/>
          </a:ln>
          <a:effectLst>
            <a:outerShdw blurRad="50800" dist="38100" dir="5400000" algn="t" rotWithShape="0">
              <a:srgbClr val="682AC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682AC4"/>
            </a:solidFill>
            <a:round/>
          </a:ln>
          <a:effectLst>
            <a:outerShdw blurRad="50800" dist="38100" dir="5400000" algn="t" rotWithShape="0">
              <a:srgbClr val="682AC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cap="rnd">
            <a:solidFill>
              <a:srgbClr val="A484E4"/>
            </a:solidFill>
            <a:round/>
          </a:ln>
          <a:effectLst>
            <a:outerShdw blurRad="50800" dist="38100" dir="5400000" algn="t" rotWithShape="0">
              <a:srgbClr val="A484E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6350" cap="rnd">
            <a:solidFill>
              <a:srgbClr val="C938E6"/>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rgbClr val="682AC4"/>
            </a:solidFill>
            <a:round/>
          </a:ln>
          <a:effectLst>
            <a:outerShdw blurRad="50800" dist="38100" dir="5400000" algn="t" rotWithShape="0">
              <a:srgbClr val="682AC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5400" cap="rnd">
            <a:solidFill>
              <a:srgbClr val="A484E4"/>
            </a:solidFill>
            <a:round/>
          </a:ln>
          <a:effectLst>
            <a:outerShdw blurRad="50800" dist="38100" dir="5400000" algn="t" rotWithShape="0">
              <a:srgbClr val="A484E4">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6350" cap="rnd">
            <a:solidFill>
              <a:srgbClr val="C938E6"/>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0641373592994E-2"/>
          <c:y val="0.10545449604526769"/>
          <c:w val="0.95451363197318473"/>
          <c:h val="0.67214899203014622"/>
        </c:manualLayout>
      </c:layout>
      <c:lineChart>
        <c:grouping val="standard"/>
        <c:varyColors val="0"/>
        <c:ser>
          <c:idx val="0"/>
          <c:order val="0"/>
          <c:tx>
            <c:strRef>
              <c:f>Analysis1!$P$24:$P$25</c:f>
              <c:strCache>
                <c:ptCount val="1"/>
                <c:pt idx="0">
                  <c:v>Electronics</c:v>
                </c:pt>
              </c:strCache>
            </c:strRef>
          </c:tx>
          <c:spPr>
            <a:ln w="28575" cap="rnd">
              <a:solidFill>
                <a:srgbClr val="682AC4"/>
              </a:solidFill>
              <a:round/>
            </a:ln>
            <a:effectLst>
              <a:outerShdw blurRad="50800" dist="38100" dir="5400000" algn="t" rotWithShape="0">
                <a:srgbClr val="682AC4">
                  <a:alpha val="40000"/>
                </a:srgb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Analysis1!$P$26:$P$31</c:f>
              <c:numCache>
                <c:formatCode>[$$-1009]#,##0</c:formatCode>
                <c:ptCount val="6"/>
                <c:pt idx="0">
                  <c:v>233178</c:v>
                </c:pt>
                <c:pt idx="1">
                  <c:v>387757</c:v>
                </c:pt>
                <c:pt idx="2">
                  <c:v>478451</c:v>
                </c:pt>
                <c:pt idx="3">
                  <c:v>538319</c:v>
                </c:pt>
                <c:pt idx="4">
                  <c:v>318630</c:v>
                </c:pt>
                <c:pt idx="5">
                  <c:v>98121</c:v>
                </c:pt>
              </c:numCache>
            </c:numRef>
          </c:val>
          <c:smooth val="1"/>
          <c:extLst>
            <c:ext xmlns:c16="http://schemas.microsoft.com/office/drawing/2014/chart" uri="{C3380CC4-5D6E-409C-BE32-E72D297353CC}">
              <c16:uniqueId val="{00000000-FE6F-499A-82B4-4DDF40AF5A3A}"/>
            </c:ext>
          </c:extLst>
        </c:ser>
        <c:ser>
          <c:idx val="1"/>
          <c:order val="1"/>
          <c:tx>
            <c:strRef>
              <c:f>Analysis1!$Q$24:$Q$25</c:f>
              <c:strCache>
                <c:ptCount val="1"/>
                <c:pt idx="0">
                  <c:v>Furniture</c:v>
                </c:pt>
              </c:strCache>
            </c:strRef>
          </c:tx>
          <c:spPr>
            <a:ln w="25400" cap="rnd">
              <a:solidFill>
                <a:srgbClr val="A484E4"/>
              </a:solidFill>
              <a:round/>
            </a:ln>
            <a:effectLst>
              <a:outerShdw blurRad="50800" dist="38100" dir="5400000" algn="t" rotWithShape="0">
                <a:srgbClr val="A484E4">
                  <a:alpha val="40000"/>
                </a:srgb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Analysis1!$Q$26:$Q$31</c:f>
              <c:numCache>
                <c:formatCode>[$$-1009]#,##0</c:formatCode>
                <c:ptCount val="6"/>
                <c:pt idx="0">
                  <c:v>299708</c:v>
                </c:pt>
                <c:pt idx="1">
                  <c:v>391342</c:v>
                </c:pt>
                <c:pt idx="2">
                  <c:v>496353</c:v>
                </c:pt>
                <c:pt idx="3">
                  <c:v>385893</c:v>
                </c:pt>
                <c:pt idx="4">
                  <c:v>415878</c:v>
                </c:pt>
                <c:pt idx="5">
                  <c:v>49499</c:v>
                </c:pt>
              </c:numCache>
            </c:numRef>
          </c:val>
          <c:smooth val="1"/>
          <c:extLst>
            <c:ext xmlns:c16="http://schemas.microsoft.com/office/drawing/2014/chart" uri="{C3380CC4-5D6E-409C-BE32-E72D297353CC}">
              <c16:uniqueId val="{00000001-FE6F-499A-82B4-4DDF40AF5A3A}"/>
            </c:ext>
          </c:extLst>
        </c:ser>
        <c:ser>
          <c:idx val="2"/>
          <c:order val="2"/>
          <c:tx>
            <c:strRef>
              <c:f>Analysis1!$R$24:$R$25</c:f>
              <c:strCache>
                <c:ptCount val="1"/>
                <c:pt idx="0">
                  <c:v>Office Supplies</c:v>
                </c:pt>
              </c:strCache>
            </c:strRef>
          </c:tx>
          <c:spPr>
            <a:ln w="6350" cap="rnd">
              <a:solidFill>
                <a:srgbClr val="C938E6"/>
              </a:solidFill>
              <a:round/>
            </a:ln>
            <a:effectLst>
              <a:outerShdw blurRad="50800" dist="38100" dir="5400000" algn="t" rotWithShape="0">
                <a:prstClr val="black">
                  <a:alpha val="40000"/>
                </a:prstClr>
              </a:outerShdw>
            </a:effectLst>
          </c:spPr>
          <c:marker>
            <c:symbol val="none"/>
          </c:marker>
          <c:cat>
            <c:strRef>
              <c:f>Analysis1!$O$26:$O$31</c:f>
              <c:strCache>
                <c:ptCount val="6"/>
                <c:pt idx="0">
                  <c:v>2020</c:v>
                </c:pt>
                <c:pt idx="1">
                  <c:v>2021</c:v>
                </c:pt>
                <c:pt idx="2">
                  <c:v>2022</c:v>
                </c:pt>
                <c:pt idx="3">
                  <c:v>2023</c:v>
                </c:pt>
                <c:pt idx="4">
                  <c:v>2024</c:v>
                </c:pt>
                <c:pt idx="5">
                  <c:v>2025</c:v>
                </c:pt>
              </c:strCache>
            </c:strRef>
          </c:cat>
          <c:val>
            <c:numRef>
              <c:f>Analysis1!$R$26:$R$31</c:f>
              <c:numCache>
                <c:formatCode>[$$-1009]#,##0</c:formatCode>
                <c:ptCount val="6"/>
                <c:pt idx="0">
                  <c:v>326515</c:v>
                </c:pt>
                <c:pt idx="1">
                  <c:v>402347</c:v>
                </c:pt>
                <c:pt idx="2">
                  <c:v>484971</c:v>
                </c:pt>
                <c:pt idx="3">
                  <c:v>305511</c:v>
                </c:pt>
                <c:pt idx="4">
                  <c:v>467970</c:v>
                </c:pt>
                <c:pt idx="5">
                  <c:v>102196</c:v>
                </c:pt>
              </c:numCache>
            </c:numRef>
          </c:val>
          <c:smooth val="1"/>
          <c:extLst>
            <c:ext xmlns:c16="http://schemas.microsoft.com/office/drawing/2014/chart" uri="{C3380CC4-5D6E-409C-BE32-E72D297353CC}">
              <c16:uniqueId val="{00000002-FE6F-499A-82B4-4DDF40AF5A3A}"/>
            </c:ext>
          </c:extLst>
        </c:ser>
        <c:dLbls>
          <c:showLegendKey val="0"/>
          <c:showVal val="0"/>
          <c:showCatName val="0"/>
          <c:showSerName val="0"/>
          <c:showPercent val="0"/>
          <c:showBubbleSize val="0"/>
        </c:dLbls>
        <c:smooth val="0"/>
        <c:axId val="1203106127"/>
        <c:axId val="1203123407"/>
      </c:lineChart>
      <c:catAx>
        <c:axId val="120310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3123407"/>
        <c:crosses val="autoZero"/>
        <c:auto val="1"/>
        <c:lblAlgn val="ctr"/>
        <c:lblOffset val="100"/>
        <c:noMultiLvlLbl val="0"/>
      </c:catAx>
      <c:valAx>
        <c:axId val="1203123407"/>
        <c:scaling>
          <c:orientation val="minMax"/>
        </c:scaling>
        <c:delete val="1"/>
        <c:axPos val="l"/>
        <c:numFmt formatCode="[$$-1009]#,##0" sourceLinked="1"/>
        <c:majorTickMark val="none"/>
        <c:minorTickMark val="none"/>
        <c:tickLblPos val="nextTo"/>
        <c:crossAx val="12031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[buz.xlsx]Analysis1!PivotTable9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38E6"/>
          </a:solidFill>
          <a:ln>
            <a:noFill/>
          </a:ln>
          <a:effectLst/>
        </c:spPr>
      </c:pivotFmt>
      <c:pivotFmt>
        <c:idx val="4"/>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38E6"/>
          </a:solidFill>
          <a:ln>
            <a:noFill/>
          </a:ln>
          <a:effectLst/>
        </c:spPr>
      </c:pivotFmt>
      <c:pivotFmt>
        <c:idx val="6"/>
        <c:spPr>
          <a:solidFill>
            <a:srgbClr val="682A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938E6"/>
          </a:solidFill>
          <a:ln>
            <a:noFill/>
          </a:ln>
          <a:effectLst/>
        </c:spPr>
      </c:pivotFmt>
    </c:pivotFmts>
    <c:plotArea>
      <c:layout/>
      <c:barChart>
        <c:barDir val="bar"/>
        <c:grouping val="clustered"/>
        <c:varyColors val="0"/>
        <c:ser>
          <c:idx val="0"/>
          <c:order val="0"/>
          <c:tx>
            <c:strRef>
              <c:f>Analysis1!$J$9</c:f>
              <c:strCache>
                <c:ptCount val="1"/>
                <c:pt idx="0">
                  <c:v>Total</c:v>
                </c:pt>
              </c:strCache>
            </c:strRef>
          </c:tx>
          <c:spPr>
            <a:solidFill>
              <a:srgbClr val="682AC4"/>
            </a:solidFill>
            <a:ln>
              <a:noFill/>
            </a:ln>
            <a:effectLst/>
          </c:spPr>
          <c:invertIfNegative val="0"/>
          <c:dPt>
            <c:idx val="3"/>
            <c:invertIfNegative val="0"/>
            <c:bubble3D val="0"/>
            <c:spPr>
              <a:solidFill>
                <a:srgbClr val="C938E6"/>
              </a:solidFill>
              <a:ln>
                <a:noFill/>
              </a:ln>
              <a:effectLst/>
            </c:spPr>
            <c:extLst>
              <c:ext xmlns:c16="http://schemas.microsoft.com/office/drawing/2014/chart" uri="{C3380CC4-5D6E-409C-BE32-E72D297353CC}">
                <c16:uniqueId val="{00000001-6948-4B36-A4CE-CC5EFEF5C9B5}"/>
              </c:ext>
            </c:extLst>
          </c:dPt>
          <c:cat>
            <c:strRef>
              <c:f>Analysis1!$I$10:$I$15</c:f>
              <c:strCache>
                <c:ptCount val="5"/>
                <c:pt idx="0">
                  <c:v>Cory Evans</c:v>
                </c:pt>
                <c:pt idx="1">
                  <c:v>Emily Ellison</c:v>
                </c:pt>
                <c:pt idx="2">
                  <c:v>George Foster</c:v>
                </c:pt>
                <c:pt idx="3">
                  <c:v>Katherine Williams</c:v>
                </c:pt>
                <c:pt idx="4">
                  <c:v>Nicholas Anderson</c:v>
                </c:pt>
              </c:strCache>
            </c:strRef>
          </c:cat>
          <c:val>
            <c:numRef>
              <c:f>Analysis1!$J$10:$J$15</c:f>
              <c:numCache>
                <c:formatCode>_-[$$-409]* #,##0_ ;_-[$$-409]* \-#,##0\ ;_-[$$-409]* "-"??_ ;_-@_ </c:formatCode>
                <c:ptCount val="5"/>
                <c:pt idx="0">
                  <c:v>28557</c:v>
                </c:pt>
                <c:pt idx="1">
                  <c:v>27352</c:v>
                </c:pt>
                <c:pt idx="2">
                  <c:v>27352</c:v>
                </c:pt>
                <c:pt idx="3">
                  <c:v>25121</c:v>
                </c:pt>
                <c:pt idx="4">
                  <c:v>27352</c:v>
                </c:pt>
              </c:numCache>
            </c:numRef>
          </c:val>
          <c:extLst>
            <c:ext xmlns:c16="http://schemas.microsoft.com/office/drawing/2014/chart" uri="{C3380CC4-5D6E-409C-BE32-E72D297353CC}">
              <c16:uniqueId val="{00000002-6948-4B36-A4CE-CC5EFEF5C9B5}"/>
            </c:ext>
          </c:extLst>
        </c:ser>
        <c:dLbls>
          <c:showLegendKey val="0"/>
          <c:showVal val="0"/>
          <c:showCatName val="0"/>
          <c:showSerName val="0"/>
          <c:showPercent val="0"/>
          <c:showBubbleSize val="0"/>
        </c:dLbls>
        <c:gapWidth val="182"/>
        <c:axId val="1065818831"/>
        <c:axId val="1065820271"/>
      </c:barChart>
      <c:catAx>
        <c:axId val="106581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820271"/>
        <c:crosses val="autoZero"/>
        <c:auto val="1"/>
        <c:lblAlgn val="ctr"/>
        <c:lblOffset val="100"/>
        <c:noMultiLvlLbl val="0"/>
      </c:catAx>
      <c:valAx>
        <c:axId val="1065820271"/>
        <c:scaling>
          <c:orientation val="minMax"/>
        </c:scaling>
        <c:delete val="1"/>
        <c:axPos val="b"/>
        <c:numFmt formatCode="_-[$$-409]* #,##0_ ;_-[$$-409]* \-#,##0\ ;_-[$$-409]* &quot;-&quot;??_ ;_-@_ " sourceLinked="1"/>
        <c:majorTickMark val="none"/>
        <c:minorTickMark val="none"/>
        <c:tickLblPos val="nextTo"/>
        <c:crossAx val="10658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7B1290"/>
            </a:solidFill>
          </c:spPr>
          <c:dPt>
            <c:idx val="0"/>
            <c:bubble3D val="0"/>
            <c:spPr>
              <a:solidFill>
                <a:srgbClr val="682AC4"/>
              </a:solidFill>
              <a:ln w="19050">
                <a:noFill/>
              </a:ln>
              <a:effectLst/>
            </c:spPr>
            <c:extLst>
              <c:ext xmlns:c16="http://schemas.microsoft.com/office/drawing/2014/chart" uri="{C3380CC4-5D6E-409C-BE32-E72D297353CC}">
                <c16:uniqueId val="{00000001-381D-4E04-8E1F-D69D23F1F0D9}"/>
              </c:ext>
            </c:extLst>
          </c:dPt>
          <c:dPt>
            <c:idx val="1"/>
            <c:bubble3D val="0"/>
            <c:spPr>
              <a:solidFill>
                <a:srgbClr val="A484E4"/>
              </a:solidFill>
              <a:ln w="19050">
                <a:noFill/>
              </a:ln>
              <a:effectLst/>
            </c:spPr>
            <c:extLst>
              <c:ext xmlns:c16="http://schemas.microsoft.com/office/drawing/2014/chart" uri="{C3380CC4-5D6E-409C-BE32-E72D297353CC}">
                <c16:uniqueId val="{00000003-381D-4E04-8E1F-D69D23F1F0D9}"/>
              </c:ext>
            </c:extLst>
          </c:dPt>
          <c:val>
            <c:numRef>
              <c:f>Analysis1!$A$10:$A$11</c:f>
              <c:numCache>
                <c:formatCode>0%</c:formatCode>
                <c:ptCount val="2"/>
                <c:pt idx="0" formatCode="0.0%">
                  <c:v>0.33229434874007685</c:v>
                </c:pt>
                <c:pt idx="1">
                  <c:v>1</c:v>
                </c:pt>
              </c:numCache>
            </c:numRef>
          </c:val>
          <c:extLst>
            <c:ext xmlns:c16="http://schemas.microsoft.com/office/drawing/2014/chart" uri="{C3380CC4-5D6E-409C-BE32-E72D297353CC}">
              <c16:uniqueId val="{00000004-381D-4E04-8E1F-D69D23F1F0D9}"/>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C938E6"/>
            </a:solidFill>
            <a:ln>
              <a:noFill/>
            </a:ln>
          </c:spPr>
          <c:dPt>
            <c:idx val="0"/>
            <c:bubble3D val="0"/>
            <c:spPr>
              <a:solidFill>
                <a:srgbClr val="A484E4"/>
              </a:solidFill>
              <a:ln w="19050">
                <a:noFill/>
              </a:ln>
              <a:effectLst/>
            </c:spPr>
            <c:extLst>
              <c:ext xmlns:c16="http://schemas.microsoft.com/office/drawing/2014/chart" uri="{C3380CC4-5D6E-409C-BE32-E72D297353CC}">
                <c16:uniqueId val="{00000001-892D-499A-8A36-6479F1F5EC2D}"/>
              </c:ext>
            </c:extLst>
          </c:dPt>
          <c:dPt>
            <c:idx val="1"/>
            <c:bubble3D val="0"/>
            <c:spPr>
              <a:solidFill>
                <a:srgbClr val="C938E6"/>
              </a:solidFill>
              <a:ln w="19050">
                <a:noFill/>
              </a:ln>
              <a:effectLst/>
            </c:spPr>
            <c:extLst>
              <c:ext xmlns:c16="http://schemas.microsoft.com/office/drawing/2014/chart" uri="{C3380CC4-5D6E-409C-BE32-E72D297353CC}">
                <c16:uniqueId val="{00000003-892D-499A-8A36-6479F1F5EC2D}"/>
              </c:ext>
            </c:extLst>
          </c:dPt>
          <c:val>
            <c:numRef>
              <c:f>Analysis1!$A$11:$A$12</c:f>
              <c:numCache>
                <c:formatCode>0.0%</c:formatCode>
                <c:ptCount val="2"/>
                <c:pt idx="0" formatCode="0%">
                  <c:v>1</c:v>
                </c:pt>
                <c:pt idx="1">
                  <c:v>0.32974155534554095</c:v>
                </c:pt>
              </c:numCache>
            </c:numRef>
          </c:val>
          <c:extLst>
            <c:ext xmlns:c16="http://schemas.microsoft.com/office/drawing/2014/chart" uri="{C3380CC4-5D6E-409C-BE32-E72D297353CC}">
              <c16:uniqueId val="{00000004-892D-499A-8A36-6479F1F5EC2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0">
                  <a:schemeClr val="accent5">
                    <a:lumMod val="40000"/>
                    <a:lumOff val="60000"/>
                  </a:schemeClr>
                </a:gs>
                <a:gs pos="46000">
                  <a:srgbClr val="7B1290"/>
                </a:gs>
                <a:gs pos="100000">
                  <a:srgbClr val="7B1290"/>
                </a:gs>
              </a:gsLst>
              <a:path path="circle">
                <a:fillToRect l="50000" t="130000" r="50000" b="-30000"/>
              </a:path>
              <a:tileRect/>
            </a:gradFill>
            <a:ln>
              <a:noFill/>
            </a:ln>
          </c:spPr>
          <c:dPt>
            <c:idx val="0"/>
            <c:bubble3D val="0"/>
            <c:spPr>
              <a:gradFill flip="none" rotWithShape="1">
                <a:gsLst>
                  <a:gs pos="48000">
                    <a:schemeClr val="accent5">
                      <a:lumMod val="40000"/>
                      <a:lumOff val="60000"/>
                    </a:schemeClr>
                  </a:gs>
                  <a:gs pos="97000">
                    <a:srgbClr val="7B1290"/>
                  </a:gs>
                  <a:gs pos="48000">
                    <a:srgbClr val="A8A1D5"/>
                  </a:gs>
                  <a:gs pos="56000">
                    <a:srgbClr val="7B1290"/>
                  </a:gs>
                </a:gsLst>
                <a:path path="circle">
                  <a:fillToRect l="50000" t="130000" r="50000" b="-30000"/>
                </a:path>
                <a:tileRect/>
              </a:gradFill>
              <a:ln w="19050">
                <a:noFill/>
              </a:ln>
              <a:effectLst/>
            </c:spPr>
            <c:extLst>
              <c:ext xmlns:c16="http://schemas.microsoft.com/office/drawing/2014/chart" uri="{C3380CC4-5D6E-409C-BE32-E72D297353CC}">
                <c16:uniqueId val="{00000001-AEA1-4EF4-8952-DB4A83AF1043}"/>
              </c:ext>
            </c:extLst>
          </c:dPt>
          <c:dPt>
            <c:idx val="1"/>
            <c:bubble3D val="0"/>
            <c:spPr>
              <a:solidFill>
                <a:srgbClr val="A484E4"/>
              </a:solidFill>
              <a:ln w="19050">
                <a:noFill/>
              </a:ln>
              <a:effectLst/>
            </c:spPr>
            <c:extLst>
              <c:ext xmlns:c16="http://schemas.microsoft.com/office/drawing/2014/chart" uri="{C3380CC4-5D6E-409C-BE32-E72D297353CC}">
                <c16:uniqueId val="{00000003-AEA1-4EF4-8952-DB4A83AF1043}"/>
              </c:ext>
            </c:extLst>
          </c:dPt>
          <c:val>
            <c:numRef>
              <c:f>Analysis1!$A$13:$A$14</c:f>
              <c:numCache>
                <c:formatCode>0%</c:formatCode>
                <c:ptCount val="2"/>
                <c:pt idx="0" formatCode="0.0%">
                  <c:v>0.3379640959143822</c:v>
                </c:pt>
                <c:pt idx="1">
                  <c:v>1</c:v>
                </c:pt>
              </c:numCache>
            </c:numRef>
          </c:val>
          <c:extLst>
            <c:ext xmlns:c16="http://schemas.microsoft.com/office/drawing/2014/chart" uri="{C3380CC4-5D6E-409C-BE32-E72D297353CC}">
              <c16:uniqueId val="{00000004-AEA1-4EF4-8952-DB4A83AF104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983E965-251C-4229-86D9-E55B945DB8D5}">
          <cx:tx>
            <cx:txData>
              <cx:f>_xlchart.v5.6</cx:f>
              <cx:v>Total price</cx:v>
            </cx:txData>
          </cx:tx>
          <cx:dataId val="0"/>
          <cx:layoutPr>
            <cx:regionLabelLayout val="showAll"/>
            <cx:geography cultureLanguage="en-US" cultureRegion="ZW" attribution="Powered by Bing">
              <cx:geoCache provider="{E9337A44-BEBE-4D9F-B70C-5C5E7DAFC167}">
                <cx:binary>1Htrc9RItu1fIfh8RSuVD2VOTE/ElarKZRtswODu5ovCgNErpZRSmXr9+rOE6W5c9MDMuRM3Yohu
Cpcembmfa6+9/fcP898+6Ps7+2RudDv87cP889PCue5vP/00fCjum7vhWVN+sGYwn9yzD6b5yXz6
VH64/+mjvZvKNv8pCgn76UNxZ939/PQff8fb8nvz3Hy4c6VpX/l7u7y+H7x2w3eu/eWlJ3cfm7Ld
lYOz5QdHfn5qitI8fXLfutItb5bu/uenj+54+uSn0/d8s+YTjW05/xHPsvAZI5wTFYfq8x/59Ik2
bf7lciCjZ7hCY8ri8PMf+vvaV3cNnr/+wW4+7+Xu40d7Pww4yufP3596tG98eXz65IPxrdtklUNs
Pz9925bu/uOTG3fn7oenT8rBpA83pGbb/Nubz6f96bG0//H3ky9w/pNvvlLIqbB+dOkbfaR3uvxk
bFve/S6Z/3et0PhZxJkQiqgHqZPHWiFEPRMkjmLCyIPafl/7QSv/2p7+WjdfP3uiofT//ldq6JM2
tvz4H1RPJJ9xBadh9EE74Yl64DRMwmUi+eWGE6c5/HhDf62bPx48Uczh+X+lYt7cz3dw6/9ULKPk
GRNUMknIX3qNUs8opZGK4+iPWPew9oPX/HA7f62UL4+dqOTNr/+VKrm6n54sxtb/Oa2w6JmiKmKQ
/INW4AxfZ5iYPxO4wgVhD1oRv6/9oJVtR7/9YEd/rZg/nzzRzdVv/5W6KbUuW1P+Bz0G2Z9EjEgq
vshePdaNVM8Ik4JyyR90g+tfe8z5v7Cjv9bNn0+e6Ob8vyOUfR+ofB3RHt35b6Izqp7xkPKY0T/R
19e+g4gWbtqj6ov+2GP9nOCnf76tv1bSyeOPTvL/CZz9c+D2B6rd3bm7/Wc4/BV2+/7Vz8cFQD95
9HuZ6EF25x9/fhqFnCGG/QGzt5c88ooXd8Nw96Hww71zfzjrV0/e3w3u56eBUM9UJAUhMec0JqGC
8qb7z5diCr3D7XgkuWCMUwCM1lhXALBHz+SGLSQeC5mUEQD7YPznS+RZRKVSYQyTUISF4o9K5KXR
S27aP6Ty5ecnrW9emrJ1w89P+dMn3cNd21Y5Xk2A/GPKCf6N3UW4/uHuNYod3Ez+j6KLCOou6I6y
1J8Kk6uzQJosKWU4JV9J519cCRkAaCoWNCL0ZCXdspatM8FK0TolTdi961ozJ1NW+PTfXwlrKBqy
OGJMbmf+6ky5C7LVdnV3dFPt08yH18PYVIno19t/eyFJZcRCjuVCrPV4oTHWRBm7dsdlqD/Vuv6U
BeWnCp//m2W4ZCSGxr/RkRPFOhR87o5ZMKm9kn2fDIXQaT2X/wvRwVYVcK3iMRAWsvQj0XVhw0yB
E41ZY5/Poa+TzETyuW2rHxxqe9OJ4UkRRSqCnohg8kR28djIwKmpOxbTVCfCL6+XfL4lwXLbjaPc
fV+C8JZvF6NCiFhGQil+cqyAcAPfNN1R9YPcxUNjj5Xss8QE5V0o8yYtmaUJWTL375uiFIxyCji6
VXonRi+s8ZEu2u7Y9aW58banCVdBfRtU+Nf3z7gJ7BuB8hjViEAagVc/Vt3qK7+UpumOge/tsfHd
sq+iMLv5/ip/ES+k+GoVhKyvDURKxcbAa6yiZn4Z2fl2bKb2orX/O9F9tdKJ6Ka6KczYYqVC+2Un
5upuNYFO/wX3Cr89lEI9IWEZsWJRFJ+Yh8kaLhvTNcdujMyuC8egTpbOzS9X1ix7lYVmR5Qlhx7l
4jG0s9lVmqo97Vl7MfZciHQy8byXc+5Ta9rpQ1yUTRpXGT0HI0MOPq4/LZLR83wl44suHrLEdusg
kkiZPjEdblmKrNmH9RSlHhnjGM9982qxKvqljiNzzrMqezc247Kbmpkfs3itE7O06myqYM91PIs8
HRYfNEndznI39jk7d65o977W7d5FcXvjgopdhGqdPvQZojxxAnsXBKtUzFxOchirtIhlYfYL0+H7
qi6CtBywnyBS7K7JcOh6dN3BqLy7zqPV7BxnXKQjzbIqIV6rOempU2cis92hD7N5X/Ve7gLbBWkT
4nRrg8DVVLFLY9dGaRYjuBR52e6FQApo45kcXNEZl46K0AvWjOVZZVdzSUJndrLpyzOpmiCNdRj9
khcjv5xzUr3LpdG3YqrLs36g3W+9aKJfMpy9S+KJdL91DfMr9jRmOiniTrmU0gW+PgsWlEnArL4d
JskvZTA0r4KgdO8yiOayqPruWvjqU0igU1+J6JdGlp/mYcpunFjN+bSFxmIYzOWiI1MfrA7rHL6t
dPGyKsX8uppLdo6I7tJsbMqzMdc0AQwoi0RHvr0ocyppwnxeXuW0U9eVyNtPIlDkipgKQvSat7so
mKRMPpu9HnJ2sYaZfF4IiKwuIYTMF1W6smJJm77L38g1wpHyuKzfqXVGiu0ns8t4UTU77Uazpma1
Qp+VbRR2L4gfO7UTRTb+WmRdoPYRGQeZtqYu10SErX0emHL9RQYtfzO3dfMpigtzgTMuAGmInGEo
+yOriLo1kSBvaGtgP9yGvEwt42OdqKIYzcHPjXpu544mSkVQgcvmmidz1OUmCfI6SMNKqNuht3A7
Fq5BOjKkuHVR8szRbvQJ11NX3Lo2yMczL9vqTk1RcFAt/EjEhuRJqUZ9NozZ/Hqyavx1tWt9xjvv
9GEKbFQeqo7ydb9Wsu4TO+STT8Rck/er6oaP0QrfYkG2kJ2e+PB2jF33W14xfhkvGjF0Ntis9QG9
ECErlx2byiAlNTTBi7x+1+dRezFnebu38xClta0+RbJQzzMi6AU2Qg4kb5ZdsAz9tCsaUVzltZr3
PtfqrAqgIU+R+jxFVCuklTteqOymGq2vd0U3F/dtp/ixrcWYLKIQ63NG/K/dsIxntDGNTZSHIayT
bC8mVn4asrJP+sCF6UD0mbL5vfM23hXDfNP20dGZ8b0vlvKiaUW091knLpEK41eFh1OSFtsKiR5f
jM6qfV7Dz5l0WRJ1cf2LJN16Gar50KyxTvN17lzaTPVQJ3VZlQl1GkaNqDi/LHS37FpfqWsKUHno
A3h97fWyG8cuS+hQLfvVIro1kxvPyJZ3O4ZzR011Vw6BvJZTxe/0PMhXdHTkyuQTeVOxjF7MHhZV
I6C+8yrTaagXsxtbHJ8PK9yokb26dq2fPgyB1TbJB8ScgtXyFRG2T1io7zhHoLQW8UMUQfxqLec6
iaxddlnct1nCqZevMlPb52TyiGSfkZZXtj/TYeN31VIhiEXe7MSEpa0x9lgO0qURIdOHgrfnXavb
JFdDCAsOo70t9TXtnDkUE5VQQtNdD/2Gq01kLjXpYExTX/gyaQhL6xjSKTM17Rrhyf5z1J2K8jdX
S3IfTohW42YjPFzJVZ258qric34Yl6JCjAOSSILA8asq54eBVWs6GhulnK6IiM7M6bgK87acIaE1
ztrdHMY2ZcEwpR4arhIdWnvMkQ3ejF2epVK07UW2+ubV4BF7ghzRY1Jw+npsIHNl/IFWvE/ydiyv
aBaF7xXx7nIMOPCo8deyHvRxEOF4VhVGnTUqD16g53FNSzr+GlTVcL3MhXuRVesvZUinX2S9yJ1c
THnGVsKPqyrXfVv0zXUX2Oylrn+Le9vsSlp8MnmWp8yVb+HPt3YM82MkTbAv8qZPXUi7a7YMkUZa
zM8Q3N8H3PgkipH0aoVsGJSFvu1bRF7bIuKEjSRvypB0Jl2h0u4hyAo2dIcVOjig9pqSWsxxirzd
puOiZ39swObbs7ZQSUSKbkrcoKo2WbRGMKtQ5PUwkUo1KcnD+ryd+lAlsovLpK1tY3fL2K820R0t
m4TmvQsTnk19k3RN9HZoouZi6mlzYWIXdqmRvr+gevA7T5ol0rusn00sLpcpmpsVyUdbxL8mnrLX
fTSV0y6sqyI4Y+XYFBdTpeg4J1GTjfKCjd60SSY8mj8psLj1IlmVjT8NS1XIRI51c99xkSekzOPz
WcYdSadF2QHohof7fpgR1xcZ10uZOuvcy1bEeWIr5pVPB5lXe9cVlu1W6snYIPYM72Qd1i41s76Z
KjrrpCMiB0JYMlYmXbyMF62u6l3Zhe+Z9MeuqqokWGiTMB4Uh0jAvxA4xlecV8ELQtug2rm4mZGr
o+UMfhrRxFTDkngt3THqvdvPfXZXF7zex1NU76PQyJ2Je/Jr46L5yiNHk2TObbhrWeSDVGm6XsFd
8w+5jolPajIEiY5nBWgZBOflzEN5iPMG8Y0JhG+WA52gWmJTMjGl+a7DgY+1n5omlQsfz74PsOk3
YFSFhJOIchHHIXiDEzDazaUJJPP1sWgaduHHoflkaA8JTm4awibJGaCV1hpiKyrirkYBZEHqorvu
CGBVaZs7JK72Qka93C0R6oyh7Nom1Yvnlywq1fPWVvZ5LQa1d2NfdonzGT/mGXyQzihT9ixushvK
QnYHRnEdE4W/zmRA4ldLBp4qyZZZ34ZlWb37HAPbNlQyndY6Kn5Q0pAN4z+qadAYAw8ShorTiKIN
9rjaGNY1Z34I9bEHmNiJaBpfuNyHcSItMJMDzL5aaFAUSbQCY9XKmksEP37paJOXCVE/Klrjv9oP
2BISg61B4X9atOZRjniA/diG3PpwubQ18ssUl3et9q+zBSn/+9awKftEACREmczQAYzB+WyF7VdU
xsBG3uRTp49jD0DaZj5DsgY0advCXAZsMeffX4/8lfWFMVdSoh9MqTypIlsLsMdErRFc+ylIEDEN
utbt2O0qGJYLjNrXA2xNcDm9/JyCJ7MScVZEEzkURAdpVmt+Z9Z+PJsHYJwf7G9b/1QgHIgyDIVA
d06eCCT3U1Yhe9VHJyrg7WAwiZurPJ0o+7Uv4+AYADYmsiqiA7eKp7l1F9/fwjd1NvocQkYcbhpR
qOZkB24Rk+hKUh4V6u0zHuTmsmPTj8LAN4wFVgFREQkasyiOT6OAL/2YCbQJjoIBPIscgavthEv7
SKHOELWhyVKheChqgN7vHzD6VsaAKOCjJVGEYCTgJAItpGaj1VNxZMOUZ0fNjHoeZJl613hA48FM
fLlWAVe3LVtua7X0n4KOT3u3jDxPnWmLcou31iW99pLuc9cBTrLaHoG/1fMKBObHPiOZOw+yAYXr
591/YYhfPtjCA8P5wXSLLfPiy7jFHz/+441p8N/ncYA/v9ymNf786cXvYx7fvevs3mztqeH0pm03
f7wLm/myu40jfvTDN4T1P6GkH6ZG/snFR3z1I3b+9zbAZ9Z5C0b/nK0+Ifm/4rm3537nqsUzBDcK
fucPavkLV40phGdISghACnw1E5vffaGqY/KMcgZmkkaSRIgnX3hqItERjDBzoggmGBTGGP4dnprS
R46/rUiiUAnwxrFQiL0nbqdJZVsy1fxewnI86tWOdQDFYTeW6y3nvqvvWGD5cGj7ZVjYDrmfF3Ma
mCx8n7eWtUFqormOL1TBF7+rVdD2x0k1enihedMFS2LqmXfvee0qcB2BELqiaQ5aj9zHs1n8a13M
sb6TknfZB9rQXlzlouzhnQ1B9aJT1nHbXBegK6Z2l2tu6y6BrzTNcxIvPbacNw1ZLqOGgkwNhnFj
s75S6RfT/5rMf5ye2GdumIHdZGobKonC0/REmtIXopD32WTaqj+6hmkG/x0HGx/XIXfllK5lh0kX
HWZllP0gWZ2ka6wfx4CRaAJLhMhvmwlrRSWgvyg/VqSmNQCjATNabKV/0FcHO0+IxjtbuJwVgHPB
2rUvJ0YB21PCAMPpBajuFrjLmJ5acoXw3+Pa92X0OKNivglZDc1ORbdO9GaWjzPqXJRBVFgafBQB
iohol69xHvcHLZmjYdJaJ8S7moeITt9f90Q327pMoR8R8TBSkp6u2/nFxCag8mO+wOZEMoadHn4t
WBa1eTJVpS+R3jGr5pKiMFEkfpA40cL9Km9ux47R32ESZB2X31KcOR/LIJwL+jGIddzTlE+h4Hdw
pMCdm7WM9VUZEENe0Lpf/E09hOFaoMtQagjl+4L4dicyloIBIIQqREvzBGEUcZHpagntRyYmuNxh
IWIlNbL15Ae2L2XGxDvrIQJ0OQCRxTsTLiNYibE0YTf9QCuP4Q7EggyLBhEHp41UDpD52BqcKMNq
qdvsQ6bWltsz03dNtuxBXAxqOVuknWEi3z8/OYlkWFOhCxZtjoo+3jcQK1drxVXngvdFaeMmOM6u
2BwCoL3AZJyfKraytGyGJeqSGf0TCIKXYeFvmk5US9oGxLY3qika2+56Drz7GlRpO7z//jYfAxAW
I/OHDBifowNJ4C0nsQQ4S9qwX+f3s3UWRgC+M4R+wnmiPEhmS8fgpovqfnMaN5nto+xy/wP9fCMs
1D9onNBQgKGn4JNPtiH7aHDLIMz7VvMAMbxC9EL7cFxCt/BLmnHE/SH3tr5rKt4iotqusSASZFAF
4Iz6AtF2i/xLgafactXjJZvrzjQ/CCvk1KwxrIfGS7R1mKBhIU7y00wn0HXtSt8PWSSCZl+5odP+
Zb86VF/p1C89NhfEzYhrZukbs+xkvS7BzdR12fmgrAaKbdYVRUVT9C3It1aFAl0Vz8NAvxZgUtZm
q+A3qjEKqoW0F+GqNN5alyAS+h+4Kdlqqz+RNiKVIFIJJUKCUhRQ+wQFwjLbfgTwfxdzwyuedqHk
MMUs80rZlKxxgNCeLQ/RU3uGa/5zOOlIJnFpnhwV/cFP9Mc+xE6jOHAxwAgHPkUvHL57Yhb1XA9N
Vhj0kC28qN/ToZbsBWgZulzSwS8Qh8pGvd42xbwsceILC74tRcCfxOu8X7MAJRzIslsb+EFcyVJs
AGFmYwNutvZ8U48ZqIIJLWPMx9edrer1dtWiBmUbar0lrRLSh4JMqwp8ibYCkIhs5hm6o7xa8DGs
Ye7kruMDHQ4i9p9p4jkvATD6z8srmQfLlEgzV3iFAXjAzsug3bCB63hT382DaPvuoEZLxhtGzeqe
W1tnYJJ0Y6MmDfKsmY85Q3L9rZVtxm7HcCQwsljmwBlj3xpAlO/HhtOouVUlIYoSuRUHGFs4MQ2a
LW1OVKffraQZbA4+P4y7IZlMZfQ59f2EQPH9FU+jURQjFkUEeZsAZnyz4mDDoZgaOv1GV78Z4+TZ
Fv6iIa6RvMXWhHuXVXSFEU6Rd0P+AiVVDDv9/jY2OPvIKWgsRBQjV/AojBhQ8uN8sdLR94ESzW3D
2sbRxBnPg3vTFz2iUVEPLdnbLDblSzRTckScruAm3+fSRaNJZBxPekxclPeXOpPiZqZWyyUZJiLG
104GYZn2fJ3NJYwoLJIqZBnoGZaBJYKzFyHs0IwF0MV5VtVu8/wRPMV1hHzfLQmtLZ1/VIeexjW5
cQCAGzg1TgsK5iRd1yIrQGUO8dvRtyFALLc2Aogd181uGUAWOxZkmmG2c60oPnL0mrZQJ7rNpKmv
pii7yWaxfRn15Yree9lFdAuR/Tqg9dnrsRvKs5UvNbwum9DM2nrxsoF3xqSHG/1AiSeRTQIBSaRN
RDVoEFOkJ6G6p22zmqqN3kpXUPiW6/JtAy6gfnPdz36MSZYFe8uKeXNxxMotpNiuR6IJCgIYT2a+
fWV6NELutKpidiwnvcmhXyYjrsDY4q6yoNsRl7wRw6EOYksPnbQjHdIF+QLH/cHRTlAmjobeKIsI
XAXzS8B7j+3TobUVa2+WtzQft0jlbA/TWvVamg8ulHUEvtoZDMLEUbvlxyYwBAqZRaPR2VsbQVx+
UDTw01ugVAtxTHFFYX10XBFN2hJt//GMTbrboptH2DyWUTchGDogEixYuizET6ixCETR5AyicCDq
Apdy7Su4RKGiCj89yGcLhfXd94Vw4qMScAHoKo64RNkZftPNJ9PKxCL64M3YxOCBDw/wNirkPNYp
Kssib38UFk7S0bYkhjzCCNNc+B+o6bHYw8oAtXZz/GbwBBbiFoyMof2yOsiHVR0zfJ9NgZmHBGTt
AoHrMWsBWRD0IKXJztq9jMUgs+qQOSYRDOCQ42uLKUFkgCaA47u5RaL6ora8n1qIctayha/AizZ1
5PW8KSKoSoIPtVRqfB2axmAnvEZb97YWbqtTvy9tpujjmIjDb0kAQYKAoP22ogIcHII8nJc3RbEI
nYFOrmmXZlOYVVciWpld9n1hRScThXmgqkis7cv+ItSezhztj6IPLm3eBOxF1hToUqBtPecfwlKH
xynzTGC+oTX6I6v0al83RjT4ZZ2V6OmajSSc152sWsW7tAd+HPxhmrgcr2xfYGIhEU3YkOc0tETt
2tYqklaz8xaDP7PsVxDo7WjZnOZzPcIZxtVOi07mgFesOqiIeHYjtFtYnoYz8ZM/69RUkAz4Lcvd
uStiILM0XvW0rihrYYrd+VwvmU/6oavEYVRxTne8Ceb1zSRMVN56pvNsR5mLSLqgPjULqD20kXaq
jKY6zbnOj3FE3a434bReZqoNwzMyEbCZeTDIItx3tWnYW7Qd0Dx/q0w4z29mN1P3IhjQJH+NjBH7
j9wKYd+u8Zi3JumMIcXwSs2rrs+yEuzGYTUM8y6JAosYFWls16GX70lTyfZjEXVmnHcwlaW/V95N
U5jWehpIdXRZ23O5Qx3AtTjLmqAWV4rEQV2fjaKLBl3cF7KlDlKeCZWWvVipGWHSK7FDV7yiInQi
3Lct67r4HI1ctOSet3yu+3xfjbmbxucTz/KyPGSsmTx/nbUR7c9FxYpcHmArgtZJN64h0roeZDmp
JA+Y6N2uyOxaLedTPgRFeTaVDbJNWquJIcCOXen5rybwgg/nMI4pyEAWA7aQK98BdanELVTO4lqD
hsWHe/gyKEuNayDJGZZbzcD696vvVTReVMJ2eXQkcxDE6A9WvPbx2dxWpNEJx3QU8mLIgxLHySlH
Urmbs0WEaC+hv8/z62Xqpi5+WWVBNelDXNMg6s5rj5GH8VpUlJcq6ZXaOInYOl7Ut3GeZcF6yZge
IKlg6RGyXyBq9wW/DGhmY/2clH1J9MuqmiqZ7acKgSDfm5Kg35ciZG1bWsYAgzP7MMcQQL8Lu7pC
5711YcDbXyMMMmC9ptJKvfU5BgxTi9Ibko2kL5FBUoKuOV6C/QOyJH2vNkzPCjQRURgUpKXiUBXT
JjGqXY0PMxQuuGmbeAv5bHS5jFM1OQMDWFvgjTOnbIP7uoejFo6vEF9fxfiDXDJkWE0XBEVmS8pN
PaRjRcR/IXre5NwyVYFLCnxgoYqgrWXB7vseBU1/sGUJpJVOkixxn5ay4CDPYfK+97euajE1AXkF
xWrOCr8yMr+QVbxtuYSmu/VGwLKwAsWl/n0WzJuBCRtsmudLgO+0ajbRjCPBrUixaJRgD2M7YNn0
y3mspbR/D8KtwHcY3TTipuYsUzTFfAsIIDRCCwJZfLGebB0UXhlXwXa4zC2fheFhNTb9gnEVX/n2
Ex14/YKGpQ1uvog6eLj9dyE/3AemIKpfxFHXYAOkDYrxfV2ib2Ex/0MXHLqPVvyOZJJHNC/DGxTg
uVEJf1CUWUcHU0Pl7W1+3hK1ZHxrMY6LuFaNN5DSGDUat0QdODabgubIRpXU4bKB3rzhEb7UcR72
79WDBE0HD0JcezhTEZWo0dLOtGIix8XLrToPH1T7YB4CbSTIR7AST+x5rLfDz2IpYKc5sdsyBSsE
vlxMH8bF2zUomXcXOCndxPtgSKtfPHaJQ25vIaUd8Bw6HxTWNbhi2/qDQIN1Qlc8NZoaFu+DkLd1
db5GPJ67s3wjkcL9VHoDn1ZVvjEfwwT9lmMc9e/R3m5hPgNmCLfDW8wiiesBXPb2wmjcPtiYS3zo
NtzcoVn5tv/Wi7yY3nqd67w8tLnEe4uekpwe62GJibukD7ZSVoNy8dkXkStMCGE7c0lrvAQZwGDx
qitr5PmR9KsI3wK5VXLcdRgHass0HPIMi3MMZKBkcroDt6lBGICygZoKfx6bfHNnj/yK7+rFi0oe
aoDFebmgatCzOTpmQvS7tWK6GZNsyEEbonvkcX/h+gEfAI1cXzW9x99LM4G34+FEQBX14PL11Vi7
DKTAZCusTorcjLeizWZUAeiabrY/KYTy6jDTPkKEkRZTn3KvG6TYZj8HbaaGc66QqubfQsyCIt7k
2pi6Pn6hkyunC1sdfKFR735Y2IDfVMJsQQFxnNHPPtMbqSGwIZvqbL2lhTSTe9vTqZjE0T0cfVb5
ABHRbl5rnKjOp4HvxRoSRDln2SY+Mneb1YCv2kz8gT+VQz1BAsRH23ldWUb4sDBw3N+XYB+DpNQr
eGUMn9atSkBZLKJ5QTticYdAvw1GPXI/wK4eSBaMwmibHXzb2yw6z7N+xTsw07dRb1sLHqxhzxla
b2cZqVH6Ng1qpzZ1GAtAHdrUmBjHeArG1UDC57XE4MaOimxBzhsWRJrqgFpvE54v6UYVRF7W4OIr
3eZ43C4ap/xtAjzLgospG6wtrxStNpLSeKS7F3GdUeFeMdBYS7afsypYioOYOq6HHagLjHsnMUgg
8Y7llKAkRzJUUP4asBWnEm2zpY2GZ5u52cgSGN+DJCtnwETTMsS00MW08iaLX9Wrn4IbCzANVmHt
eiXeId7CvoKpWyGBioXbGbKuDf6HvS9bjhvHtv0i3uAATq8kM1OZklKTLVt6QViWiyRAkCBAgAC/
/qy0fLq7XB1Vcd7vix1VGpIDsLH3mozij/HyglIN0EdesIBSTKt8zUrfzdEbcUM2nLNslp7uSTzp
Jfhj7SPm6A4nWjKklR6Afwd1MUS5egYiufLlU9jOrG1rmvqkg8gQMtVkfi9tb+f4RdMC0MRBcWNF
CaXspvnzRkxMpsrgdHAY9qNoQk+Zg3I3kcEqF6yMa4v/GeQW8i0wU675dScf73KWDABxDTeJv9zW
z3IzDPZS/0rfXqoJuv/L5u21uHzH+BO9pwxKD0iKojDAd/jWX76RJkAnxA6T+4Xb6AcqsZVbdIv0
vC0+kjuGjXrZlaW4fOXXkkVPiUoExcvlSx8Q/KWcBm2tHKSzeRXFKizuTZe361St4QjAnviNlvFx
hZYOP9QG2wUO1OCJ8BdBW7Yc5y3E+iYh+IczcMvLlfMeTOPrrw8CW48jbcZSCZ4+JraxZ1vOKzZK
Qx74R8HiH0DjDCsLVkMwzBcQUqtMEdIIKMEgsevmzARPpk8l7nlZweLZUx+3lzauIw6fkdvhclnm
54YLJo5zpKKpuWxyGV9oxmZc3WVN5nSLeV+lnR6F2HVswG7cfzwQ4MCXosfhqsPvJToK2HUXJ0Ne
/APw9dtADywH9QErGHqDPIv+Ait3CzgE4NXxUzdNGa46b1uH3bBOKLMz5Mu4iMECeOkq28+Xa/+H
6e7Ps93l47MLVwMBThrh838bbJVxU7DqHFDVR2lkwIBxFZgDsJP+/qN+A9Cxm0IIffBZgKzwZ3YZ
6/9D6rJCoFtQtJL/u0ZC7qapniUl5C4vwVmhImfd5aWanuENT0QRvLJfxfHvr+XPEEIK0RFQoQgS
nwx0ONZ5/OdroTaJAd+y9qkEq5a99ml06cc1BLPJbpvQOv/Tc/7rB8KsDOAgK8oY4GL5G67IOwX5
LVTyj7MbcVC0HCf+MfccZe7Xzv77G4x+03jgDi9ZD2kexUUcgY767QPdwEg7LkP2+KtirB2EtB2E
xolP070jurCQTsNH9WDWxLNGmPFSzxOF0hDoDVq9f0Dloj+vdDxzjFJFicML1iOY4X5XHvkyDNbc
J/Pj8LGpVvR12OPOcIq63he2xyvoiPHYmWWCwwGtRdBdLgQS79lA9zpjst+nIpnSsHIoLb5GqZ/x
7dgfNDr3PsE8Wa8ffJb8KLN//1h/f414cSRMwhSMSRRFxe/KGZy78xK7wJ47zS+VafvZCEmdjubB
B4UhsMX+S8PxXwj///Z5KVxuPy3XsDf9Bs7mDt1IXITm/OvYc203syqEiD+doHbv2/8TtJaGgPwj
KMOwMRB5QP5SDpKVAom2PTt/HEtoki9vI+cD9sWo58uB8fc3eKkv/yahgM9CZYWFehGlgCnGf/95
I65+c73aUn6Vj4HiaZ0LkSevmcKG+act+NePwqsrQHsVF8FV/nupEzQW3rRZe/XRitgU6AjWUTwL
/PX3d/VLivEfNwasEB9VQiDzk5gvfqcLwxC8TN53+qC2OOz0Lk7dRY1gQmhUpz/0NoJDryfdAlst
K0E3TIvVkrZLJK5xWkOC09YTl0B+bmIC7CG8FzRt2+nKozdIpzN1PY+cr2kMyulFz7PAGKRYTMZ5
JwazxUsdTmGmRVOoFFDbTeKiKcnuyw8+j2cYRpI7OopodrccbpsSkhljsz4CJsIg1bjCoJH3cJYE
TOJV/GpQ8gA/1lX8o61Ahw4RapX9LGMfowaHbwaUZwehdFpjNLy0AauNAzS0sBliThhjg29Ai5WZ
/Jzo4dLMBR+9jQQ5it0eyiLa+orrRURbNWpVjn2TyXxgpvpfyGPGsQlPwkcj87ODArO24vluc3E5
xPPZAlnCbMFhhpDFhI8UHFOFPYVgK/q2HpzQmKeA5w9s+Jyg7S2Tc+aXksgjy8LgAgZoq4Cz+o85
rFy9Tuam40YAdgUCk4NlqFi3wE1bBwZWBkh35wTqofi+nEuZr7t2zkg6f0p9abfpE/iGC6OFHjCM
s/O0aJAInyCSzkjbQIQEOcG+U3MUsVpEaDr/8Bg9dXFKM7fGr1Hq/FKcAZtR+TCWJePxjo06CDEJ
Q0nplhquY3Dpu3HyeLfN6uJN+SoMgEzYGq1ZlBa1J56uN7zUi94q0NFrj2m6LBR40b4L9QG612V9
y0LBfddQgoZ7rEQ+CvV1BPISmKr4oNx+1aIZfHib3RQCdZvtx27IYphxP/osAN+XPtGPy+XQ+Vga
w89ucMwHjpFNlVDEyMqqMBPRxbcz5biMmPO4Wnlgy08o4lPxJMcyGPaiT9sUVrJ2fUp9n7LG9ys9
9MQmV/AYbEehnL0CkjE95iqLa1em3TnvlyEEZmzVJ4pFfUXadNIVdl/3xpQcvrZhPzWujOBZKoZk
OWDYBaQUj3CKyfB14tiO4yqzm2ztZZOTrsPbDQO1Z7kjOzb15m5jwxLu0JUvu8KHyYAVm4nvnTRP
cUTktSJBey2sXnapBgQN7Ut7ZSdTNl25Fg+57Gbw+rJ/7/VMm6GTbeXJODYpLecTnF5i7+kIFniU
KcGvLvxYEzbm+xW/8lhgHnuDTdEcoHug73PJhwN30bBVvmTpvmPh9CQJsPlqAESjqyCZ2s+r24pv
A/xeGOWN+LQWcb8L4yU8kbCEonMKguSGAKbbq0WPPzTL6QPAwx56pSUp3yNQPZhnIhk92ph1/V76
MdhFWiyP2hIADigFjfbOnBKtPK9SsRawAJa0K772Ni79EQoE813H8JTtJiMXjDm96HxlEVvxo1jS
XDQBDdRJlJAjNCRa2IOzCcecJKbrVC/RXFO4F7+FTMsbl5PwWmfRZYXS9MKhtnY9ObSzt2HO7RHo
d3DqedLFTYHq9x6tazJW21ZEHcZmGbyscl5/zEHg6riPtm9asymGokBCPrjBjF15WJ2GCoopZRq5
rdydMtPObQVHCSTpUY5CjJGqtmsyJCdShIM8KTerfSxNfJ0OsDMA6X1OV/89NJSeSYTtY7VZGkCL
IUx8Tti8Sf2UQIy/jGfZEfXipUNPFoLebnVlODQQvM77NpVVYBLyDcz0VCXxMB4mAAVVHIrlwUUj
f9CdX3jNl6X9PHd+/go7noir2RlX00hJVjFcHxjXApgbNp7rtpo4qLvLWHdDPW6WfWNCbvACheIZ
kuS5ktJGDyVIhKOMVVEbFdIT6UfyTReZu2HA+y1oB2LwoXSpqAlmTKSmvckKmAqrIeLlNxWgqWkK
9GesSpme76Gq5nsUephp4QHKr5Zo6u6h04G2Y+3U53ga5cEaFx2YtNk3ldDPK+bkz9sstuIwS+Ir
Nov2h8cDOXRLbswObaB/gp8thduWzGBsebtUYWftMSu5PMzoQyPYJXX5uRyX8i2BS/ETU3R6s5vd
fhgs8MbmU3xLICw4hDgpmtnNyxP6y6BK19HeBErz1y2cxkMyRBTKLMDJ586HBGeZQ0UKWV8AD0p5
dpWDmKmlHtmBp0Z9hrYrwfXb+BSFY7JnWaJfgMvN9+UIb0nkh/JJCLVdt5rNO5ej5GIMFv15JOFy
Uoas96Om6pMqCvI94TBuVfHs7Zl4gc0DTOsuShZz7VS+HvvVJRNwm2I80EyQBuMxFJaAPcrjBovV
DaWdetjgW/xcADp5mbdi+YQDv0XYgMpvtyhYoGHK+v1Q0vQGDHeU1Isoh6bY/Jhgvatxv7XBdM8B
wd+3bpJzDWVIuFcrm1/kYkiL4XrbblRJzDWEShzogJg+tclWCtRs4XZJzourCJxfbeVG7grbJkDm
VfAe0BgatBufkq0vay8cet0mN4C0ixueJnBr7kJECg1LNZSS3qyBbO+BsgxnGCPG52FR3/AzLYDe
PnrWAh0MMzk7u5JBfpnKqD+Vk4xfTUDNWg/dGt5C6mM+97G1M/wMQ0Lqsovya0InVezLUIzlSXSF
bMDjkq2C1WptinITecW2pbSVSOh4ngLw/dc+mHM86yxcF3UzlxZET+RUtB5HAmtb4kjwkI9lL+vM
KTiuu1KqR6j5rdiB8vXdtej51DeBGlOIECmNgkNutd4efTEq0x0urUfYlPCEDRPHU5vWlp84ZnI1
1FGOzqVOhaH2FmgJ0zWcWe2nNd8mX0/hkN1ArkejZo3QIl4vGMSX57TH9KdQR5Rc0gyNUwu/Lb2y
S5af0tiFI/u0JZ7GMKK6OSzNKUaxC48FASNwmAc/qqazOjVPJTy9MCrFcLiqSgW0HXgdkNI99QlU
M1XckeFh8lGwHVYMmqwO8zkOb9aSubGOFXD823xAOW0gkNuaCcjWicVLXyMkj5+WwDvN7gYfZOUG
S6QYQyca4DSCX1RaMk7F3bIQViyNz1g2xADYYf3aTQXozdpEPhY7Ap96dwOvFMsqMQLmrbfFzWOV
CA/iJzeMX409SaddC6LwlveASRsYud1V0iJfqcmKsMsBiTEVHXmLiJFKmjT3VbyC/c6WeDnDFeHy
WjBKdJUTngCKA2b3HMHN+G5LtCaJkj4+TBONYIywXWxg1cxcF0w1uHlI0dYq77JHH5ApR2NmCt8P
NSopjDd4eUHv+u8oQnOR7To5yCpt58jBkSPyKO92MnZTmt5Ggc3MZ5C5gl6xuSDfWmtft61rP7ed
fG1LmbIKY4J4WqHt2NGCqkOIwyNEkcgU6K98ux7gOTyrpDd726mylrPc4KeHTFNWQqTiSY1DBjdt
Bhde0RPUV7uI70tLt30+DaDxWkdvwTAWYR3BMj83Gw4bcl/qLnnKISBSTW+B9WA9YMHAK9Kv7wjn
4A9yHnWx03ne3uhpRF7GrJd2Z1xr6RGocZtXgXDlUUxsbuJxHvZ8punTyMNoVy4wRHGaBrcxd+Q6
liAtpxZ2XLg/26mJY2q/jSY3h83FcInCAjWIJiztrHfwJ05n6AfX5SjVSqtSr6GrZ96ymmTayqqM
BIWGFIJIc9QZbm7nAXI/bRR5hBS89ww3d2cbhU25Vpvn6oxTHod/Dx9VA4v08I5LoI84dXpEQZRZ
bUZ42lnfRq9A3tweop3yMIWl2OcyZ/cBC1VtYRf/Go7i88CgBGsxuO3zmLKXaY2XCXblaXpJQqpO
sENS2JWVY0XdAxw9URnjptsQCHfvbI1hN7ljGEtOdo3677xL8ldO2+grj5L1xoK5bVI5T8cEkPEz
wPeYX2qak1XCwvk2ozRB34rieFmE5Dvhl2HYj+JyartYv022CPrdkPUgQgEmT9lxTMd+qrXq3QKu
aUO+xZyvLKqTAXWkyoKepbeD1PFb13ULPNgDrqFiQ94VNcfvrQF/YU10XqZHuKHjvFmQUQBPd4Dj
+yTktHyRmNq6msskCV9x8K5wwgfFaq+ChWfNIllw1c9p/PmiG9hHm+Wm6n0g79LUsTdjC4njAZPn
fjIUaqiJpskNqDt1LeHeGyrVoqW5cdrINx4vrq81YEZb9XZw35fFY69gU2JOMxIo5rsFawV/JLN2
NzKbwMI7t5BM9W5DMw/Z6A8CCSndi7xbronH/FYFaEeWZqBzkO6CWUDzG242fV70MLzk0rqa60Q3
QxjM4dmsefQEdq0ooQpCD1dly9oNhxVNFWz84bjC+drBBD67Eq0nVBzBdE66NQpqQy9KPC/CVO6U
tHAYQJGCRVSTTnSMcLtvbQYqRfCacTRpancZY21N/dzH6KmTkW5fR21GfhdP0aobTBWUo6SV2bTJ
WkXIMPCHIIzZSBCTkdACNtq5T74NkI0G8EsHhWN0D8KMu/CWd1M2lTWmbUdkZbZOaFPnOHBT33Tg
r4qhMlBzE2QHWE8Fv/YFjRMEGRgMYPJ+sECHkNgBmXdp9sogSudr23Iytc2KrQIaBW6cZFSVdfOU
LfsWvdp4NJ0JxB/6YmBOdx30TwJpATO4ticaxuBeDhJCqWVslCdByO6ZkRzvgQSQSxkGJTM4AAuZ
O27/hwjKPMRz1Gz0TSk7l35NwTJ1Tx9gbSAvhMMylBdoNI6ok9ew9l2oe+gFLjwI9uGWv8O3G7rs
AF31hv02R7rsX4xcu6CrxgJAV4DJlrI1wxGBcrw8mw6AQnGzoKF055CVoSe1abWZ+WEDu4W3hSOP
TewtKcxoRZMOi/HjdWJwexuCBqCy0DVEL8nFzLukss92GYSqfXIKjZn9BB1Sv6DHwezQznspC4Z6
HCBqhUOFdBtDzIXWXZaomL7s0UQV5NAvufBeAoW1QFL7GpIqM6xk146O9MNOrlDclMAOxqm42dD6
FTsaDMheqRZLS2mqiMwl2eV+S8gBvJ94loUZPgdQ1yxVPMF8hkAU7J0d1CbiPYQRdQNLE3aK76ZM
l11jFXQqrtriGeTjhsyonyr7U9m39j6FOvYKOHB/M4U0qXmcmVsWeS92MhEQa9kSRLAMhidWujU/
zmjh8ioZpSeVG1c+HtQSQsXoCrmOMOdY/i4Rt4L4K0UERXZYQUyzJJt/1H2wOjQIwbBDB4oJkTKZ
pgeVkUU0VBTuLdio87KK2nWOHgve87RZ+3H8rhDEpirNLEaDcQssphHFom6HdkLpKwMHu31vA3dB
XNBRx2O98a7dw6dlabAXJiogzonncqxpSCbYtH2oryI95S+DHUik65zG7VQDUOxTTKi512dRZKFp
EHVnlq+QPkA2AQ0rVHY1NB2zRYMUxdAVAdw6t5i8YcGf0YffOhBuCGZLeL7LeTacghYuWw3hNcwV
0NZJAelG7I1uijEtQUkFS3eAbwEvJndtUCXQ1l3NcphZbQCYvW0QLGBt0PLBBOGE+9zkPouku/d4
2Q0paVHuGLQVPwKIlwAeMtneBCjD+hXD5do95EyoS9eVxP0VOpjspEie9m8okYk/JJawx2lN6C1k
ku17qyI8+WLdHORq1AAZ2RD1Uck+XD8XLjX3qxo63AJsbBfftphQTXMBswJPy8cI8GHelGxajxFA
i75ZoY35siYEPsKUa3I1EsYgT1TpEzKUpv0Sj+HXTOmoKnPoEDs1bFDo681XsBz5MzyVcd/ERluY
uoYRAvmyt6U9tkgFQ5kfN8hBW7o6XC5SgyCNwDRcyzH38R4MEXjWMIGxsGltYlF6A/gd+mqROeSF
SatnNAWj17eJkeamRXhP0YRpK/M9hBDy0+ryBarjZcRdQg2QvxLVFW0l0IDfzcGl49UIxBor9NS+
h5uYlpCj8LnvGhzoDMorwCX3mwACUG2ZlNmOWwjsmiQU/W6bHX6mTSGng2xEyMYm8o9VI2wqptrV
65L6lxzVwl67ZVSyGWZbPOpULQYfl6YzBoIeKJCIp9tkoPF10Q08h0yIelGpiJbXQdDFb37o+ckF
Ut9Dq8dqaMDib3DFmBE8Q176uk81U3WO5BvfmNUzXQ0KeSY70/XFgPqrkuGaRbFP90u2ps8BRaLO
GcgVTwAGTMIjiENEL30JxUMlIMQ4T1CYhEiQSD2GgjKGq2GmYSp2ImLdJ546tdY4N9HVoT9vukTN
xeW5ZXdrsgKGTuKJnotBJF9nqCzayprhJdFi+qqWaao6BL4+5lBUQijVWiz5Qb20wRq26K1cUAfo
PG6Vgb1HA3d5HVsTHBXDpm5Uz/O7xSzTaUlneD1Uzm+AC+RXAQ2LZyDGfY5l0GZvMt6SnSOhfrTK
x0eupyWumS3WS7cWCkhnRkA8udbFlU66MWu2MkDjJPrSHcY0tsMj3LJ9owBuNQpLndRzkpod2pfo
evRTB23gGiEpyruvJV2iSmoTwjqJzA1RDPQPyIrDhqRk+Vyg3T9EhEZvExToX0P8SFoFDg8Okv+v
8NwUtw4k/0HaBbuuMN8gUF7upQk9rYplCiPsg+0eqTFwuauIiAPOAzVizNBJU+QQp+Cnb9Y5Vl8Y
wI6mcBhUZmRfbpXrouk5KAbyxLqEiJoA1T9KOSL7r4LSkifJd2+A/qsdl8CD1BsOKC5sAw4cLqav
mGgRnveoiJ5IerewbkaV18i7gzZJzfA/QyTgPBMzuAYQjhPiZiCl8QckslzEU8kUuqU7hqYTbDtC
yO2Xz7R3a/o9HcnEr9hUiIXUlKhwCZrCpmRVKF4cahZwWtBHsDLqs7CB8C7a0DYWIQJXFM9U6I7G
O6CYVRa7dE/IuBavCOlZUFRmyQcErKx52oXIJbEjdApN4LO2haCFQGMFOTLaeKiqPLzQ2DSQsZMU
UtBOTj/COfC5bkBoQqi303L1HEEaW99yqIUQBXQRkWMNzqBBWtZu4fxgk2LBCNMnLlPqeSpWalkD
IrbA3AfLUO/YmbFJIzFCrxliJnehTIye3wzfbOQr/BbkHiEqj6AlqzbZoTJcUdgkWVkDsb7cCcna
sBwOXetsPn8xQbvFKZKRCo6vQQufZ+46WDQG5mvmNR2y2iF6JLf7f6Dn/mwQAfkHAzUyMNFjgpXO
IHz4M+s4hpg5mJPl95DBRfKL9Y4znoJ+UogWgdpzLSwyVUJBVJxXuRpgRKoG8Ci6XpLR5Z/ZT6Lr
76/rz2wvLgsJwRnsqghDAXkIrujPl9WnHtakts/f+SQv3ibxIfwQvBywEIMJdNk/EJV/5uQvnwgb
N57GxTsMyvf3vBOAhsUSwi/xA+mIl0+0H6qaJB0VqHmdd8RABGdDF8Dy0TOQlR+v4v+nOfzXfz3i
36kMcO5cbEn/0gL8JX3438naf/mhX2EORf7/8OKwTCJ4gjCYXZbLr+DhMkLwcJpB3FNCb4K0B2yA
fwcPI5MYrTbYfbx1aAv+FeiQIB0Cqu9LTmYWg5jP4v9LoAPqyO/cPnIhkvIi/EC/BtXHZfH9h+Cn
z3pYOiLdndwcISVrlVMKKsBn13LOAw2oMSLNpTd9knyeL9GBaU/r0Bapa1oNE9OVAi6DxLJpyE7b
lhO6G5ByCN1jGLoHTDWCHCKW++CBQyv+ZYZMLQVWmgDW8SgdIBdjbW+GFeFx1QBeMq6MCDeCvFuT
QeWLdEEY89R23KJtIdXIkHyzQeegdhaKwa5O1ometKZImyFFML+VzOffCzSXzYJDfoeCCUYJIN0C
qxdI37TBOEDimzJeukaXIrtdoYeqhDWPekCiYa6jBBTfYEMAMlnUPyEXyz+4LlzOULiLR4HAwHGH
IIqgqxmCRtNqTMMWPQiTj0MqEaeHaWMXAeS9atesPMVS9ddRVxxcH6ug6qZ+2qcj8jpB6nA8TCRl
RY1L6bwnSx5/GUowqz20/U9R7LJd2ZHX1nqAJpOHc2ZLknsTM3W0E5I1uii+RxyhblJkgcGP0GeV
w2B1n+QBtJvj+gjhLxDoYYCOF56o7ntGY3kg+ZTUKh/5dSQEYLHMzehVkJMAb27f3moQoOe1G8GT
LmYzN+G6m+MJQgapxB8MIuq95cTvddoXyPTJ9SNyfr+nlCKZFVEydRZ0EBpo/NGl25eSBCCNczHW
ckgBfMHtnaPVe2JKJ4+JK911AgL+vtc41CQH4xsn3bd0ytZma931cMElwNIgMTqmpIJzKXiwkxNP
g+KiHvmgz3HCu3rBE6lpyR/AlQP5dcia7pHr/5m7jVZEx+7sIdFspEvjXZTiShH52Dahpe2nrciR
1TqAkTc1Gydkxo2MKZyXMrpOujk8+dC8D/j+uxaWoYccObhd4x0tH3NU4AckU9kKUlpGK9lu25kE
yQJnvA0OHHLwwxaY8RE8YQzI1iw3MSfkklJaSZWQfYRlfzu5ZHuxCmPULkBW6omwLmok4cNcJZio
mpnz9WAYbffBbK4ziMBhP81urYXGBxPBCIh3KlhdMBdcJSMEiFC/S4tsQfTwhsLdl23LcwBqvgNp
UfQ+3FPwKBbBinoev/rVsHu00HfBMjxHSLltyoE8RnM47MZCftcyz4+CTc8Q3I5IS9WvAgfsnvfx
gqTTHvwp/If1eHlT/h08BVJWogUJfib8QpDdWFtf0iu52uB2RYz6jhrZNrDSvqAY6rtYCrcPNCaw
gbfp0QMHeCZZsNaOoRkSVIVgw2Nsq+CU0y6tEJPyYnM670wu1AHRGfGR6RNM/TeLQAc7L+DURxBz
VPfoXkpQKEQ0wjHIWlbZ7zmUIJgbmH4saDI8yCJtjxZC0spvHOHAZeYehBu2w7jwuJFSqsPGXXZL
lD1BarsegU5RDq5Grw8rASYUeSRcwWt8XknUjdhgMCat4dPIAjKUzRypmN1DxZGIGyhEz0IVb9MM
82GWbeUnlgC6IfGI3Nqip/dwPfV30LZ+gx+LHDFezGj+om+ZtCk4fbSpr1rhlkPRyQaKiPi6HUax
D0GzICG5HYBQk2E3gAi/9yi7VedQ7/Av4kCzmY/+dTMAjSxFfbYGa7D3zr+W3vUYQvtwfpoVYknD
DG5h0BR3k+hIWdlyMPK+TWl0TICL6YOEy1NWQ2pDoA9sOgKho1OFnPuhmaD8eFxY/oeEUa5uY2QH
r10xIC+2gBeqCrKlqCQoA4hvSC/AINQwakMgBBQsACjcbfsiXqCh6GaHLT5KOHfNcwdXf0SuvB1/
4qudwdkSzN95wODT6wgzcF10a5zdcQXJUMVgIkQOYMG2G0dU9uAw5T0limKL8BVL76gWm37VcJ2c
uk14XS1bkr4tWP19HcGW0tVRQHNSrRAvPc5DAIEEjUJ1muKwOM0emM+CfEkQsfNyBDzb3sESMTwh
2ALQAGSY+aHjiCmtEencvciC6J0FhHOFHMcOIUUIX0EsqgJe0fqFwImmoh6MlMwR/7gaerSywP5I
rAV66rbgQaK0/wHEDQwG/MXr7QK+8d5D/RY2eeadqrZoBM3MUrgCKuI28wUo2/xtVmH/gjO5HatV
mFudbOKOQqv+B7JmDCCRgSaP8BnbLwEftrMI82MeZcMPIZLsPYVts6/6DqAdYD477NqS9McUU4tA
ta11gfG9QQ5vIaC8wFOsGBIrn4316c2Q6eEdPAmjJ2GAc1ZwNq0PdCbZM86Rcgdmr90b72PQNjnS
VRHaC8/JEaSE+877viQoRi19Lvlo7x0UF1iVvgvue5ZpWcWJUC/MU35OBtliloclN6/jEsGbJdDX
d7LM/BEo4dOgB+Rj99tIjzzi4CJ5h80KimK+2+ZkprVeNez9se6Rg+uRZ3ErwaS8QPWx/oBWZX4t
CLF7BFyCLA3asi0rN/vgpCJm78cU9QaRuSr4TkKP1FQ1gllIggJAYe6lusphGngtWzdCuLVRc5TR
kqwN69nsAUcJ9mUGM0eqYkqWR0YuUFjgkvmcLXI4Ys/17GDiUHqovhwCgHmHOPNchS+0XCjZjT3U
1w3cd+nBDKR/BHobHgC35dA4mBGMQ0HYAeWZFXAcIPYz4XF+8z/sndly3MrVpV+lo+/hwDxc9E2h
UBNZnESK4rlBUBKFecxMTE/fH+TjbqmkXwz72hG2ww4fCUMBidx7r/WteZTdyUCxToVs6/BO6RCW
GDU260w3pK1pR51O/8dlphs5aR3YG0O094YSciscJ7gutUFVGy9u5Hby8vYoPJvSnyC//gW2svQ2
WaKEEULRaD4V0HEgm9vQ5zB7dcubywbqHOtju7VM9zPQzuDJS+vqlSFgs7PStZvCEh9XVL9Fo4Vj
ULAiIpvTjxmsi3Ow2N5fg9OXhzZt5yQ0E2fBK2/N1mdv7NMrycD2I0NGenB+ZU32pusHsanB+R4S
fB6CRqNCxpBb6UzLN+4G1Gqp8Uq/z6Sn5zB3tWN57wSS9m0OL+NFLWwgo0QfFc+SLlDP1Z7xNejM
jpls5SbayW/y+FMWyPppxkgudladTldKqHk/5PTItkvPXBs5bHHMk+JOX1T2qau9m2Qetk1aDSGj
uWj0Fc1edIv3tgyYKHmoCRP8i9kWBJF565bsDX3E7fvOZWOxcfrB/hx4C/gpu2mTFfDHeJvBnq1t
DM0y5tAQmb4PyiS5EdJcotFc4qNJr2qPJFxul9Yqd0rX1bWhpZGr+uotzU1qRFx83pubZz0+BVGn
q7+4f0ocL/7s2k28Gxodby+/5iJCmjPqnJpTcUzYZgmAMw5j56xPchuLu51/bRnb1htg3/Wm1dKS
pcUaz03cpc9lPJWPGRODvZ45EF6MWF33LYIPHnDXvwLDG4SJzh6xGhNEdJUGLa7v1MHPAvqptZkU
n5D4G/0mjcchpW3n0FFsW9ONunhZrgrNaE+jaxvXXGGJ8DbLvsRLJhEgSnmo2o6xWmDVx67E9m0W
y3M7T6MKDdPoXxOr8+4YymlvBt7Nf1KS/lslv1Ml46fTzT9VyecMlS7/atvsJ1biP//cvwpl/x84
IGAXmBbCfcOhrv2hUHa/B/OsIJi/K+QV2Iu+eo3isQjWom4FcYj8FsuP4/87FfHavvlBEk6jC0W4
RSQAKnsdhzKn8WM9rHTpp3LgM8VYcTnrVc90Ix9B+rO1g1CPc7v/Agi9+0K7On4Hakr77ZejE06A
Z4FR6gplcy6OnnkMzYtWFOvOezl7SbHsNFNQnyxVC5pepvpBdvhgNiaIEF6obi7szcCU6rrBZv/E
J4iJM4utmQBSRIiEaoIEurCIzemuz+xiSyXevixtwXyKGVimwBtk3qzo57dmZBlyOYNL0A9rhEKM
vhJK180An+HNy31LhV2WoTxNqUQ2OV2yh7V5GWImnfb+OBLU4XG+LYsvQik7PjXOxH1z66m+5jQd
ANjQVl4t+Fw7NkYFjHrNOs5qzo2Nm9oa+SzlDLys/2CAPmflZZtnbGaNX+krarTE3Y2Bp5kf19ot
iyqVTBSHBGQ4L6kewC7fBCOfhqtGWoVvsRHq2vGuMz2VYtfyx+SGZnvq75piNpKHMdHdnV4WVWfz
PatgTdOGkPpWS3XLORr2+k8mRhp4nyYAkvXe7XQXyRyODoT0jELRbAov2Rqjv1g++xrXSLJyU7mx
zpe2q5PP1TInt4M3N1GjLyWTW+CT6zCy8z8tapJaBEZzisa68/bKXbaS/4WLeOi/OHk33Hh+rouw
0DEhl+CAAOWTiDLGxET05T3dpHJf9ZV+NoRf7tEltD3zonAo3e4KO/+us7v2rkupZRwmVdjvFFoQ
jXrsfmAT+VS0zjoSQP7rlTUtFEche2I8+qbVU/7gC0mESDB1W1TdqN0x/h/ppVgvubMqFsEibjOv
r49U8vJkxyCKDaN8SIGJ3w+MmmoGkQkbFOYPmjG6JxRExymYH70aYQ66i0B8dhojfqiK1NtOlpUh
4XLJXBlldeXppaAFztQgXbLyqRncGnORke4RNAZf3KSg/9THfX434DFFT2U4MC7aWb8JZh9OoswN
7VSnLn9q1mv9HtwFg4EOzA563Mdca80X101adhV28SUzXeOj6/NS2YwWd3EZ28eEQQQz5qk6UvS9
xbHwXxdUQVFAeYMEOk3kK/KOKF8y1KHpaG+Kdrwa7NS5LVHn7IDzwE93QXgf+sQujk1guOe48YyX
CWsvg8gaWZOJvgljQIkGcQ5CZTfikVZ9cmuNTnMokFBcjek83ZS4pA9V0jr3cM5hZAxtzrYizV/4
Rcv9NCnrSjVLeVB13d4Ui11+aRPpxmHcJ94p663lrnPkcF1J6ONV1hq4xVvfe5hziS0fDTnLijVl
Z5/y9j5YdBe5IK/EoZz6WNu0fobpwE2sW+UrcU1/KHuehI4SA8c+2+diyM4yLbpHBX/9QwbQ4GQV
5G9oUxa8NPacEwzgyivpNIGGc8zLQeSxm9kZ0BJRCATxsV2mcS/Bsm2RVPi7vhucb85AzoNNmfM8
5eifkkA71kVbHaUTn0vkvVuCVvTNGDhTZNTJ0QzaqxltMb0fa9MWtvqKWMQEv1WXBz2ZJjpzLW0p
Rsj7PkOSb6b6hALO7T63tBmv9G5ETWsz3nFre7zPG6eD4uzPB7Tk1j3ci/mTInqF5pYx0DDI4ltE
tep58WYjJB0Fx46QctvQYziMJdvw1s6po6EyFE/gHco9PztvizZ2u8Ar2q8WtfB+AUsnNlOsMyR0
181r1QMcMgZ48UM1u2Fust3xhWN+W1ZN3gbwoOJRBsUPBeexBY9zJp/ojqFdcGM2ZvJp9ersF6b/
GPZnbdgwrdLPblbo50AWwY3WVOb9PA0oaQwxB9cgaMgkKafbslPo5g1e1JNSCbEBdgBWIB7ldMSw
lJxauFzbxHeZfSmrPqtOUsxYLDXEa1xprpOfzM42PrgziImQSRo1VufOX9J8pEQdNb/PNkrk+QGb
e/eZwXc06Xlx4ltCH6hrzL9yNWTHUjjlvmP39mj0dGYST3o39JaIGFDdghZpLronUavgZnK85TyI
VnttG4X9lLCPhzJrEFvx9njX9TjOX2etAcpZJB1RLbUzIpaohn0sjOFmgJt5Mkuz3vlZ130cmZjf
Tc4cb2d7WPaMy9J7vmztixuo5rMva+/bnBWyROUlEpi5yVdsBXlkZ0sAEaTdjYRCXCGBdbYeiGHA
xpwnFiqhHX2jYGavi3J4RRtt0Jox8R3Qg9PyU5na3ccYA3jUeG1z9J2KJrrj5sW3Gr7JTqCAfKZ6
d90IPVX12UoSf1/TFDkrDPxXg1+TjcAE9gh1DuB5gXQSHS3fk9KW5Y20dZKL/EqcC2OWEUPa5tQ1
GvEeUkM4axf0qUr0WdpQq2fYZSiA22AQaOpQuWyENar7NhFohbRgftMtRf+GUBs+1wH3+KocpQZT
ynFfCCVg6Sm0xqbfpeX1umi3NDKWOI6k7je3XlFbN5ke1yxLhGQVfjkbmzx2/L0nSY3mmRgz4i8C
jAiVkTYhYRr+a6EjRIE08GqjEz5rSe188BOsFYaOq25EucIyOJt3SJF1XMb1ef0BT11pGftFKrqM
2M6CvDPPypc5tQpE9j6tm7uGsuXJ8+WAcJ8OaEf/ba+5uNixL1uR7/JxLAt0Hczr2uOMK/6eoZ79
RSIfkRsamQt6hiH4YDh5C8tamDsEUMYjCWCpHVZaa99RXa7a2WEK7suk9vZExTThqFvXKHlpjCLy
18+dbpyl7U6nQJo+4BOteyNtxpQkbYzBIZadRwMhb0NRCnwL8Szu2qVs74q57Q6w883DxIwvXBzy
jsZxCRY4E733zF7AfJwsRh00bCzvm19p6qVqfGcXF+0npysZB+TBvWX2Iuf6dLqy7FPEwWTJo3fE
UP00tr2GlpeeSAj3FRKXp3XLl4wuP7wA7AFIy6et0/B5mws/4dG0BdqDwrmL2ZvujIyPtXKpAnej
33vIqfEr5OHEInxjJarbiq7/WOt9dTuMgw2EbNHtPd+7ejfYpCqV6F12GiKfg9mU/i2i6Ymvgpe9
sEFzBeQ0nw3IHB9Um8dhkhYBHXSjN4ojijgj5Mku78amHVIirqbc2Xh6w/Z1EHNUaMX4wFAcFc9C
19bV5/pWFt3Ie2K5PQ9HwNC2X9IIDL5Jk55lhQkvm2kE2xMyHFMfPwx6mTzpRVM+YULzd1ATwAAz
oOlu20IGV0vhsluhO3rUvZY2SaLnSHGLhi8YKS7xkcCAftlOiZWfchkgy8oGI0P6mgTNoerMRLxZ
ZK+JgBwl0A8+Al/EhbTqiu0k/f7klGl372rCOtsA226Crje26JXh+SfddAIBuUQJG/9PC3V0bruP
iUvqjDLpfGe4aPBKnKrCM/7KPNvc9ETihF3sBmzJKvcTGlzzCO4CWd2YWttOaWiureW1T+fPJDbc
+y06vyAd3G254L8SXaaHjazHvW5phCMRLDRRIlxlpVFFQHKf+Fksmns+9gyBqcMq2dxoZXaLYss6
C8d+MQSS9GlAcJQUKLBxpvRhW5XcmJU4VVarQsyyGBt45PfhmLZ2tfJ3jLnnk58Nt+lsmx8tJO5F
6E+MjnS37nermCtcILmRb6GsLXM2uWmQp3g+GRdLllsvs2ZO+zxDHluRXoZbxrud3LQIaUMX55rH
71UTXsQEP36spHAPLYon3BVCP6dVmW0HxoMhLgw+c2C3j1nr+btZyAXXUOzQpVPARBuZ3MA45suO
8frW0bm43C+jbJEVdULbM3dpPbH5oWL+jcf817IUIIGFN98GfupTH/5clqaxjRYLmf8xB5q2dhG9
+NQvPqu0owoXWkNNRcpequaTrRfv8Cd+ljw41MSu6eqmiTPbsVwjuDj4ktWYDJY2OxpT039ZAC9c
t1mZEjMVFA9/vs5L/zeHsvC4WcZa/SIlujgUBLUcI0bFoVqzqyPeEbgtNXm7b38+zgUl//s1YWkH
Bm/QyP8V6QHkdLb7wkuOqo3nXUpf9OiqyYzKOpN3AEaL4HoIUliws129tl5CRT0uSXqLhm0truOU
s/t+Sv/tH73TP6KpDIXkfxZZhK9EISBSz8Ak/H+ZxT//1N/NI8Ow/2FY7F2QQ5hw5B3+wr9VFoZp
/4NHSV+BoN/BxT+pLHQDBz/6irV5ZKzajH/1lMx/8Lb5tkcPCBYGRIx/p6d0QfFG5UEQg2nQ7vEs
ncGNvb5gP4gsGDnhyFNquqlHEksH0pZZ9yyAd6TOjQMrvjOf8mmoi0gntetFNvbwVNiCmYAI6u75
h7v3m6XkF8bHdz5GsOIVYKQSxbsKr344G7ue2yJI1XDDG2aQhsjoZKO8BjsHyzX8uWG01Ys3tDRv
+sqXXQjSBiEgeDzPRjvp1V8DKfVb/o4UWXNZGk9gQHxjP7tO/MZs1Jh2fz5j82JVWO+fDd8UmQzt
Od3/npXz4xlnGFPAR8kb+JNJsnWhaD4NNprBnaTF4gCin4ycvgQOiIUKMtvMhW7tK1SYBoagRn5N
J8HMIiMhZ4sRsUELX6U6TuneKVCJNHl6Vyh8hcjbxRZLbPAREcMVxE2KzUxo7pmW+VDt/3xVq7Lm
h04jF4WSTPf4IVyeDev7Rf9wUXTikK+36BjAzAcfm4RJ24aNCY9GW6vpjloK0U1slJ/+fNiLxRx6
yNraRPODsG79jwvBD1anxG5FUt/UPkmGzJzUDfgGCI1x+vHPR7r4Zn0/UqCbSNfWNOvv+qYfn7OW
Ld/S4ay8waxvvwKUpS6OpT+bNE7SSO9A3YWWPvtNmFvOWL330Fwomzg8D4rpmDYgIxJrVnnVj4cH
Z5Kxm8Cv63WF81rlynktGI2XeyCXIkL+3VBc89Pvx7Kjc9AVjfeGfwQ+aTDb15OLAwR9UY63M4ev
8IRn0LS2qT/Pb61GEpeuYToNHQzY/YGv5qLe+eJfhoCt54/wzzSArjBi51P18/nrrkIq5MTE76m4
es2QTZMPqBWytunDwH4/UXIUnxM/wGm/dKDfkHRmISJ075v0lqUJ55ROnN3kwxsdIXqoTpt673Ss
IQJdPMUezGUeIlKbgcLzdq5c4h+eYrf3M71PpXXO6TrGgb+VQbrsVxpusJOoDsCVdfo9/Q1HkamS
0i426r0w+3Zf2i1xrWVXPaAPwovvlWPyPOZVc2THJTet07VPuKR9YhfrOFRNTswpXhmK7DgX9c3Y
agIZPYrrJDEYLuH3QAtKC6U64KYtH8w8uUtwR0+bUnndjYy7R2lWmrV1Bz7gRjabrA3EEi8bffTz
6zJ1/JdYx7uXur5xjQRpCKjnUrqRvNTZka4GspqRTiNdX0fbLvn0pRU40RUwNSqOSnq7WHTqSJaM
+dilpCTtY09j3r+gEPgcgD/GwFZ32l+qgqLQtgKBOHb6o9EF5ddsaNHC4ZEpPmRBPHmbAeXwiWan
CmfuA1puM7jFLTpFKJa7nWFMxhCVgKWwa4+gYmk2pHFUCavHExfcpjGYAJpfjTzwqTHHEOSli7Lb
Kz9NlZ5emX3QfnDwI+1VkGvmTrjV8uq7TR/R5ssXVF4+oiMk1a8YK8dvAHBaJ1xMqatNnZhDsptk
3vByjGM0JwPb9p4NEYWdVR1q/lFqbJssYZesbGzZdILIi45HFLrUWcuGnkUcWlKrK+w6RZSsMKn7
0UJnmIkeVkrOkyR3lhwDsZ8sb7p2sY+UMQisTlZMjrPV6vw1ZR9mLi9iZCuMdSToWcqbL+Zc5dLq
cbIp1eo3spAQZbAmdcseeI6MoZBkgChys2w+6GRnHPPZYq6h+A0Yd+Cqxj6T4mzf1nHM91CWBXo+
t6A3GtIYMOJbZGFoEg/F7I2rFqwM5LUrpLXuDuMGgVCo+BbuEMLl8e3Aq0OyWkeXmQeOKWq1q8us
p/jp+HiBbMSbGmpxYASowWMIfmEjYhpxaUDuy46eTVlFImZXgGYwqZbQXxxWzBolmQqrtNdKprhz
Iu7wQkHGa5LM/6apwcv0rd6YEvSKT9vZwf8dn2qL9pqTh/UkumU+CJ3VDatyknrADcWwUMz0os52
c+lW80EXompDx6TkCD2aZSUt1I4mBD+r+ay11WJsMQOiteDfunaLORalqKL5/5xXVVAdrT6QZVQg
QnhYlLRAK2CkMq5S5ETUn15qpnIf90Nbf+BjbJ3QtZvFTrWcQdTIMlki35gW5Oj53I7nyoeeEmm8
Kj3KHEOdestxym0S02rYenCwGEt7gv1JTfLV8obFIHC3PidQbYG8p92RUa99QLBdILssiMrZog+M
t4uKiZXGftEGUKDH3A4t0H0LNpR80a70uESk18YoPD2mQG1kEF3THNPMGJOoCOyUOpB/bmMEzEF4
fBgshxO51MsGt6r2V49bY4Y3yntk3hgLiTcIFgYEgo8zYhV147YMrBiwdPLsKARk+wTlOn8gwEJp
7UByG/ULPtg6PXVgiqedGJ0FIalM5KONGP7VmWLscL7Bw7tTCN2tSLgLkeHY09accYs4hBBjQERA
YvdSjiM7izzJhw+I9sfPLQM8fLGECkY+GVs49FHFWTunbICSM6YxbnAeW/a9kI7xaEj8pYij4J6H
EpTzhL6pyrNDj4EbkILHqPE207yAfk+3Ppx53om9V4qULutsSz/Uu5HfJh1rTqyBuGFc8QULPmKt
4OmuWCX7LQmIU3OUIojNu7yHqfJg+uhSjpOdj+osJ7luPpmK3DmF5k5RM1YcumkWQlEns5ILWBBv
vfj11EfWJ84LW9ENE0euQnXwSzdp0RRLGBQ0oFCjJkV2X/cer3yv2BUk/H+sqaas09vOsBH5bKw2
1fm5yQRQ50pLcY1luuowiese3ft5WCWj/G+kH1wRCwgW2XWfLOvqI6bZ4AQnLyPXFzMhzwXsgdex
xgG6YWI5P1hy0sVVwjY3v0JBV+QffL4We1Hrxk0XJN2LrZvMEgBiZuap8ZNAXRGyg2Np7r2ONgd4
PkR53NYV3DB/KUr6cpMSmPo6MrqK59GtEnHALF99m4kmYg3JOoSr1AHEQGawiMSudavgWdPjaleN
bYJ50GaZm/sxfchgXl3hSM6drWP2JrTR0rH5HKVm8LHPtSGJaKXzmixabAVHu26M7q1iQaZpY/BI
RXBOeEZyB3vtDsPtEPGRGbsro1emy6imZChVphZaQq/v8r+QjwSP2sw2/bQEsje+AjVColcZhjfA
TDH5qyZaxaBwRphwx5afZQw17DrA84dBnqfZw0qKHnbje+JgV1haDsu4Iq6gEYhl35ZF05xrhi3X
ZLLbMD66uhquEujvaeg7okof2YmIrzr0MqToXiYGJsoIxpglDz4jUKzYH0rwDtkno2HSi96XHdj8
1EpIGvxl4F+i1MMlddLidvycJro2QNwWbsF8VDfuJ6HFy75XncjoDykeUrq/uXU3ocNDGOq2K6ah
HXS0pgaz9nBmdyOiEcE6ylW/pl2Lzaxi7RCijIzJmvrtUIJjYZTU8fQX9pR42zmeGRbTmXW7Z4xz
hLWnPc8aX7rgI896Je7qoCbbTdH2hzlcpeAtJvUCVH70jU1RDN6TA8dh3I6Q7WxAOyXRF10sAvzo
CU901GYWvyaFwzxdZ5Ysmmuvb1PrDiZJ6R5JeMBtjKZPS85Fr7XkpwvM3Rt2Y0qeyzLm/HsozjuR
+kUK9EzXEfzavPezC7yOYJ3UO38vPP7bSXmnk0KKzgpJ/Z9bKTvqm+zrT32Uv//Mv1Q4+j/4K3QH
8Crf8n96Uv5upOBkoUh1V30KrFKcrxSW/xLjGP/QdTp2gcUJELBhUb//3Uih++KYVDBIXSngsQM4
/04j5aLYwBBGyCniHLDL/Fd4vD8XGwkPz+IzBTyYsG8k4vF1bkmjPri21SpKAWtSk6lNuMCWVrb/
77VB+RTSLfEN7s/amDQvw0+hSixAAie5H5U5RN5cucx0iIWfQTAefvhZftOjuSjS/3mowHd0imf8
P5dgyt7KB8OoHLm3jR4AomkgCCbwOaLK7f6Dq+JWBpZLwemyI/35ni4GYOPZtiWYxSljw710216C
KpOT916O4Fqx/tDx+H5VBPToNiIaZF6X1rl1GEAsNTcwyGLaTLPJV1i53yaGDkkd5yHmFHCycUy7
nsX6vYic3x6cnu/6FLOlvrhOOaVgVFopsejZ7mZ1D6HBsbt/jwXLJTomzyX+LNvF9eVdHEUkviWG
Llb7HpI+TGqzhqrgTJ03RHlbUaD++Tm56CF9Pxx9S920VsIsKrmffzynAwGRGlLtk9nFL1D0b2CU
v/lJU20gGV+5UBHeaUusf+PPvyFsaRO/2hpkauiXsNs4ZcrtW0ANc91xGFoGJT9W0ER/vq71Nv1y
FGpafKMY0xAE/nxdtoph5nWFYkA/kKmmadck79zOBuMf3O7OO9f0u7to/nC0ix+NzjHUQIKx9j54
HqxnGOuHig5EvmYHB4HcMA74/OcLNNfu0+UVrhGsjkXnkgfyYimbU7SwI26SvZG69q3d2OXHBArh
EbSLf0ARVGxV9+ANsx92pS2+ukzYT9BuDirpm/2ggiFiWjFu+tFrv0yTpR1nF/eGyVD5wwJUFJRP
gi6tW95ZmIzf/P5YUD3dIDrWM3954nyRuGaD7XmfjTi3N7Y2Ft5mmpwhQla04vBBQLakOmwt7l5k
lpP9F+qf6Q5wRnvj0QkPkWAFt+xF/84cJ+Q7eWNgXzLkqf9Xrao7jORS/J//7fz21Fif1zecMdJl
QzUPyIWkRJZ0n1IwCKmzpW0LQ8p3ZURoj3girQPaGcY8rCvlUp9A9vbXlNxDgVlIDgBHavZUAmU9
dv2NRf23jWufTFUzma8SZfY3JnKO41KMJEcO6H/wfBN5Bd3wo6L4+yjhaYUBdSSjac3bWbAyNoPV
+5FqppMsesIZtVKFeCgxGZREFdrFE5swcYOpjiR5ayl2vaUgXmjytkEAfugyD2eTDTRgQqF2jWhP
f9aYNe/zutDWMIRvxWw9SAzhCHSS4kBys7zlb653f35af31BfMdhY8Bbzzf4F1Es0B9HOeP6o4v0
RitQs2e+fjSy6VEtcRspBR72PzgilQXoLQS5rDc/LwBBPw0QsAq57+MYDogdlUbyJajt696iT0IF
8OnPx/v1g+s7HqsNBNkVAX85YRAJQnZ+G7nPZ4huJhKvYwLQJPLN/r14wF8fU5/wZ9fU6Znq9EnW
//+HjmmCyyYfGUrsyZpyrvA2GcdmVN47N/C3RyGwnW0KPQPu4c9HgWKvVZLkDFQvvd5vOi/QDvQp
/Ls/37fL0RZfIK7GR7LMbpHx+6ViuaDnYdDOoFU3Gc2WFli+c6eKGY0g9cyOBaFcFg++7ln0M/1n
Ssp9YxfZe8vSz/F3PJycBlsYCMkEBjAOvGCwo+8BTzl48JEn9C8j/bwdTR25s0eJV9WyF/to1ED6
er15K5vReyBgftwnjj6cifu1TjQP3024/O05MWbA0gihw7nccSS2pjEttsQelkh91HsnCnQEBEst
u5tYtCpMwWi+lHQ1QiI05lu1ghnIwoas79cNva3yjQyY4abwUS4u41+KVi0SbNl+mMnP2rQycw4O
4UWneoa2qcv3Nhfmby8APR3pC6Q+A7r5+RlCbRRUsz9yU/HT4Pdtd2q0k6eUVSzEHp5vUdjpmF9c
yRerr070yF79zHskCiRY5+rx6jcaIlopwX2zeM2jby9vixMTZOmnwY7Ww7wdi1zjWyFLEsMg77zz
dF7MgP75WPxwBRdvwSgBYyXNLPazlieneAlqGC5Tvc01fSszbKaWAp+Y5/rRauYhXMXH77yH1u9v
oq+vVn/T8C5fd39mLWH4IVY8IVIsVfrOZ7ZVd54tsGoG+temHKZndEjpF8ZwUg1JCOYYc87qux0S
sTN10Wx7ly4MvNgRa5ap2jDlgPvJwVlo54nxNteGwVLpfcCIFDkkYW5dLXiGJoZSeXD0a80xysPS
NK/eoKPb5EAJFM6wpcfuvHPPf926gbPSSZxlh7DGVl/ccsf0CSbKWRC6vHyuY6wAebnVFviJzeJY
7+wTf7NsI0xBzcG+nr/4MkRWgCmvexadfZvU3wJmmHy1h3y1RgbvHMnnWf95v8ZlAVwwA5tRNDL+
n98FUFMK6pPDk9Qnj2Abk2eSMOGSVzPVBKG5dHJ0V/NPxAS/F7/wm6+vq9s4W9D/UJtfxi/IJOuA
TsJ+V978wgB1NUuuGZPfSk9+puR1t++8NetP9Mu1OmbAxJmC271c00HoiSnLeGQpw+sHZbHvmWNr
O9fpEKJyf6Nx+NhkJQSIuWVzY/tZOIik36Koe+ft+e3D5GDmAqGBWuHys5wpzLvgbcV+9PEj6qtx
1mbyQ5ZVk4ROmn/785X/5qPpMvrgZzaovX9RH7ko85MKZ+N+nvtpn7QwDRZi8d6pES+1R+uqxECa
vZS93l40XT8/S7kwkgb6vNhTIxPbN0xA9Wr4O27sa8eRIV6Y0KjeEjJZRmOcVDCkjJJxkXa1AAJ7
5339tSjnZKgKKcqRuziX7+s4K2chKIWTwQATMTKmU9cvUJjxXyYVGMtWVPU+9aSJpQjz9Z/v+OWU
+/u9YDfEzV6FbfblsyahypoWYtH9bNjp59brNWcDIk/eisxwGLi6DSxyYCBgOrCwIEkZ3K508A20
sDKqzkPbNyKnPQ+phTXXlFIZIUEE4uufz/M3Cw2xlSQ/8eqzz7mEEaUa/ARIG93eneJ+p2w627bo
gmjlobxzS35zKHrDthegAEB9dNn7yXL8uB2tfgwScfXNxu97v9QpPmTN1f+Dy2IPSrSVu7bUflnV
2rpdJK71bu+YWX8Pit3dNbMXXxHrSRfx/zUaf1Od/WYR40i0RdgiIma47FTgUE3yRnGkzML2Ecu6
/VAlZGHwdWMCP1U2an6CBv580N/eSuprEtDJQEdF9POLliQ6TPnU6fZMaYawclCJZnllbnsdt/qf
DwX+6ddVk52GHgSYEUk0v9xx+7BQVbIYPCJ2r3c7d56JT8hSe1xIH45rNOG9MLcue3J0udYwajsq
RzVFC/O76r7yHV4uAANLcIzFXH4024GpDexWn3CDErgv7J0ufW0QH5wLhJpil6QlHkCBQwvbLJdk
hZ7bMLsOBmeExID8Z75ytDTYZ0yOlgihCpjapEiNR1eZzHBLGyjKjsRcWDMWRFXzUwCduMIhTLMk
2YAwdtOrKYXyvyLw+vRJlI0xH0uwldD9M6Mi+01vjVO10PzfC1UM4sapUPGebSCo8T1m8LJeVb3a
yJwJTP+0UTZu/23NHC5Be429fouEvSExEtn6hwE6OarWWmsO5HcjSpuT3oQrnGYfK8CTIELxS+VH
Au+SNvQVwZO7ucjmJKqIueiv84FyEj9P0I7lXgi85VvmQfMETZHp+hU+41in71C1MD4qnO+bISOh
/tVjiDPjd5cTwl/SJT+06O29PXOwfL4bY2/4AIy8lxE0+cB7IMrbB4Y9D4k6somddp0/BdnOBv9H
vsXKgQmJqQj2dc8nKirjtf1HUA2C7044/hNAO4TUZQWFR8Btxx6BXOJQ+eqePu9OIdF5Bh1dfoJD
oT9Iclk3cZVPB23Oy8jqgltVzqsdYTelXv1AcMcG+xkDaSbMe1xtIxlbRbVL1HCyhnkMzVa85gU5
kHCV4q3KJ2vHgPmrbWljNDBo4xx6b++KUY+APrh7nN/Nhh3zQs5BkFwJu50+e5LJEBKNfFN7w+vS
uc5hgFUB5nfeOFn5EeFl5OLHu3OCqo8IUsjucIIvodIz48qvyvSMTASjj4d6B2vBxwn8xt7RjPss
Q+nGVDc+xoFdQH4pFJsK4YUlX4mtEN5yD1fv2ElbbrJlhkC3FLfwjZmz2/2pmCZyhPSCYAaJHjoH
T42WsiCXyUq3Gb/sXezbD4xucYuNfrpbln4JZ02qbWyCfl/Yuj4Axm//qn2hX9ep529n2bnbSZf9
N1fr6lCTiLx8GtZ7r2mcY18y5fIISz0S+2sexUzIIE2Kk4naEdO+sSuc+dP/Ze/MdiNHsi37K/0D
THAegEYDTZ9dLnfJpdAQL4SUEeI8Gmk08ut7UZlZFRnVNxP5Xi8FVFVILudgduycvdcuGRK/VGm0
9xz7IR2mFwb11WbUAXt2Q/RSAtXueANL/yAHDzuERqoMepHHPPDBWEUWEUpx7W/0DKc/4bBoZbIA
fgfnhitRw/KujTsonoNiX7TECRC2t/iCkDtqZMFgdNj7Vp/u4R2hwyl9+WEL5Pfk8MDfXuPa6+cJ
HVULSYqjual3KABq0AaPeU30b2jy8DyXiMDV2ms5R7CZskhk8TC+Nlz7czvylEHkqEI/Nw76EE+o
Mvoaiuzs47qFhat4ITYRmK1JnPxpjEfxilnWYzw7wXAa8/WM8OtVM6ytnsVoYjSm2M0OT2/9q/Lm
vNlbeWEOa4gp2JWmGu3uScM4h8vX87s4LCbpaEfaszo8grpFhNBxpcIey98ab518TOjq35lFZj5G
ZZWnh5GQ8I2D+udsjCbW31SOECpbmnEJ1Kl3V4+oJ+nvNhtv1oubhk321174sQtRB4ZvNjqpdVJK
oK+XefQR0NwfVlQBTDSbSOrrefLVF+ZM5UfXdIvttBTGV+QY3ZojmnMJKrN5RR8yrpFDTLueiuXR
n+zsVQp+z6QVaBl6sz3OWFpWqarsA1pG8UwXjjFIJsDjIKDjSUisoH0hfb39lYSVfJsrrX0BgZTu
yUnpi4OFQGIL3Uk8OzVyEVRW47h2I6fs18O8mAUgmzkMxHF/xy70tYyC64AsAjP4InjnVBp025xz
Uwk9AX0k2bmxfGqjcRHiOKnhh0E8RinJB4CjVyWjwUNDkNTyDGrjMQ6y5AE8ERAkjyE/Xra+0Z6Q
b/AVvUVnfBObM3+qm8snaaphvCVIPb6kPs7UWm/m27onSMRObH6r1aQ7W0/dB9mbzhxSibRHt0mS
C1Px5iutO3ND48y5xB2vKila5bydB5VjylOLCYTEgktRNJL8bwdTLi9Ry0vF3aUJ3x7zMrAvXpI0
752MO8jV+LlEyvVOs3wCr11NO59E7D3sqAn6rQmUzOmad3Jjqg4e/gxZK2+zdMeVTfeOKvm1GjJd
o7PbY2NkwWnGo/jeQ4V5kQnXdfa89tfaiDuITgO2MmzhZXQkg2BCdNeLb8EonIs9t9qIgT+ILypd
IpIQb5TTN5RMNi4olHsWuVLWSK7NyWBbbtakdMQr3Okt0Cb8wBUr1BAJQGC68dgYk3NJnTr60rhJ
fHYxdn91Yzdf99Ce8aqhkDRC6VNEwg8yN3Hvt/Ct9GgdIxvDOc6Xh2WovgA3Yl2Mo3RvNfx0o2vx
ZQhaF7yU71CBV3ALL7bVFocuX3RIfUATZ53mY3RMyp5/EMnADwkCK/p1NjdAmmbec9pYlXieJprW
wELFNy+2nVUUTcXB6PrlKR8S4OQN8qYHIqfkk133A2FfNX9kgcnmSn4y8IAscR+0YMYJ3lRjciHB
uTJCYVfdS9HO6s53xfCkY5W9psvtNrvIPzkZfvPWlnxQjvMs8LxF86TVycUmJebRz5LpTo+16UOf
63SnqYVUQNM+uiJ0sg+tnlQn1xr5jfWcXynZ1ZdAZyIzjwi6jnNHS3yjkZH14cEugAo+JOCx6LcI
YsFAmlVQ8WpUb3YG6QQFuhtd7YQjV9gMop0OpZREvSQDT9KsweNa00DiSWPNSnCVZ7WBVXKu7zSC
IEDrTwX3Whd+QnqSVWP2CUT/UfsaZyapl1Cxy7H9wAprPNkxQgw5CuO7KzNUuLx67T2rxfxRm1nT
rVyzwrjaQZL6jhBkBrGG+mWvNQ2XxWUnFzt9zGGwuJS8j7NZaNeg11nNPFd+V43f3vdRReO/NZtz
D6LwlaCB9t7o/fhCTmi664PBR87pI7AUySIk8Xm/ibPpn0FILN58EEqs8XVeOocardwHFbV3y5k4
2jZD1LGIuaZH37S3BgbClv91Fn5/jsom3klSDvc2/spDy7Z5sjo7Bzjmxemda4tmi+pcfOkaibZr
Tj76uOZ/EjDd1pFsrHcniKH3NijVGhsFnmkReeNIy90ZXK+Qiaa9zvuO9xAp63Q1yk7dUYSA5baz
6MksYntVaPUDrtRbcHQps0g95SxDlMqIkJYoYP8Ie1hicWs6PjZ3L/qIEg2VJeuGNTNe11PtVrkE
YVSTEz3AZKwPgUqHmEW3nEOjYtjYwk05OGl/lNMEopF381aPx+5Uxd5ilKtIDDQtSsCA8R8t1LfA
QeSYe5W65rW0vkGhP2Lewx874cmYLdFuKtdoVqq3b5TK7GfqbXjUIArfg3GZM9U9WXSaeWhhFTAt
SyhIJay1Zzx18VWvknHrqWbv1kW7DgChxGHa1nvg7m/0/8rXvPTmRdnLRTI10vMylxPOysNdBSIz
z8Uh13RygiINw0hpN1uB4u4mMQaI5dM43tl+TiJAlomHodVclrogvg5EpmJtjby7AWFWSGN6AqQf
2W+ILd0n5LbFPk29J5Xp5Y52KQwmnVIOpN1ExFY6JrepT+OmNsxDZM3Ge6JH4xYMk77rTWNe+ynO
wVHyMoom6Yl7oFUYTwBPKS7s58x2QHGresvrxAJcZ5xOY7cN8M0HwQcxJuazamzjHJTBjGqhtB9J
osD7Sg27dVi7bspIgFN0PO9+ktwlR+Li2XrUhWHXd3hNCIv9PjNqAkgV9+m5zXgM0qqIUzx9Fa78
ppmS0C5JjFINZEsGCGEwgxEfPJeC3o6JgZtUfozHao+3tSABxtZO9ZSp+1k3n3ukwFteRfDQc0ah
5mBgibzhXNpO9AUxHGUGsLOcJTAD89CnV1/Hr0qejH8jpnTJNEg2iVNgT7U651I2DiDBZAwMhhbF
fJimWt66Dt5vajQt54Vzq2MTK/KgQG7VIfrZRVMJJC0LiSTlNWKGJm9hlWcvpWm7O8egAU9rjZDH
dm5oaQyppu4CGHaniWY2pzpPkmED9TM/BmOqXx3PPnaZp/aR7FfSF/ltwV2+ERVqcmHX+OAZ8JAB
KfoTfd8pdEW2N5QWvATMTDnnvHV1tYilnZkMa8KIcHIkfoh00HhBntodatN7N2b3e9TV7Vcq1uJr
AS+eRUtoX7wCJbclh3jTe0N5P5E+sS7gyjP0DnCEkq6U4DLV1R5FrEyPxDeO9lp6usDVnRtIbmHd
1heNVDC0yZNXX2jf1Hpo+llMMH1RsAjV+Mu/lmVW3ZutX967KX1kcnJYQLNk7L8VwtTfK5El36Dg
Y2k1NX5hiwrg6HRZ/YBD1h9fOioe7lvKIQdpHxk90FGsQ9H47CiBal7ZLemdzYWBKjKmIXmooWk+
Uh9zMs1BPh7jXIlvZY5LCvwrTQQxDeVHbld0FcTcR191kRnvRP2y09c2KlwBmOCrmZPRs7KjVCOY
ao7EN81pgKmaswy8zZw7cPlaxcIgEjXWWy/uZb21g5GOxqASHo8EJArEmwodfuIOKLEDwpm+woXi
Z4JGFd3aywIiO+xK5zGqLIJ31lLwV6ItRS61rlBpeRxiFB+apXYlbtLZ6Tk36pU0ktXY4HXfUrzy
m2dicOqDPdJ+XEO4nLQd1CJKgJ4JKcY3VQanLNHtau12JUVrEbncJW1mqyOAdoi+yk6CZI8HKP0h
gvDywxwItQmH1sJdNtpW8PW3i+lILSYVgvFkupqFjjLNM2ZVh5wn6h0I5nhFnq7IV/SCuPT4HaoH
B/1YtSvSjHYPygLYkET15PvGoAt0MVtHGVuyPp2biQCDB2dEUcEtZN66GqOW75d7Dv2QrtHz7Eag
YpC7ckL4cRvIXn5Il95oOJi4fm5dKDqP+STNXQUx5rnErXWfewFwRBJn9EcEp2LaK9rw0cUe+NJ7
U+r8jVTl/NVpFXHzIAdVGvM/Iu9xk6S8u/T+k2lNX4arKAHC9ywSpviWcnpJiWakIp6EFN9TDCBg
R4YOYfgQLMhDHYisWhU67084cjvnfUX/7zjitFu89D0VnZPYTXbQ3Y4mCtmCRcbikpJewTvFgZtN
mP1rVQ5LNExF8A6+nxlP4CWRBBa1SwlZeBWchQJt4Bcj081NW9T6kZl0t4eQad2Xsa9OaJnSJyLZ
xi8jKN/f2ur/1aD+jQYVc+tiKP1Xa/g/mOmX7jtCnh+tvL//yL+8vO4vMHqhpcNjgIO2yCx/8PIi
7IGbysQP167LLOMPYrr7C5IKAgMCGvRMqhdU3O8SVNv4BXOavQziGZLarh78EwkqYsE/93kZwDG0
8ehiUGY5SO9+khrkYkAABFj3LiPRnqkNoliMul1MtUc2rW3f225L/VwXOsSC6Dd7z7hYfXLeo1Gd
W2QM5Pghbwuxv+S9dYWZSzPg2SHuO9dXbk7922D72cdzpY93fdHq30odPiWxhJh0fCx0jH9DczDq
mKlqYua+3NWBTSOU4Pkj24nxYXE6rAnRa/13zcypVF0/Pnq53YZ1HcMBxQp2dbCI7OK5ntdWUFCe
5Skx1JXlDtTcZkfaKTCSjvXTstkMde3dh6SwLtn+WY8D7+wmUHzSec5OkD/Sgyed4euYDebG1hti
JrvKTa6dt2i+Ra2mO4lUKFhzpKVNaDV845BzR0/QYFs060BPkps2yklE+6RdjO57Osr+i+B0lJ1J
v9TWAhjDhZG9PdLRUkm6KtzJWfWc6MkECRTRn0Lv0+nBc3oCxbgT00s01VWoAaqkCaai+MGzLXSn
ooYqu5r48w+pGyU386jUCxwiw6Fzr/RDXFlyE7hkA6107DTG1kNWFYdeajXP1C4M5+KW8oxSpTxq
uDaW056PmoN8eB8kwuixCdBabwkkTc0s9BT47TX0NNGt3YIJLr3x1r3jmxARSIBYqQBvJ2qNwQQb
j96RiallyQewbZtpXJrvRWoP2zEmBNNp02E91Il3385I/8MqyeO1OfX1fe6W3XGqIW7oZWvcE4A5
wkQp3WNk4zOmJHPcb2MTAJvnpTkjNpiX3mtdskPEE3PgbVtpzckGZzLd6tUA3OSIzWz0m1XgkAYJ
vCajeCfrIqmaOztvk/pAz9mwQ92iAQ9i309dqrlS2KcxyplIhIDjfJ9oTgM997qcuXr3g4iXbBMM
qg9lU0Eu8TQVNE9FR8xISPA3tNqECUDY6QnAD0upJRgFZkp9zOqoC04ufrVvjPymZkVUIbLDwp9K
7SSdNMb/wCZ/FozpToCjE5Sv1fhmUhA1pPuMw2ZqqnI6qHhKnJWAl8g0rXD1ZE9jHXgsB/rCCHvw
ScYKyoPW76HXeNsqTtO7VE3GvEpayfCk7qKSNzvyPYQGzZQSSsNQa1w1BBDIEyFXwG84BVmrOuFu
rhsMkMZKr7SOjrpGS/3OZesUq67EA3qr5nI8Q8HSd3AohnUC4nDiibOxkGQeYLpC81IYXshDtiC8
yaZCte9267Kg6DNTUXPIVm18tHVxRZSezffBoP2qIXHhnaJQVBhcssk59ySS0Elsac0wGZjqFxXR
yQv9aUgeydo26x0h8h151TpKEkIcybTZsxJND3T7qJtQWuJsSovCdHeFnmCu8rLIQi7TdB+jZn9x
BpdDeOqI+UHmpmz2IwOm+tARUrT2Gw2SvgCuMkeZeU9oDu8jWTNw2TOYu4wlFsHl1GbkgVr+MdP8
ieBLHJ3qpIyxvvEs8rmgjHf5zvcjsWgAI3oo3Kt6GzdztjZn27rXQADKrTUkxZoBvnlTuxUYZT/D
oaOlTZmsSQ6jOTYTJaZbSOlpGHOMeu8YSbxleq/h7C7k68K36zZdbdu8a2TjrLUMa3FpuFp/6OLl
4G8R47txE4QON/wDmyA9jcCF0DFdUMWh688lCH+hOWYJMwRhqB6iJbTh8Q84SU3hwrd23C62wko2
En58Z9WbqAeCC8OGpGD7FovjgGmsiopHY4qtJ7rVzzaPMPMPoThEBJVu7lENe/cule067qNp3Zsc
/r2gIhqx4pi4KTQnArOuRnWFhm+fi9IcCEUmhsG4HbG838797GY7v62tl7ZXL5xHZRD2bkqr30ix
/qyk1HvcnDJbrG+Lj26eDEHyRc1ptGb/iu/RpEUdjkK7mPCSlr9bS+1Po2krWDXOnOqN7WeR8N96
6m/qKWw1lDL/czn1f7t0riuG8f9Go/z2I3+UU3rwC4YLx6J1y5kCLf2/yymoKYj4XRS2BpKXJUrm
j3LK8nD08FM+bbfP/+ff5ZRl/EJNBqCVemoJtflHtF2UvD9VU5hc+LvwB2Gb4M/72X7Cci54uN3x
ZKRNoVpc6qBAi6V1wTEMf6T0eZ+yFuX4sMvNsij15x48krHJMXmKR7O0+7kLkZNT5Bdd1jUjPhJZ
tY3/kLrE/bn9asjYqhaxmyK/17ZGjgtVFUz7TBtHglxIXuMAfyBEs+S8EoKVq/rmtiom2hySSSJm
QL+pTrDf1LHWSqkfstSdbsmEiEhzaJtjpbkvmqjlbqylR5SsIkqDZsYJVFO6o400cJ5xmP0kvGUV
ioBhXJy+iy0WdWSwGQFSj+uim2kLuIWrrnMunTe9MZfDTS/kbUp+W7fBND0ORA4sLsLAivViVykJ
kE92BWTgoE4P+D5b78w8S2Yc4vV012psHyHLU7/ru5wqSKPOXCWlzRETSt02m9EFwH6r+MVLh5Mj
lYzkxUSh+dqPk3EdXdi/jMKzfp0IIeMwJjdbrUQ8zaHIy46yppUvPROTp2iuOTB3cduog6p9tWR2
OnxR8lYH8yUqsvY0IkIE/cBMzjZyuYHF2tK7NzpSMmqjWXu2N25QZ3EqZJbgHFzEw09Q7tTJ7BcW
QPrJBUg+GQFywQVo1kIOaGEImJ80AWsBC7ifjAH5Car/JA84bMJeyNEAIoE+ELzWwCXYtwuwgEhr
2AXmgjEYF6ABmWKwDSazh3NAewPmgbHgD+j06m8z1GVmvLyN2zxKSYmBbvLGQTowsc6XgBRq1TwY
FZB6qOrFS70AFyJdGhQHtL33BfhYfW123oX5DpCGBdcAGsXDLJGwrbHvL0SHOAYrhrZA4Srtgoty
QD+0CwRiWHAQyScZol4gEW5hLaD4ZCi+6ZjrDz3766EvAUu44Ny/8jZAm6gyI3jH3UA1Nole5ru4
bxmNwhE7jEt5YxbEKLKrROKBoMhfdZQlNGUBXESfrAvegPRQe0ApVtMnDSNewBilS385Txz/FYqX
uZMioWJj9zeMtbOANcQnY0NA23Dsoju3vj6/F32J/KCNp6eBDXkffZI6NApzmpALwEMuKI+pVtW5
RdFKdtQn68OUCyRzAYAYjFS+uDEY0lELqkNF1Oxz3xYwQwibLK65DUhEMD/eSRBsfe3zHNIuZipg
5/o93XGGrZ88kpruwcjKQlbRDY0PAobB6V5obAUQMPTiOy7Z6dAGAjQlB6lF4hCEVdT/mkEQACYw
jiuHOId9RiuYJG7zTY3Ts1N02KDyOKCMl6bX5evWglFUAAiglT64dyMe4JiPzR13mLrfVEf/3RX/
ZlfE7/bXXYbz9/F/vdZd/uO++PsP/b4xesYvvsO+5xGytgSzLX7W3/sMXvCLh9gXBx89QWY+P/YZ
nF90TAaYGLFL0lBYVF5/9Bl0ot4Ciy3R0hczAr/w//zvP7mXxE///U9upj/vi2TT0jlDFGlhgAl8
92efnYHMUep6XB+YXHB+z6vYuVgdY9S5GP/O2PpTR+Pzs5C8Ymv14eF9ctB+dKRIAcuo9Y3q4DFq
Ps9yMs4ZftqniStwAqD9D7XUy+dBHjNNWjW47kA98N1/cMB0ZDtxwNH5vJI8+XDUG1qImQJH1atl
TthHMFot5RuPo0uv+ofy6O+FiMuHI+11aSBx9yh/FqH3Dx/earpg/gDBfO76/hsFhXDDguTeE8c8
dVV4BEA46H/3lf8/l9jhaoGiwrn8n7ECdEezbvQ90OKlscwUk/4b0ZXLVp4yY4z16R9/IF4YSjge
InIEIaIsf9APXxMki2pM0QX7RIs4SS2k8wmlx6b0Le2rFUn39a8vq/GTwNPmBdItLA4YxLm45s+i
5gkryBxHSmIFUbS2BrZv8zLPrQ4ZdbSpuQiaNkjnRebiTblxhfldPUEL8sZVgm+vCmNPeNd+Ms2l
ynE4tYA+FyeDoLiXyfT/5ilg4PbzC+Y5DGF491E6QSn7WZBawQeNs7If9tSnsf2olZQ9NyIukG7G
9YJNb2NjPBqIUgt2tYWFwjs4XTVig/cmOWzu8XO+DccUgoiF5SVk+sKzJJjp3pSzb5xVmnAklLoJ
zeGTq4K4iusAjYzD1mAKxiBal0JXmczZ3zZ0+89a52kdKWd6fdNok7oavavuIpBQRTgDsnPefXKe
abp3s5LQW1oQIuBw1J3LKuGuU58s0n2mSw1zAtXCte3o43EWz1piwTwBca5mRJMYxnee0iUGzEjT
TMEoDqR9r6ppPFV6AvQHxDeqFJwQnPKWhQD0Fe+pYpZ5p0EJvwvytvMZerbN64Aq5XXudOvgypxO
gZKyefVLS95BEaKNE7Tz0n6E877JjM558ztdXVEZMR+j2GxeraRXVw3M/6PTL5qBOQVvEwCkOFRT
oF5dFFLDiskEI0MQrOo62B3fFOD7SCaR4ANBdzCaZ9RMVeWPzlsxcB39WXLdOtt4HAJuGriM4Ak9
nfOGVFFd6RcFmxbkvrUlNwJITaBgvIRCRur627OaZDGjoMTC5HqbLvMxJhBMNZCvN6/mJJHui1Ey
wNM68nqPARViechbrcU1TJfaHzY9k4fnRI7Bk9+wnq77fABmUjJzdENZufZbLfzmNYkJYI9bJlAB
AXzQOkpaMEzeeDJw5Wsrm+SDm45UZkRATY2JdoCItJbu0tHl7UZ2oTLmTL8BbOSwUBqDxEDdlSzD
17FZvutoBwUzqLrbf15/W/XOyhp8mouMgXGaaYlYtRWxRJ//hrz2alVOesa6MScIT2Vzj/Zfrsc4
CLaATHiAk+X1cPscvSFa1yi6MYTUm5Wkz4ZESvnBFeyh0VkhBzUq6b7w9eyMYktABvPL3FQP0HhR
HyLiU5Hcgo+awsjS+AHwWIZ+GI3ekyqMSw0AkqBHru0mfcjGdYtKJ7qSJu0UZGk6VMBVAtTrZM7B
BMDdHL9JVLpyNTK1T+9GWMDjs+DyJ8B1OMcIE4JyiGiUji2t9lXNIIrerXS4zuKxsaJko1Km7xGH
w20Au71NWnXgeGZvKRats0PeHO2RcR+RoXeDtEQ9uhD/V0kTEXNiahPIISBTBPIaL0I323WTTG4I
0t64aBhzryPAGIQe4J6/9jYQKZ4vMeKHDlJ1Iz0NVYsP/T0cdLjYoV7PZ78b4m+wY4wzkkPvyETW
PTd6FTC1nG0UYdVYcsMVZ89wzuJ0t6j5vwVpwnFSaEOcrnm4A0I6ehxvgS1FEMKGjJ4s5o/V2qB5
1ycx/bSufasMj9hoMjftfYtwXPIPLR66Tpc8UlOOnSIx+C8h67K6ss3xLJtRlaR7V4vYpVFB7Thi
NK+O0QdPpLgROUDoCkZ9R0oOtLAXnpY0lzPSieZ1QgkOuywf3zgoxk8ZJ/2bsjZzMjr07DnrZl6s
YHKsQ6RzgE6xRR38hgkBUs2oWrON1o8umfDwnqu14GvEW8NCPg89e9aD51k0xtey0zRCYxN78A8E
yYEDXxmNUFurQ1l+dE3Lep9j6bgb9PXHImiiEyjO+A5ienKAqPjIVKF9KvrubSrps/MIGk+iBHOd
kWZxJsqKdR7Nb3oM6sb8OmgRPWBC5cjGCEbvwXT93EOEPB4ca9Dk2hpbY8V7SfhmVHf+Fl1odVED
YsjtDOS6TPxmXSuB7FqWCWLrySS8UCtsh8adFQHq9DT7vTAs/n3DjtV9cZLABCnojynGXqiL9Xb2
8WOFZpwPmKNFrp2AWQ9cupJczrl34hfkyvWeOTm89cTS1xlfaecZdFYBWEXilRBFapGmd+jl4mRf
5YbktrYB0q20EDaLhV3E3bnzxXQAUuQTtDqxLZQ1VC8a6RCUCua9ToQZLczdmYemRdJ2FVCu1rHS
lkdpYCK1jpPaOFtEAKRhC0eAGKGA3yNN/hq3B+MiRm7NqihQOQIzg+MdegiJw5R4DSBiecUjqKyY
UUDRpOU6NgF7Mj7o9lMiWQelEwuxA/3hn4Km0IjorfnkjM2EcYKHIILEeN4lZ2wRdZNpuK87PtiK
ZvttnjIW/M8l0EtQoG2IsVke/VEvkrt+rPwqHJqR6cYw6PDNHOhLXa+JbxUZtPD1sTgTqzC3zptX
sD8KFOFwkNDHQzlqa1QPRe94VAwT55rdb3+WUZFzt2sTBFPHSNPYvjyEMTdt0XV7OaEH7OWi0/DH
gEDhAsCWSehlRWd2Km11a7gEHKz0LqhfR7NtEpo2NGU3KYOVcjXKmY+sunTyrnYLYpbdwu1toCBF
ErdITEZfl56HhMV2j0MuMhr8rTM9RFrtvLqJwcI6dVp2GptOpWFe0PhmyzDix9EDuc66WbgnGxwW
IDEc9Q9FrenHZki0j75DKUV/C6UEfzNVzicazlQjj4VfdOzkbdAbj1bXLtqgToE27DwbMlus0uWK
tkSuEDWKEn81kNLKhtmxVD1Eyx3NMovbNJQL4E5wGzWj5dRA/J3e6WuHeJB0g7U20p8MbbIdm+tE
afngWgjoHqSryJpeoQ2LE/9a5Fi92KqaYIY/78ftBPgQI3tsfMl8quV4p8Ye8J9BuUHyjLNJMVsS
+VSU6bofUTiNLhaCUguoQTxyZY45zpqzVfYSfWeCKj6Z2jUy0uBYIH+95fa3V4J6k0MuE+0FdRJi
oR6zGr0Ttp7JL/cxgBBGlJ62LYbR4XvgRKjQR4Tgg2/sSUQoO617JPPp2uriYWvoMfDS2SjDTqn2
UMue1lxfGNfKZokhWKYnp1MSuUEgZk93v8w/tNR2tr6soz0mjxIzUSvRP9YQK1kVPgjg+9CK6RIo
wAc81xQGQ6tf0HLrF6ckyxB56coVU7lXWHU21MbRg6Kfsc3YRNdZm4wbZSMK1nv7lrSj6p67zb5c
qeLIzlfu7DLXaDQSkOxDTYqD4nYAtAHYJZkuOqFfXxrNHV672rTOtWTWsKLBSQGp2l0RFChz5J1V
Glcqv2pjaqP+4aDCPloWYQNpWJpBxhyp8kY78veMbb47rcsNsQde4S2+N0idSEWKmkIbcC/Gjog2
70QGDSsI4kBEZKRy7Dw6gDcIWgnGsKa2uRV5wUNaJqw2zDZ5ImcJgyOMVJGQyUqkMKZXyu71Xx+j
7J9PJT7nKG8RGMCEhvP309GYkIYsYMdr9o3zWfRLhVKpWwrfv/6c/zj9IKLA2E8vg2M/1s+fjodB
lPRDVvdEriFSJpoF0+NjS85pgXfaqG9cezm6fC6Hf/25P9mobT4WCyVeeJeTKSyR5fv/cCzlSF5Y
RPY2e5UV7luvld2+FArE5egtTe66rKar6yasxa1cqty//vSfhg2fnx6YnIp5wfkjfnZxTgKB4mi4
9X6kB2iGBD3gyFhWXTI5WO37uOE/9abjWLJU3vDAWNw//4T/duz+rmOH55nb8T8Pss7f37s3kf9p
kmX+9kO/d+wC55dlgsXizRZOKbr8vj+UQbr9i+7wYLk+Dbgf2XS2xSTLMpdW3eLL/Lzn/2rY/ZMG
nenT6vvRJs97Q28O/QKSI8td3Nx/fpYZCGsczRJ5skrAcMntnHem6eahZbfZVJ0Q1NsTAWapjJLv
yaD5bZgz2HjE8+0eFmXlQ1H60YydwjJviRt2sSsI96QycOAcmjT0nqJIZGhanbat0Ba82Bi7qMG8
NltLMxi2Qe+nZ1P5FvksWKYRDc3mpjE40DmUz+c+LnFYeDQ0dDxKd3muV5Qy43ANKhdhCsKNnJP9
OB5trfMH4KRu9QKuNXoa9EQDiO7XwbVI/PLamT1Zefl8EIB5KRs9hAytM191o+iuhN1EW9KI3MvM
QWOjjVZ/XLZWfHpWzhJpwKxObAJRUuTKjwP9hjfPK1tcanXEYXemwUENK+7ABybPbZkPiCDqjADh
WDJaSagvPKdNro5ys43USYxG0VOpUxeP5slvxRcqXXY/Wj1eF9rSIpDMaubHCtTcMlR5xygIfsaS
udgD50xPbVplzNUaR3xNK0K7Q6CpizQ6K88+cbNbrU/mY1faLA/JZMXrQvreCtyS7xNlpaV3ZoDE
WCviC56XbOtlCldbAllZIE3b62M9nlRSDacK8vc5MUrXDxnxTw+UNAPOrQCuHtlTFxYdsafOr269
Vh9PoECmPSkl1ltmW8hdoMk+0GorGMgRarTBRwbhqUtM/1A25PJiMta3reFpAEqL6h60qfXQT3b/
Cu+/+JhMoT+azAnBM6vqUgpHO1upt40dvX/hWhE3TbZpcNcKv3yxulRuQXNhyu1NnUDKfN6NuqNt
NKtT39pRiIvRN/UpU/hjA0sS657x4CxCkSD41bIyYoVJKSK4l0EOHmd2x3yDLDy5r2gK5PhHWqyz
Ed6GUq/l1sfVFtKEfpOm9G8q9uAdarvmbHfMwIaKIkMzZxovIoa1a2gBuGEtyE6IN+x9ETf+XpcE
l5PHnt0hMqt4puL5kjNshekNKv9XgrYJKo9iYQRhO7oFEyKPtL8qdT3WryQ54mOml1JGGQiYwnnB
xKw/dyoDMh7k0A9sQb/HoxUXEtghsanE8yv6NBNSdNGoG6zB8SNuVefit3bY+YsdRXrVHY7E/moC
yd3kUNXJ5ZJzDoHPqDx0Te2AcapXDkik3kPzN1ZYvlLfjQ74HshtDozu4EyZoEvTGhwCI9WqISSV
q3xiGWnuJqT3+ypu9Y0cSopRrdFvaTEQzTTIpll5bYoTlZLzUsZlfOkSG5N561pfi7TAdsy7rZ4F
jFX6d/4wPbhuDnmtqQptM2dGsqeSKo/DLEnuLDVvjFaYUh3y0BHVXBD6GMZKc6q8hPr1/9g7syW7
kWvJfhHKgMD82ADOfHKemHyBJZkkZiAQmPH1vaCqMlGle6WW9aueSlYlMoeDYYdv9+Uc1V2DxTrZ
nCbG+922MU+SjKq0tWo+S0PXPVTfar4xYdYufDR2xmi4jNprQo39Jv8x0mDdTebIzAxmPBIKrdgz
wK74HT05P4hSN95UF2PZTyRg3nZfss7VOe1gVJg54JobnUPs1SiTrUR6WnA1Ui44dPoTmXmxOC+J
W8n+sTepNzk2bcXdfl5RyrQ17L28mmVkMVZMTyqfE++7lRRxWoNhKtl9vlRguVp350lbK/baMPT5
5+JKaWA+4iNSv/MQ/jsH/Js5wOQV/i8NLc8/5o/u17XdH3/izyHA/M3WfRja1FCR6GSI/GUIcDZE
LWslwDWbo4Th809CLZ5iH2SruxELWT35zMN/TAHC/o2ZwYbCwgX6N7PLfzIV8Pr/y1jAm8YmeOG7
7BZwK/C1/nEswFGmjW3ToGPion0bNYsURLl892ZR3oKPbnepZlADWjWkCSfvpkOh/EJIr32SjfbU
6qo7D5hTef266w1ICciOsenEh3FrqRkokPhgWMfaiz2mRTGMWeHbNi7J+9q1F/PBsjJsMoFWl4Z7
Wg0FgN63Vr0B3tAKZDmtWBvzQJmdlDeeVLoLERGj2TwHBbEBMBzgV3OLvHyiE9CTk1LtS+nVULMI
J1SlgQthdhgOROz3O5fcRLdPsdnLc29Rgcy+gFelrgNmX1hpZVW+Gme3WcSrRVMBa6G1MRpcu1Y8
ewdPuIt9opzY1mNsgJmbP8eLRt4N9bEY2wiJt/nI69j7TJwc0PUqupk0G7YJ3gIhAcJMf5pXxazQ
8y10h2JuxMXTzbULB4fgcZwbK2Jw78LKGPU8H3crLaFe5DU5pZIN6jldX2gitdnjBZo9gvqe/U7I
HHekmaRMKNlTQqCYD2vIb1pRN8dcTK95k5mHvJ9oVa385FhMCe+0tkrSt2zOQKAv2KIRm27gbVB5
MAxvXVLREVB2nGHJvmD/82GNJ873fo43LsD0vuIODgXh6mI2T8lcvELKJU3uG/kZoMq3JGuwTNN4
97R6Q0fPgUbujV+pZoLYs10JO95N3b1HlASi6uO4Zq9OKX42DEaXtWumAPr27Zq2LomJ/r2punM1
NvWx6DNMN5kZYUSlDHyRDqYI3aCNd71Pk6oJClG8Sl3LokFpza6oxh9OVjs3lbPG95PfsOrSZ5xM
BJCDDkZIsQzFwRotI5hXTEQ5huUR9TdMjLgMLWarazyU6sbrJ7GDj6Cf3CbL9vVM+JSTekpmBrN6
BlqZ4iY7++Yhvp9ntSw72draI2OLhaMl+RGbcXNna/2T3WfzE67e8sD+mFRyJrNjTT8joTLKuuG5
2RolwMO+J01w4rmQ7pUS/p6hmEbHVPMPozP9aOyCiuG0b6KYZ0dQEPMhBTdn3xoTAjErStoeE1YV
vl51UYP3Bt5Kv4T2SlgReGC5M7QOPruYnw0bZqgqi1etjE/ryqahguMT2L32Rt0spDl6ZM9pa/uh
Jq3spznY6uuwMlsafZAXEyxVwMGwOvA0FVfCPMPFQRJl5aO8NgJgqP1seqcmSsnB3iZs74HRUfkI
0gGNWjuKQh8eF2NEfy6tQt4jLlTUZ8cqu5Xwl/Zmw5gQu7HbhQaC3nPnVH3Y68aaYKxqxLkGLMuO
1iQUjrGKMZC29v77ULaojPE43ufEgVl+cFmAysQs7c3z8gmPQNd3iWst56HP6iNGrWXyD9SuZDON
4w4hHXwFdhGgM/U/DXxuoHWnWIKIHIb0J0OPz702sSMMLL2V0y2Ux+69s7laGL8tCAjGWOmXtPar
w5ThRk9bTRzYj/CTFTiRl9w5uClYu3yeBLpkou1sEnssy9btHN+au9hfEVnJspO7W7/MVBi9upmk
YDvXPril3mATwHclGYmm1Z97rbVuiQsVkSpZrdZa9hl3nooyIbPXSuVoSA4z4A1QUNgt1bDSQWlU
xj1K5EtbksNgRWH6V2mVzdnwKbFxzfHKJC4fOUVqT0heLqZ0O4uSwkdQqnwa7AcivUhTsxC7uKln
KlgWSpyJLsCW6jtcvn2PSzxtmP6yeo/UuhzUdtcWVuw8VOtIXwhBsZ1GxwPC9HhP1zBlA0t3nAzs
2pQWE/1vvdWjYsapHyZzea+Hxj5aY+V/V6J7cOetzaQrzPFoev0XZ8kryi50bSfM8YTV2ouKAUIk
7njZ/4zxR+9yrdcuYMNS9MTBQKjEIMJ2EpcZCuU+JkUWdN5ym01ecbdqEDaXDKdXvQwsRepZBHPH
8DeCMdy2pMkh9a050AF0hH6eQwAwYIFtnBTP7G9QId1wpe4qAMzHlcgm64R92w6ciWQKC/rHwVvp
E/OaYkcRKAe7ofGP7TwfgKf5J1ZWWxB4pm6CUPv3RTbjTt9UyMHQtIiAdhvRN4Wq53uie/az3I9M
r1ii1ir9iOXyiVMOHQya/AnB+4UdXLNb/WnY653MwmnhkKtZW6tEPaf7Yajms1a0n2Ox3pR9PFyM
GSjgOtltWAq3vsOCoF/FzAdb6wvVuVmvn1aMG0cNMm3Q0gTCZrjOWEKg0GOF5xhR5Cx1CD3eoWh+
XVf2pDWCO5vb/qtoiuJiw9gMDA4I7E+nJZBLbly5BthOZ8Svp6L4OTilv5/l+hVpqwzIOvMsIxUQ
U0xvxCIYoWHx4k++VRKnos7G6z4uRByCJupuJ8sbebkLGeBdfyer+lP67Q+rz8o9FPcZf5z1Vilg
wFXRsS3z+KtWZSnIBnP/Uw2WCIn+FRE8BfL83ZTekx3MH3zRyJPuifWKX4Bfg1vQiBXTWTRyd/GU
Gt+8peGF0ZtbtXwd4oYcMAd5PNedrPwmOKeGlVia02BVzj4fXaqTSS3s0faqqzDEtOsXOntHc/nW
pfESjMKBnOnzPUxpQcGi33qvbGdXMEUkgXibIjYFkFghAUyF5Nsf+yJ/57Yv+ptt8fPcuhuHjqK6
Jxg+J86UVJCUfvIw4A29t3Fevru584TiOdEUltxaiOpHFuyJiYswlzu7i/lFp4DAXny7mMKZEECw
EHyy1tiB59q5yXZgnJZobbdjkzP6Bht98WnXc21HC58zhd1GczcaK7kUaGFHOpm8r1PR6e+DPn/P
ZdzfrbqpoY+M6XjMZW8i2jsje6N8hjyhS9jWdrqEvhh91tu2zRWhV4+t59uPE+AYPeSpqTFiCIyU
ttWVPztFOeZ2oyZ8pshuVOW5yjlwGrK5ZWqnb46q8zmpD5Q/RIQVnmDXAnzp9SvW8fwLagjJ5QR0
x5TGpJ8aaOSUJH2yKrSfakxd340k16pwReQroDkO80lOtChzakzzIaJzav6ul14ZQQ/pntZJtaeY
hyeUP40sae3cr059gVfQu2wmRDMfDW3NuZyd0f2MOQOGqehc1hd29mZLZVGhl9mRqqZyB9JHhrKh
aDtSLe1XTW82j8q0FE2v/Cpu50J47F1iWiXdXg5JtCqvr6Jx7pa72suoaqKufh+7U08bMUAayfd1
6JWjHXI7j6tD65bZG0+z4o1X3PClpLLiqcj7+KjnbnbSbYzNQ9w657YeCdJlQMmKYHEm6O8iy5fL
qEHw8ddUnX2NkrIgBcNBAUvpn0WrRrzbM/lzfOySnUii71a9Uw898Z833VuHT7aO45H+d/+Cg7a/
s5JUvTSmrQruvwYTNwFkwv42ojbT1frqq54NLseHbnqmQ0/4IeekwY9WX5qANku5jLss5364+J5F
xZgXl87LFHur8yUptGyNRm/mzeoNls+NqOaetaEzJzursJxbh83oOzVTjsawMjzBW8cG06W1dlPW
c/YeV1DKwbNUWzpsLk8D6g89ynChAssqNIrpq6l60+M5fhj5vx7niserqvwnmvZqhrB2+FZXUJK1
1IU43a/JRdWMpGU9YhPuq7F6NugbC3CiiMOE6+SaNx3e6qpPoyYBwobxuOwCW0l7P6GlPLBuB+Nh
g1xkc5YVuzE3hmtVU+toiZxGe3dO7gUekeXRc3PV3M1JiqTjJ7OOAZ0wIP6P7LOSqb90yCCDENQK
MW5mHmyPwm0n66npYfGwJiaD5bmqO+Z+WvkEoJdxvYDJ19iv5cauXGWtIso+eI7OHgJWA/ru2KeO
/Sa8rBqiFfqde1QF9+I3rIZxpGt5nFwzogpwthZd5TvhJRCgBPJQWKDp8PTpVXMde00eh843Hue2
5yxgtNrGQYM92i/auZ2UPCmuyWjozewqczsLYzG4PysyUd/1ukCZUpnq8wPoo+eu8OPs3TC2Jjpi
/Tc99yMtReu6qVye96NBGjs6yFVUpPWpBrVaua9rDmiO6MRq7XzIvftOdOuHzmB9mTDRgakqb7Gb
6wfYqMN5FW3/IGUmv6SzVT1Ok2Gj5GQwMAgiRjYuJ9buaUX7Y0HyvNFjpgNqzw5zMRqhIpZ3a1kt
FXB8jy8dU+Sun2c/XGsj38F13YbzdtnNArDfULonTdZj1HBwf4S26+9VoYsP25qtY1UoGcQFT6ay
kR4h0CY9ZIk5RqrZvBJZ5fDxdun0rfS1kaIW686cU/+T6O8deXwDk4AO6UOI5dgaAFSKYUiuoA1h
H5DimXZcN+1e+rO9a5eC8w0XpU43SZbCfa3SnV/yGo9nrfjaMdPTReFWRy0DxUvrAqWOk1OTFyv7
LtR0bYEETY1bE4Owrn1Xu+vNdXmUU3oEkVXezAVwIptsKwA6+N0QztL0h5SOdRPHWcaDtk2OcaNx
73YbaFHm4VKmZbgqzIuq6EdeOtPykPa6fzvOSbEjU+McCyez6XjAmqN3TXPOdOPeA8QWdB0eW1b4
yQeFf3lU09O+RUFb77Yg9xbOlV7sjDK2Aqz05ntCFhzyy2Ytq7BMvmuye29NpNJ09A4WtkgdNXb8
hFjTHWkbhUNSIeIaHDyhweIaDOY6KcOlMFEf3MSJnLX8YEmU7kY+rYAl9BfMxhcAahF9tJ91Xn7p
8nG73ga92VFbiB9sNs2dQ9Y7KPFanvOsoyu2mynRSnRgC4Ae9FCrWVnuNg/DkJDuvTZOXnO1ALg3
6J8LhbKya5kkxT36g65HgzUPHskGfbzteubtXB9F1G7yz+x18uS3sH1XjBrHJPf0H1PNES3v8/FI
nmmIJq0VD0RYUAQkSLp07s8ghPJAx1h0RtcCCbhITFEOPgmhFWfhVuPDWqTJHlb0N85rjGJLnS2R
tebVqR7kWIAU7pa3sd8AUuN0Y6KBvzJKPWda24au6t1LCuWKzcDK4Nikp3ha2y5gbaWiehy++kZ7
Mxm0VKS5eCXwRCnuSFRSOvhA8VF6b2Qsq8BsFU4z3RtDMcT289qA37DXQlzqJb1mGqkiSU/b0qVP
yiGjzpN0Py1MR3VCF2TaCNygBkC7sbY+O4IVkZ4oUrRa9TrDh/opZaWt+6T2SESiejB8z7hOgtWp
Hr2lJ17ZJDlOS+nB7NChkWJYHRUCxTI9tgYUraD04hjZiR3Y3u6sJWP4rwzOOLN9KLC5PlI+YrNF
M+3G4ceDm0NAK+017oRq5+iFOgsE/WnNkpmjThzxUUn3hqo8eTcSL2IJVWibv7bIDOyAeHZ2o1ca
3Y51mrxl3e+d+B/8p6L2fopEPFp5w8PDyzCQgvA4LzYvV8OcvseFHNoDix+0bWewAtfF82KX8xkm
ScGtbrwqXklhyWIGvsemBco6CRefDgnXcDaTXs+Ut+XZoehZYdIJHgnOrHAuklY+umP7NfHWM0gA
PcTjoJ+KRLuJ/Y5Zp8TcQdgOoN3YQ5At3B21mSXFM8h/ra93JF3oPGQyFWFMd5JKxgfMcJ96Reno
EC80HMz1Q2tt66RqcU81fdbYPvr0wNkFAREE2h2sjbfMsLoL/BV4dgpka1KaEKZ1meyypjKwBnA4
U/bQkQRIdJSLvgn0wv6UU+w/sHNFhounDBvq8rVIDJSzfjH3boHdJe/Nb7E9Gk+TB97QmZdJhfnQ
TD/sbuO4mqRWISCqkJ0oPaItYhQJ/9CINeumVJ6GzpJlgo6Iojj6Tg3GtiRYvpqwuEU2+cPOTYyK
Rls9Lc4t70cDK80eAq386IymebeBnFVRoa3rd2q8SdMZS6F9NE6l7ly91I45LzwVmC44I6+geQYc
gwgpJclJomW0Y+Bk3IEdW74xZ3FrJZLW59zw7ughicntpsN3LXN+JspYJDZfrTu3yNAP62wRk8pc
SHMy06cXb7aHeyFSa71Vs9dgA3ar5oAKurXk9qakSoL+RKPJDJcFYTZHUmQQDkGsyn0mBfApqkNu
jUzZY2jzMjhm8fi8JPYLE4L9BAef7HW79Efug2XnqM7gcOW9Th6Lb5nW4olkogy71LzzjC7+qKDG
hHkVeyG8D5HBHGajeZkEQ821JJ4ZtP2YXpgh+nmfOKoBSZc5w9mqef4ETq/L/JDEE2u8CUgCYHCP
joiiwi1Vc7hhvJsaaW/YY/WqpNVe2tajpJFcna/jo0XjW2QeE1/LDZzks2/eTpmtPwNGMOiIZTH3
NkBjDriNY0QjBGo4P3Bxb8xBDleXq6cNdTlR+NbW2XWVUqqIFxZ5adyMTEzL1AfUhmKxgmDIJMRT
5r0qHPcrfjCPW3vI+yOQHAxZ2twytHoWNsJEK8fQ8sz5yR5kj/ikF9LBmoRTUgrNfy0JBnzaMJKS
CAYjyzI0teVxKca5CE1utN3azjTcux0H71nwimYEraCpmfLnxHi9Y0XwsMAADFYybWdJGjGy5UDX
SQahj8SjeMtzJvDItnhgr8o27ru2ISJIKTFsWRg7TLwqae7LVRvfNCsbziZhuCHA4+DdKBC6bzjT
9VudrfZBSLpbObx25kNHXdSjr8UcX5QR+xdNS8W3pcyKM0TV8UkIEzEUaxh3aVPzWA0q26sFM2MK
r9fuCJfj3+KNNUyogoGp/CS/ReHfUB6+MstLbojF3vfOZPNJVznJeZXk0Vx092vSWXngLFLsNpP8
s766yTm3eFTWJVjGkgz7e2x0DGqr05PrQGC6TX0yhEGSZ+3b4NjNftJ46yaNxcuMSyrisJPt9KTL
D1LDK4lVsbooarlP46T3O0LFxVUaNWbMwjX0a7M200uf1/3MUxZTWapNVugoK+Zx0msPsmjlrb1M
3rFKjWRH27I8TJ1uhaZkp0oEZOpvvLIyv6DearzEJvmsM99dQZJN+6Fn+kfOdFFptPRxSfMx9HzK
YGd2GWxJu+pm6P3v2mgYOx5O8dFJ7Z7mgNWAAsWtYeYi3WUt1K/U8O7r2cHQvtjj2dHcdQqcuIys
nlPHwMQYojerM7jG4YYYSnHFz/Ot9mZjN1Iwus+95SOhTzkUtPdA28iRFY24QitTy6uW4QFxwdLs
pCDPqXGhH1JSEuGoFmrOO0IcYVPUi0Bog2dszkbkGPC7erthltVX9Z6V1hJyVFiPIFYgjbpGN9x7
boMObPhlGRHSHsvH2U4zYky8bHIKe6DUATa+am4bTTbrGzRWg0mjSfdG4ZGswkFvFyv/Xo8fOnNe
7qa+Rgcei1e/E1/MhIe1rdW7zDJZYWNL8Wtsqn7CwmPCKIqFvtQjvNfNXhiFdZwsbIxJTpYEPmdj
UX7nDzpwQAwIZpqZAQnnN9m1+b2TDMdYExAe2v4wrtb4VZtZgwhT+4IfT9/rKxPy3GrZQY68qNnK
f1R+3j5MQ/swNKKE79h4vNqN7SCYltod7UILhDeRnloIEFdr1D6pFxtu/oYxUTz/g4w1GEKPb33p
J3sgOTFfsQbMQKvbt//a1+o+65d/s7YWljDxYv7v9rW7NGt+3Vr/8Qf+2Fp7+m84xXxdFxRdgMff
qpT+sK55FhAG1wAJ6ZnQVC0dK+afUCvIVYCmHJ82AYd/bOyGP7bWpvfb5jszGCnwBtPc+R9hGP7a
wmG58LaI7tlbppVQ3F/De/GkJaB9bPuE35TWO5GDuk1LGZ+xvdH5stjdm2/m615u+XdjmuMzx075
7rMBfLFrkkyWk3dvOsmSN15HYvfLb/J/iGz+1TTKdyd0fny+QeRE5299Kr+YRmHJqtiYaATnzNF8
2KmFZWzD8gLq3IIEWbkcmKC3+qaGQ/S//tpYBf/R5ser2KRVzHLwHLpgAsy/BEbjVJTSGTIUyASE
OzTacJiAAd4Uvmo4bErbvQrdqx1+TY57mS0/ezFylX2d13r9dIeuHSO5LuY5KZNuVzhDeehLWs53
uN2dB5fwxxLOg2tz4qqgWEpT7lFsLV7N7FVz6IRGSHSnukvFQsjKJZgR6uCfl2AizBMNw4po7GG+
bwOzdxDlc0e8Jx7LhIYwC0OAR/qTbAlom3J4TOuOHdJi1WOg9aw6GOV8Pw2xA+ehmVlbu6DSCBa6
zwOPFFT4tcUR6zqyvlUQp7C2axM+/YZl0QI9EXlpNeFcgbRCJp5GoNQxsBvmQJYCrDq+1PkWAtIQ
na4QAePIUUv/BnZsswPq5aQHupHOY8AH4Bw9s1j2U1o6B9C2GZsVQQ830JL2EbBR/kAWCOhNjg/q
HZafEzUwb+iOTyl1mwZsbHtqCTz0c24lUrweZ7S4bR0WMFbaPxtQs3Z1707Dyff8ktGKPcIj4F0v
DTlydTG6O49m4sixt0X+C9Ql25EGekiympd6VuCKkiTbcvy8IANCSpB9ZK5ZR6gHAlq/hao/2fYX
F4cBCFWnvi9qNe+7BBMInAEsApRIgGRNdKCOmBHUXvGsvl+Asx9WBLvPNhWQWfUMV+c4Rtyp/ol8
evW4kjdk+9YM+XlFH408u3c/iOTJ41rpKxKR7I9LphoYT6JPeHPm+KBwTxP0C8e27jjv5sYlBoJ5
BvRF+isXA/jedJKUhNrpD2vSxzuDJRkNC7Vb/RAEMrZTbGsGnHFYm/hG0rLbG2nvChy2AHnEvfdE
coxI3FBkA2kRhG9nejJUlc0yaN0ajhxr+pYmM/oP2BVjX0R3SeMMN6TKD0Jvpk+Kx2mNHIsUqBgw
bznqN13rq+xjBDYlj349WuKu61R8XtmznkrdzPHJcFCCK2mL5mNljzdQKT9AZHPRMvvvdTxQNaZ8
WFchGwrWoP2gam0Hr2u5IYRZL2Gnuz3Tzgje82nBIrAclxFbTKjRVg7etFY0F7LRSuRXVE1EpkKr
oYETRuOElEyFflzbJOVV0NdXlU74J1rdbD66xjVPhlpKLvVZb04LEaxHA9sJD0M4aIwpWX2Xr4N7
K4YGm4cmfL6a2n62JY3tJxWvxrRr2RShuIxWB8bXodgAaybf/ZxsRaDNvB4zRsN3QrBEfrD/gqWx
AUlF6cSNvOv0AS8G66Dhm56rQb/JOcDpt348YaWXQjYfqit9GzGlXMk28ij3+clTNEOAfT2xF3I+
NF6QWRbra9mB8GzCYqKRFEU1FnFJhw2Nb8uHjR9Bl2dvZEUsz2AvfIvraDESRvDGQND6UidzmXUB
TPL6Y1h6nBmLWrtLo1bntu0MvuOxGRttP+EYoKlNUyBOPFHebe1iDNBNRjVPR5HDw5AlgmLchhsr
i73yTtllC7kHmqod0ao3gplxe4Ga1afVtWJkzXkkrhPXLibZE4V43nhrgVTnJGTa8RDVnXK/amPN
opRfTuGHJXxFIwIXsnBYTBdPBXhkJhadWnObOotfRZ4DeDSGRHlKBEj/Yuqab53Rv5jz5JxG38/t
A4HH6YEtq0nJHSv5kRKBzRtqoNVj3W5wPFrshfbGoBc3qTnGLb8ZzOFpOalnUQyzE5A3s7/bhIIh
jphGum/Y+OSiwbJYkkC6WkSPL7jM0+vgrliZ+9YrT3OLTXHnzQq+mlb2J18IjghcQHSJ8J5Z+ZF9
1D8f7GlATsoVRLq7bTHRCJzfS+/SdlCja/L0G51cbaIFfWqJbe3nmAd+V9GL8N/B8f9pcDQhZf0y
cvwTD3UjlRw/KtmlmfrxDxPk73/yjwnS1X9zuGQNyBmO+AVVIn5jaiMnof+J6vr79EhcQocCARJ1
i038beb8M/kgfmOcwuxomqTYPKGb/4nn8Z8ySyQrTNAPFsY+trt/LSyziNQnm1vxWNR2GporQCDh
JK+//FL+hxmQH/HXsAV4Cb4IIBTftolqEub+R1dl34yapC58PQ6FQEhwYWqm7lb1UVj9vxk3/ykl
xJey+LVsJjQXctpfvlRT4cAm/78eZypzggwN44J8gdGikbgFk6w/VobSDhjXLM6z+Dn+9U/6T79O
JnDsqD5nAoMP7a/kDlGunj0x9hzzenoWlfvmZV30r7/Elu76peCRHBRfwvYFMtiG7PhryowZb4Gd
bLRH25ieZ9t8ZUBjXyPYw+hr++NffzFk+3/+chYjMIkdC9qOr3P4+TX0ZSat5cx+1x0twvTwxivq
CBpfq86Fjfm8HK0XK57aKrCSFkFsKwSrgpa+JRWwfoMyRlIEwUuwomb94BWnYXJ90r7NiIkKjw1Q
C/zlzFaiNWhxqFI/UIRoTiKvzG9iq/kdqcmore0lt+3jXpfOJwaIYL6ptbV5m7Ysvc20MKMBmfp1
yWNF5o+asQBQjQIg2foVkfMyeSNRi9xeKfMBHdS+s1kePW5A/GC0gPYOSZ/cDiNvfOzpMW8WqP9E
iNo97Nv1hNhzM+QaqMqKWj+3fGwy67uzeg8sZ8nsWl51lvr8NRmJlfpV7uw0m7+z4l1NVHVlIbBJ
zoo3FmrZ9EOlPuDHPL2Ti6NFmY9F1BLVsCOB4txSCF+EPl0jZwFH0tUMdloMLZvZBLjaOP4wqYd9
nusONcXI89vVb5Pn3rHKcPCIzfhjErkNCdV5isfjmpXxLtfn9KamLJZ6E9wRhLIvNruxYjcpDT8k
VvzEP2GxH2jDQn19bl2ikSlxrJCttXuVTLz6paZQ08DxqZTzYqGsvKXFqO7qxuDvwU8onhu4cJdS
ZcMRpA1HBIVBgU/VxstbodaDVGbdWLcFdXI+l0iF2oLTeqGpqUamWqgfYnjUqY4BGsZ4gwcxzcTw
jiG03Rhri3HVEAefISSsuzprjCCmRyRKQVMUW7muf1o1YqtxnKoHudbqnvjxFdiD+d6uXv9sDWZx
bLXUuDFm0zlWNddCuzr0tvX1fKgr8z0tlL2Q8hqSfe6a89HqMv9Bd5L8oJlS3UCWbe6pcItENyw3
JAwl+BJZ6ns15e1748AN4xwiWSTNdnZQvjVcsniCpLemAIPdDpq0SYg77l1jm8q/5kORnvhjb/OY
nMGwkzqW04NcipfcgDShjbl2sKp6vPQolkGWEnulzmB60OLJOAgz04+GLssjpgjrZKNdXRb26KAn
Eru5qxbeG1zRggQTADP9gXl++ei0hp0RN811xL8DA8MRB3P2U8jGzHvs00h0F3HrMhe3fLWkMAEQ
+poGEVfM8T6GiHGeNS9+x12Fz9ZLfOT9eLrMOU3G7obSdZA5D0SH2L0WlRYIi72eFQ8koezCD0yn
nLAGpMYVMd/bx7njvzYNSmhVZMSE3RRTp/nmG+tCvVGvPwLv1YHZm19dPlfNK5OnogF+S4KNeztb
Ma1vSA/2+xwTtT6KJ4rScKxyfljzG61r5UPeopHW7fqZJR4DVKoXHLfjZDzF0P5x/+oP84LHeG4S
POT46xsfP/Za8NdyFG5flKG5eIa7Cbthq5r9IBrzoxtp2GhS6exAUrQyMZ9hmfgh+DmwVNTsdfeD
Js0PntveKasm88ApmWjVli9KgRPAnLXkehuXBeOvGcvlpTG88soDaT2BS4I8J2yy1JyeSUlohP3j
JkTLEVGnp1ekgUPKCwD6DpMzZ1pOImVl1LcdrXTlKF7ohIAtHht1mHjqbLEWY2OkxVGMKYfuruJH
DP8iZDm8cwdhfQy6Jb8BCRrvJPFEP6A8xIt4JDh32UKsyndY6DqVUJhLiQM10zp9gU7LHjnbCiVA
AC4LJG9uICILc/7TJ5b1Zkyt/hy7q/VAi4kTmSUaiAEbpwtwEJq4XNN+59RcX8bszJ8AFbW7osUE
2YHsLjgHvNopjqHFz/ARtqocQgMrR5hbPD2I1pcHbNfWtQTug2Yi8apXnacdDSabsG3d72hkSR+M
xK+jNrbzk5d77nPZzQbFMBlmCIFS7Y5LhuXaEjuDpMGRDENzaYjGH+mgsO8ceifg5yTJV8/eVUm2
HHBb8OunF+wFHauKBHQykoZL+Wx6CX21ukHzi9YX4smi2MyZquqtxw/ydQZ/fusoZ33rajNqigz/
NO1N6nbAjLsvqpwrb3Hzo1XQ+1E6XGS8PH+yo8X326pi7yRxd+L9OJ3G3OSZ0XJkci69US2ijETZ
Db/PFf8NNf0bdZhsG6rh/y4O/5/y49tH9Q/R5t//yJ/yMBowFjpExj9H/L/Lw95vFj5C5nTmtN+F
3j/lYRMWIXIyG2IdyptDvPnv8rD+mxDsO/CustDWWXz8/wz4/C2Q6/gudEGtyv9l78yW68axNf0u
fc8TJEEQZEd3R/SeNc9KyzcMWbI5zzOfvj9Yzkhpu47cdV8RWZUpa3uTBIGFhbX+QVBr/pC/JVZl
O61wjAORnHM+OEXScN9p79+Nyf9Hiq8vQ5KvxRhRUORM8/EyC5ZpVJkG49AuDmprJc0l0ZveVT4O
+K18fq3jDJhr4VwmoGdRRnc5HH28Fu8C7sEggsNslf6V6Tba2MgSp1ClkIlBbulPJu4k7nzl+6Sb
AxeqaqjyoTloCWr3Hy9Jq1LC2W2CA3a8MJ+DuuzOSxrJmFYZOaQoz0ctzPRguO0w1xwEkI8smfdu
OULsqWWI9eSgc0OQyrSOKGEc/FLXv2e/AWs7xc050qU+erFsqqNWZMqRKVnjWKotl6z8Jkszf58Z
TfeAqlxx6g9NtTOCPL4MZoyoaG2xgWvbiP1cm7DWw3be1l2b3yBov3z30eJ5jBA6ecTm7sLs53g7
qgxaE+nLYbFFeuE4pArrCBmdG9Kb/McilvJqEWPyYJsUepAzyXYQuYs1FsMDNqTFeDDLoNzUS23v
vQGIcVPP45Z6MAWlTrRnyurKy6by0IPNUvFsZqFxIMbVIHKN8VDjdENmMPkBVDDtIAqbOT93l3y6
ofEX9SuzHumuNp4DWt+mwZga2BRupqhR+JHS2w/H9km3HPAqxdQAKneBjDrGOszzNQYEZrUyRV58
6xtVPSV96P2FH5F964cm9fLRbP3XBBwXHDC/wd1PA9LBMSfxtGtwWIR84okI0yQUafDPcbIrEx55
hY5dWJ4r2gfQJ4rx0ZuXDFeQGL9QO2PuJbSyV06c4OIorNtoik3Af8l8G9U+qYJlNk85HdFdOZkd
1AvXkKsJdMlrk+fRnpL7y6y5cKHw5FmIBh0dxEVG+bZlcCKI4hco5iIoL2zjRhTxcm4uAdrW7Gvp
CZupaWzSOIGnZMBCdMD1Abg2ncMwFu1WzHF6jmVr/xq2bvcttbQd8RKC+dwaXeyfMgTtJgrclxpr
69Eam8siM+lxKtSJKZWBeHIoQNMeT9PwwW/pfNZBle0NsBG4M+UISk+gV0pyPToRMRWxqjtLjMYR
q6nDE4E0KHmWHinhYii0K3FWiEoX9CbgydtgzOxzVPmv5QRGdIX6iMPUZvVMdIwvhN6iEwvPwhxx
HclZ5SK1i+Ub+dqMSHAlv+EVmV5h0mpv0qXrbmv4Wuui827r2o+3+DR+MfpGXCKaiFX5vLSX9M2X
7ehT7kZDnCTP8gdQxc4NWmx/Kahp9iFOERJAwYGO2vwC1h0IVDD0fbnB5woI4Wr2KmpwCxjETRrm
qdyC1MWLcc5w2Dz3xmyeTjLfpNe+jmh2mCvEocLlERcLrX0AgqLlXLoYZb3BhbpN7p0m8dD+ATU6
ecN4r+YO3KgFq2AjMd8FLxakMSi8Gk4cehFFsQd06CpkiJzQ26HEacsTRKYw34hxVfKgUbQx9csw
79xdmGKGcTukkk/izTrgKVpTHV+VeVOM1yFuxp5YAUJsozM/MIYSh+dglE92FeHgtjKLwADH2tDN
eUzQPJe7eiJGvmKIwouKIN0ZpynaP31zl+KJldd7y2/TJ4zE0jt/wDGxwUxaX0xhSGh22aOCHdrQ
WLBhdYy9iwvaNGDVhbsx+uVSG53LTojT0Q5qZEMnebBzA5DBBLV0BmTuW/d2BERw1aIBC1QucIO7
ee7HF7wwddfHKui8pYjNlRnKnaveKWbwuplzUrVmcRpPCHF1UL6QR6zhyMLQwaGidhzwcNShrJ3l
tuWGs2uxJZfv1kVrAvI15ghJA0yAvk4N/1WjU34HPDQAdF8Y2gNxGPObSTjVd2onHoJJgbb1sh3k
P6k/L5veDbNoi0hHeeKZmX+Vydh9zqC1A33KBmuHRHp+A1gEsEvq5dyb4Vb8ThodNmVekz0Ks5uu
UbdwMT6Epn8X5hGqRihzIko/lXQjWbfZf7LAN3OFP2SBytUySv99Fgj9p2yeXz/ABN7+zq800DJt
vBqER9omXEvY3j8oAUvbOEiXLjTZg29Tu/2nzmshSW0je+PigPyrOvw3SsDF+kpz4V2ly6Z8yb+V
BmrxqXcZjAk9ngSNerLH5UCTHCVouDxXYAMX4wzZ9Trxd6jfYyPzpUEptmhOseNUUBAwZfWiZK/a
jk3kHGepfNxSDnOk6hDDmJ2KUoUfeKm4KAwwF+7MwQdt/AROCqsHjzjYMlOwBxcr4/hchnSV2SX4
0wBYTb1wrQdTDmMNwzPskYOIcH7M5bxQwfEUNsKeAT9rcL0iPxXKofuFHT2mkVBhg8F8wvkn6NYl
SKdqvkvqhRxx6zkhnip0kvvIv4rjbjt2vsMpO/dsKEqyLxDPzfpmMWbyBsLpmvoI/Ze3jPQ/Z6c/
rBrLdD4F1nB2OlKFevsbf68Z2wcko3WiPCW0sheT8g1ZA6D0v6BUMultaUNe0nJRv4A1aL9joM3H
FXLgAldJ1u2vJSP5FQITGvXB9ODA4/w7S0bjet4tGX07lm1JB7V6uoQkffoc8g664lEoyBGfc75H
GHgmP8jAAuQ3x9E26m7TdfTqHxPdUti1s8jyddvOUr5MQVYV5wgllOijVAaVvVVaewYZJtqvWhbQ
y1JKCY2JUxhpjFO5i0uPFHCnAe9xqDVkJ+tn2MlxgqXnFUCRCnWk0ATN+IDwG0JrGSktYEiHIgnt
lKXHCmYvWtgD5JQkoH6zhrlGoW5XDIkmu4LZD0Dyvgt/12+R473GvfUxoMDtwyxeA9/5nyTxPB4d
qE1W2bWL/F6144BMcR6qiNIYmR8HCqyafS45WYAQfqDoF8/3Dp6B3JpNfsHzFNYYTg+f35L92y3R
/AGL5aDxj9OgfywRB3oCZY62CV8tis3pBVT9MD1dHJSP431kuDHlWMJcZCUAQSqvX6XJVGFFlphg
j55RcZ1rThc9LYFTUmAKbtslCBdYW9nEq9h2sLE5RzVuYExbdFJr93JZUojaWyIk50Nqr20PG/jz
h3I+TkJlMsjEa+oEYM9c1sLHSYjP5RQbaVZ8N0dI+XeyiI3yNs+Ccrn+/EIfO2cOFwIrpWX9pOUx
eJ4e3HezHZ5EjS3yFLwK3jaRtcqC1KGaaLLCJ6ES54oOuhQRjEeZGd0ao1M13JKfFsmPz+/k42H7
551QnwZPKREjdn/TGaSEN5v+lLivA/x991JCje6AaecGlPxTTjEQ3/7dQWbPpp/xc5tFwFEHtffP
blihocpMiZesp9ALLnaujAFKt7cEKNh+/nQ6avyzEeunI3A5lk9Rxgb9qY5eKID9LK1iab9OVgjV
+7utbV/h7FQApU5Rr9dDnM1u3//JVeC3mcQxCxwc/6DEQNA9ygBwSmsbP0nbl8kElYerncq84TaA
+8jofv6MR/US/ZA4adA2dCXlUELF0YAmmAKlAF3y1xZuZq4OMLOKhwyp4FrbPgKNr64mfwnM/LyM
MZs0t3KI0uUxocdVCcThCYgUmIEm+TdJ4iqB3vZQ2Nl5OoSNNx/60XFQn/z8pn97MSAFJV6jyLJY
pvUzH3w/CSw/RQoElf+XYibDEKvG8NPkx2DNhvxSlrkL3BlDnrIL/jRYv78Yn7dChYVUEAvc47AV
GJiQYtZpfFukYdnoZysZ9+0a34eoMYG4wSrI4LQ4qXqeo4zWE7jtpqENmhuTPdzH+TKCII68aem+
hZAk/Z0oXHs+Q/zVaf8kcsq6OJrA3KDChUNnkcg0UQv9uFjI6qom75vyG8aRNksRdHm3XLeQlJhU
y8zpd9j7bdW6l4YIYlZTWzgOm0HhwnDlfIuD3/zCBMyTHy5sO74hDtARxrTAcsrkx1sAxteQ6CKn
PnS/tCCVSPyGXKXM1AHOJG+naDqXbbgQsJ2CVYQqHCHagJHABe15yrwbLIq76WmZdQqxghuHLADg
2ATHLhrlsVsnO9tBOXlcoYAb68Khk+Tf3bG3oIAJuHbLNcvfl1+KGEWVxwbMPvdoVYlfYB9Y9NYX
sPFVAmkDgeLlcemEGu6HpnaH2zbhT0ZsNBMiyCqKoK+g14ubNpfOAZyndD1FZbDQqeKUPAyOUwkE
wDkq3EKu2jGx+aSLpx8fQf6uzbFfH6aou+kgBLGZzTU8q27dNkhrz/gx+lzagOXEx6na6asZIZpA
l8JP4/qpJh0fDoEz1PFFhoz4vB+tdirOEGSZ+9N+6nHyXE8ePuozyuexNZ95yBuzWZpBp/fM2gts
VlvlUVKECwCBHY7VrweQCbj/EQFf09fgQo4YDKg0C6ZfO4U6iGU5/rP5tm4Dl38h0DfnKC5WkKj+
/o66qjHOEHEg42jNlMOocCWiRTIGPRalXHqqIoIjoD+eKXwbVSdNR0ZOu7fygXHs4HUVYHMxSbMi
X19RGIqsba4CbMmQ11A1j0eg19Ol9Dt2LZGWBZMmCdwkv0Ulq1RqBw1XT5dKJjZraih8n1kT2mgD
zWsBvpq/hYpHoHZd2KWeODUcbAde6hwnRnARE13bbC0JjFZw52Wmy5gsqvey8QQBlwHyBbA1nbsl
ugudbGZIHPohEh+7h4saa5ci3Jb0sbljhYcWd9csyDsgdWAHev42GBrwE7WbWgynfjuA3d6Uc+mw
FPoEIdWEN48DA3mYXXbcEsIx+kJjn+h7cfyIbsQacTaW4OzVqG5twPy41Aqp63N7SR57Om/juJXG
ly3HWXQWe4cfEJCcFbeVOCB6ac0NOSPYTyABKe1B9uCbMlJAHLY6SG0oVpqunqI6tR7uK6/g/2s6
nSxgldDSviR1XMgynDFmnc/NvOjgEUEMeU5q0egl7VAiLzeYBlu8CdmSNxawvSwx3CvqcowCVLGq
nQ/A3tskvxgy7JHEtgaayf1Rje31rIYU2HSbKvUXSx7g5MsJ4zvz3o9k7A8bIPpKR6Yoi0BVuiZl
RgRVKrHr0jl0TLTJtBh7iEPGci3neWL600hGj2rro0cxFyQKY4lcgpQDbeiIQleNB3SQiPiqtKIY
SCi5un7DRTzMyHMhZ9IOxkncmvpUOzV1V7agYNrWGM9S6kHcY2Dg0PdSOx7Sas9FaxU8TBEkc1je
+RSvnOKyRCNi8qisxg6aGARiws22E2Ey15CK0NCB1UXeDjQ7sFGhOgQIfWp0gpcSZt0XRG0MJ9LB
dtZIUkRQF6pOTTRFEfT2MuothZUT3QgmD6I6eibCYqurXToDYYAt3k8tcygQMfDyM/hTC7+rbRxM
sJ+SglDZ1gWjtMlT3kexmkzD6uvLVsOikh2ykSgSbQsL0FG0Led85Lv82tRRsGfwmblmjCjKsDO7
auSTHGFqftfBIiAupSaeyzd+h0JGxwwBEAFz0Zlcxq+LDKLDwCiyFmD2tUyooW4EajO8/XqWZ94c
MtO9DLu58CyajJ5LOxbGlfRSKNmy1yM7zy6fB5DuWkoLmd5ku66vmY4Tvq2lwabczMSH2YsM52oy
5wbEByEK742q7jDg2XplU4JIwLqV62su2PySezWnkV/nEKK+HpyxrEXp71N6JLW/DaNkFMZJnywL
kgWgBUPa12MRbB0TwZG7oJ54eAjxGdF+mEfFHasE3hv9hDxSLOykX0inYdj3egR/Tes8HvXvZgcX
YXu9QDTizt1SGzevWwAVy6NlMCvFVqjGb8YVmWhosj6NMGblIk8IkB3hHUvBgI4Ju5vWTzFOgAps
ze5XnCez5s7Mp+weBKsPX6HBGqA+xbhzoHtdDn31goNvbZw1uMEgVcCdAiUpqrj+SrPCxYsRsHn2
6iTZ0tzmmmr7PC5WNl4tPuwt7AKzjlKqkGOFPEVS+LJa145wWgy1Rwk+uKnh6SLqlZu5dS4yttVt
4HVQLGreUUOQn7x6SdiFh8ZByQ5xCZ3SL804I5SuAO/7qwowXffk21bvYMuIDC+o99pJQWP7mT2j
xl/5PH/APA3CDqk5drJsrdAhX5aNH2NZgkm8DWz5jDo1LFS3Sy9GE0DAbvBVSBOQBG25D6HxlWx8
bqdOW4rW3ko4nW2tZ0hHiBi5Ydf6G6O0tZqjUjZgddBqB2WLblOX5ricBZgHm3trtCIbFM5kFYik
qGyBRR0IaVxXdFudB7gqCGfszUrNVb31S3Oa7tH9RYfLwIbBuHUMp10eu4JZjXKK6zYPixpC1Muy
DmJAtYd6HC5oeQ2qcjf+tGTpPoi7ZNotMCtRjvPTUtjRWoEHR+rPyhOveI3Apg/TBprqXNNllKJH
YEFVpVrZopWdue+Copbepk9NCTUkyI3UvUQwwkhTBPwq0lrEtT0kHMGIlF4KvmZjSRSggFGIThjh
ZWPzMMn1r+zbnLPAtW5H9A1xHxmRm2JbqnKRV/IBYmRVOZsqGJtgIJ8yQ3KUeVCSbCwwRxZMA5yI
+Y+hN12SfSMwX2Vb8QkkLO4a9Bt7LRs4yyFyXB3hcmnqDDPGt8gKdvhBjyGKXqKtRu8MKoFBSiqj
GhWuCzp1CbtMV8jQXvazUnznrpelzv6Ap+mTg0os7aU1I91GJ7ev89j9gjs7KL69VRkqBUtldNQa
qr6WhEnZtmT2XkpLwN47tiQLHk1yNwNznbEiliUASwl6gTEGcF4FQtFIDFuFu4iD79gZKVEBGoCY
kve5yYOSl3jUm6TMGx0Q88xmjx5BDpCaIIbWMUBVofTO6dXjxJ02YaS4Nrh1VS53gyNrflcG/sSX
mXi6s5ZaWTbcP/BNHSdTYJF8xE4snzsqggp32Ge/8XW+6gcYbj3aUDrcbyOE7HLn2okqgD0lA9si
eqY6lyoqpVOWyMdEGCHCsnA760dvtHPqb0Zs/npQQlZB3YAmIxqksETNRjL8xHAITVtII5R73DbX
u9SvHQzvMcYR3JiuWLj+qO/eEoHBQFbQHvxyP8fIKP3IeoOBJcwk+g761kBu7PD3SCw1SwgLGbGQ
kaoi4htLWmygD1N4KV6GBGamp2JskgfcynwK5JcMUez09O01smFa1iPHv7679+pg4olFUli8o76l
+0THNUwHJNaWMTED/2lIlUzAIFVumI8nDunocL8oW2ex1lLp4lPTIL4dnWAnpZMKs6O/P65Ge9YH
ec+tmSw59TprwjTFbFS3QcmBLCW0A53ND3iyN/KAYkM7eNdIE9hlfO4GyuR+kPfR60CIxuRRh5Qk
E/SUo5cIgE1d8CqSmg8EcPlI1CyAg1/imuZ2AZYNmp29r22VkWfjG6R312gYQjZNVBxIVNdCVGSB
rmh0vtm5ej7iLZyQWZuMQPIjWFTBD/y5/jRZSbNcj5mn2C4tlMXYw6IItRMKqi7IC5J5Uem7fVse
aUfP+B4LlpKX2rQEvvxcTGIIvw7eGAK4kAjT4nKc18yFbB0jAMg6cxpHz92ssP3iIh+tcOg2YYZU
Psz5Ls8FSe1Y4i+z7o0h51oFInnDvVkNICqS1tKptT+UHPlC5cfN89D0sZYZTVEHILjMoyPOndHq
0gLlNpt5lpu2PgQmEA/5GgvNWZaR45NecvDkPXezXOYzMdqcnwANzdOwn2xRp89DZGH4sw7eMp82
NAdyjbb0MBHax0jTkxj8OhF7SwELbTeFocnpCx03wU8hZ5ZmOxuGMb0gsolKrGkMprnGsDniODJE
TdgaB8+tRH+PBI/ojbUxWow/nVl96FYu4g2URCZLH/KV3+hEPqzgEt4HbRDy1lDK15WJyTMWH1sy
1FfJUXxZ0v0mCSEGIHzPmfekVlUx4lo35EwnV3J5SnvBokNlRUx2D5WSE23wAm1LMhoLQCdHlRRl
x5e3pVcMmU6tMiPXuoDaoamtN90ATJyJUYy6fmQEYtZTUpneWFyZzjQVNQMC64z2qm90DCQETL3E
OS2H1QW66g7J6zwm4R5R8am/cSe1tCcedoQZmmw2Zwo2NvQiQw6BHeoyOxfZUb7Gd7qGWJXUhc5E
7cImiq/Ht1PjlIYpq7ROBosgRcLf4y9H5crOtogA6FPg28EiCxZ90+WCSBNKe7U70+XtvIUTrzN4
CROdQxI4mPUYFQWvFD90fet9MbETbidApV23NSb0Wi5URXGED6IHslzPdqoDVsdrxCkdCFMcFysM
Y9qFzkCETOyzAPbIF85vkcOfWp3owqPUs/Lz2tq/qBkBdENAlYYOJOrjAquHWRwCMNn4bQo6fc7U
WoCR3BjODFdg1fYNz/uHSx5X1ShTeRxP4Us42in4uM46V0XhmR2QF+mOunvzNjUyD6GwPz3d75fS
CD/thkvDSOPfPlbEbDiHy0B14lvsBDo+lTCRB5JCgjWx6/OR/FkNfF8/tigdK0tIuJwC9Mxx36U1
ta85oKpvk8h7DjJ9lOOGvJadE7EMIzxq2QsXtyRo9IUjAUz1Q1Z7qOZ1KLdcUoXQnQ2fI6+OPW+R
+Vfvo2hCfURAjLxlTwChM/LT57f/21AJysIkthawR9TWTf37d12GCWeEjo6tfMaWb+I+2KD0sZDN
lSPU55f6bc4JCsM+rSA6QdDij+vdpFGxjdpV9exHnujnQzB7yfhoLUovETcIxz9OueMWCshATfaH
nkPV1P4NBNnULZBg6vfPlRPpGNVNLLbrPiay34a2r/eswCffJ5mY+fk70rJmc0W0y+XJ589+PMx0
TaVEhUO3SaWFTdTHYR7RMxlGPxRfqUlwdEQvjiqVB0qOCPj5lY5H2Zb0+WnEwrZSdJCOi9cpiaEn
rMT62helSi+6KtNH8xgvFDb5yNZZ4+cX/EhIomkCWIKyM01e3LpJmo5mEHzXhWAyN18bLH2ZQQ0e
gIQ5guLMew2aOptAKMXhHPlrlSLGM28/v4Gf3kDvVyCplrBhX0mlQFX8xjHjlBhlVqWKr3VkzmGx
pZe1pFuqHpGf7N/SlqGJdGrsOuiEIQ77VhQ3ZKdLXjmIefaF8W1wcqCbjBGl/5lVXDq+4LSwoNrP
ltCmY+m1G090AJZgx6cd0VqNUm+WMGag4oIAMln4K5wVdP21Uz3FIwvcFmDzIaVEBzcnje3uJKa1
jHxLmRo6t2oBnxEsjMZWnGIAjentHPQRuY1qhd7ikUuquC31VqBvSe2JmmkKtZwajtf9zPhs+LPV
Okhy9MVXZgsok/JYmDRUJu1hwn0U8e+Usuznw//bhMP0GaSMZkDaKEAeT+2ek0WE7Mz8VEa1IGcN
q04fgfyl0xnAr5L155fUq+XDCyfU+j97NB5YAHXM6qNRNnc47oxPfggIXGxRkHDTC0iIdmpcmq3J
HaC4it51hfENhg8UYbEm5w8/v43jJ4en6ZhETo1+Zs39bH+/i52FWxcj7zJ6SkvKn6dxDsPqAUcU
uzm32+7y84sdRxCg3GCeqRS5qAXjlmV/jCAuNoVxVLXt16GukuVRJkpPiySpdGb1+aXsoyXNt6OV
CQPVVXTehDCPOkrhOJkZ4q/2A+a2SGkFlC875BApo3LSjZOR3QG/4SXnX4qCDfNykjhbc1iTjbfS
UquUYDjy6P59NYqMPNRaED+5N+OQE0qkCAIvER4cuqw1GboM4HWw1aOTwXN1mRgMI58eDEvwcEYq
2YvC0NCdIvBJOl5zIEgxa0QYK56zXYFavXPx+SAcjTdj4BNXTNapo9CSOR4DKcPOz91+esAlU+/M
WFnqJWeMJSfnzy/1U/Xk3XzW75Tg5QK4cNkWxfF8RneNmqrlBPeeU/68FjoQ7mU61DrV7wn1hKC3
3nsGSIdRQM1aV0l//dQMqJIi8jGaDK50lK5nchasiHR23gZUFIw06Y3lvGWp4oYSV3k67mfRc2Da
IqDK8TheCGrD7lfjj26RbiIZWWKzdhbPXPjdUOb6hS8y4SrGz+64eitNDBYVUISyZKTfJM7YIX9Z
DQT+ctNhyq5PRm8tNFYkczeh58G+FwRUOcRqtlA/K/+w33ofXx9mNg6dfNMGsARYz5THr6/mCcCO
V8FLNgj1JWnQvNrZtEcPbupVDjX+qNshPeqfzehQB5vKCYpDbqfZ4xDGwK0Lry9omoYCwt0MstuN
uvoh4PzaXmcT3KN15A2gk/3kBuai+TLA10LZvcGCc00vx70aZFCeRWbcXrAjRdrSJIINZ7SJ+Guh
jzycBtAU5aoCnOxsqBqmj0ABOw4HGYDedes31w67UrpzMkNcqLkZkOKc6y098ewxood/mmU2XYJE
uwyziYy08Dor+wpqQp7NE7JbuFrXprWBKanubfbn5wq3YLkKGjeihBFi7YvsZXE/KtE/xkJE4KBM
wylQO5PVU9r7uLQbVXPnOm1LWgRcMMG3ZUebYK6AdNNcXoPhjVHJcPLhNCswWBj9gYJNlCR/9Z7r
UjUP+nTTjU15vyAbuSH9NCKqfYazNl3zxulm85s9d+1XC27aA7INOJVNbn6WqjbeIl4Xn32+yD4G
ayYEbWWCmSRVcGwShaOYVlL+URA/ilfe13SN53ORbt2s7FC7a0z34fOLfdyg3i6mAMrpbZ4cThwF
a0yQSe0av3hFBikHIzSZ9yCi7XaV5+nF4AgtNxiW+Q0tQtDGn1/7t5n/8zHB6tCyIYgfn0d62foo
NzX5a40BQgW0uUqnXS7Qs/vDNvHzm/4JWz+f0rFtgAfgYtmQjw+RE24K9gBW5tUacREi52G7WJUc
eGKoIZm6Lew8uI3R0YD+kUkfG8IB9fX9EEt3M2UdsC/Aeu5V4zb+aWFgCsF+iwEMdcXuMc9JXuyu
yKuV3VnOjTkkxY+8F955QXn2ZrBn+y8/4ZyKkgDE2zUG01ci95nHcERdqjcpvTj4gRTWGn9+RR22
o5XQNzsrlOazOXVivfD+/pALHYHwGBKdBpAGMS6CPfo4JYCg2k4OVJRXp9eDH8Ui2kPBzw7TMmEM
72dPAiO+TW+HND1qPHgPIOPhCn0+BaSezB/ejNJgTY0HsQCO4fb4MVlAeSmnfRCp17CncUA5DdX6
yYP9tmnpknSbwcmng8o73CBio8rp9pT5oaRudTFULkxW6EDG1YIQzQHdawpnDaD7HKEeuW5S4yKe
C3U+C1RPRC7uqYFmV6XBS0MCETnN9dJNtF2QiA/WqvIRsrQ5fO8QpPwxu0l8KVQV71MqxYc4LKsr
VIKzblMGbY/CZdSDR7bTG6OA8oMApDXuhN3BSECTKrwfMx9prag2eQAkkn3cJUJaACqpExoh7Il3
jjS88ziaHU17LQI40yliu58P7kdYEq+YsXWoLig2KXCytl5/77I+tB5or5kqeK1jR14atUgeqxhX
lQ20WfPSGjXP4vMrWh+Brz8vSW7AEQdoOhC8Y6w4UPesydk6vydV4pxSNoPCF/SzcUahEtVnrEaI
9DJsXithZo9IKnfnceybN8bgi93n9/JTzuLj1CLVJHxi4YoAsnVsOtyMuWy9sCi+hxMNBs7tZfAV
PaJo2OC4IVc1hj9UOHJtFt9JaoWbJHLlARPKeEOdxPfXNDzzCMl3eDNxlw269EsJvTDa6AIJ9PZQ
CzFduuhGnYRShc4KBQQbT53ZQk43rMy8RxPVK9cwNGS1NxiWXZJ2xgWIfrSvKGUY524bzdfzNLKd
obxf7cKR3XuNLmt6ntPmJaMUOfSfrM4wahwwDdgOND0f5cDRlFykvetsrHGiPEPfvVHAZZiJtIvW
LlW/a+HHBS1XEHXYCUz0lToX1Yw1slXVxVghzLEqY5S8kWqwS+sEcMrY7FEtsP9CmSL+AlOt++HE
dqwdqhKYL5+/nd/jj0J+ENAc0DUEzX6r6wmbTmg6jel3WAymWsGCTL6B8pjpGvLKOFOp16XVziuF
8W3GoxFnNHdAieUPt/EvJqynIchsfRiQUhv4uEZASrV5u6jsO1pmc7/5+ULcpY+y8xh+Oqqdg3+P
vHm/w5wv2FZ+MD1FXjNUzJPFuv/DzfyLBYuyI7VlQgdYy2PE7pL341BOafI9VKZ7V7tWe2tnqGIr
Crtn7Iv9Jc5c3WnlFPlJNgnroisgXKxU1k0IRUQegORiHJBc78UPkPO1xFs0Tu/+cJe/pQwKOquA
0GqDmeZQeTRkQ47ar187/Xeq3nX4QGaBjx2VRPxsWnTvbXdI6Sm1i4vnXiPLH9FiKiwAsZkZ90KV
7aNEiu/cVGP6gHx+T4eEXWDXJE3GcIeJWuPgYPyab//hWdzP1ff//T+eX3OULuKWQ8pL915OCtVR
pvx/z076v00KFuij9ebb3/mbpO7/F0Rpl9KB71A987VQ6RvTwvAdxKlAWbs2pUKQ8z4bzD/Om/S4
qdij+0N+IRRJ7t/sJAFxyeLT6FBBYtd+nf/nf71M/zP8Xv4iD7RHP78nEwDv/pBB6BIl/3BwUugm
Se70aJcDOGI7ld2jZZJ53hoMPviOohv2SxBNp1lYywO0SRqG5TjOr7Js1blMnRpQk4WPWFn2qMC1
lfGcYQd7kYJcpVMZiHs3SZCKdiu32IStoy4j/LVuZzxi7mmYZxgHYPeYU9P5WlaBB69CJaeguzCh
autvlMiSAzQKRK8pQUwNXYpqeTGr1FjHAdop0HvRfKDKl576RYajkRKoUwj0r6euuCglMph+FuQb
I8mjU2tox5MiznNsMgxXbGwjVKd5DQN7FWTTFfYk2b7KPOQR23BIaLdN9g0tVP8SqJt5Yc2xeUEC
ZOAPUIp6RyTO9nS2wy+WH/uXlpFeo6bRXwS2db+YM9UPFzRKUTu+AZW6Ej9IFxBgz9GW9Cxw1GuE
mbprHwAKzFMF/seRU4v/YdzvZWZWr+PIRUQjgH7GTbbHly19qJ3ERbsrc9DVzqfk4LddtxmdMd+Y
arY4Ddr9X6UXB1ddH403XRkvL3TUURFtenETpoC2xZw0l65AHRAwdLymFBLvEOnoz8zJrb/lop82
wB/VrhqyYa+slMcIcSpz0iI7oPyHb2nq9K+GL9AWkqAx/erMLsITR3fEe6SDVqlZFpsWf7Q8xbrd
8IyTLFXpJqxLqNMgc/d1PcgfoY8uYJt08RmiSePeNX18nPMov6YzsOBabiTpKaXkAE8tDpJnFTC5
xxAXvCdVu/kWhfvqNKigEFfw2O79wIkvFg6YF2NrgriDbxz/FXROe570ZnbnlE61z8nu8AoCy3OQ
U4bSYZoJcbPMKr4IQ2fZgRfBaw5CNSeYGPOGVYFMIFEC+0GXxt81tm/qlPOEG6yTxcle+mmqLgPX
Rfxn6sWZS8l9n1du/NR7Kv5SV5EFoKCSNzkIr8MUzdMlvV5xZo8S46++DK8QzmnvE1QGMXNps5Pc
6E8qNPuDlV9I79KuK/upoPR+UYdOehJT2DmgOo8NBVZxGXl1JK+yajyzo9FhOtbNwUBXnfype6bp
gc3dPKXW1q4C9VwL3BvqKT8J52pY5cDkTkogjDsqEmg8qcJ+FE76Mo+iCtdG6NhPyivuy0EAIWyr
Gd+JwrwpIxd7oikKjFNp0Lla0YUzL6OB0/d6NNz6uQ2a5FqFGNSvoB75L+hNRvti4C+FqF89YDqD
3JgAYGxSED9LQl7i+P/YO6/ttrF0677KeQHUQA63IMAkUiJlyZZ8gyHJFsJGBjbS058Judxt1//3
6a77vvGoYAWSwMYX1prLMNIDMF9yBMy8+OQYXf9KYTG0fi+0B4Qnh1gf7WM1NjuWiEgRbIc8zjTP
xJWJdH5vRfneJkDgaEdLeTBFUQVdLYUvOSyf+8ojQ9Yqou2cGk3Aox2aLXic+7rDSrZMTbUxBA3E
ksxiFQKIJ1Rl06NDn3mt9aICf1pTAraJIHPG1uqLAop2zG0CElrWwRvP21p9VuyiblTPbECJyMyv
AwbJJ9BQFWIsQ7tmamzsS7S3HVYwnualOrRvRk+MB2CAYFQnh6CmcQoJA5VKmDiG+9Q7aDz9Wl3y
lNSJNehwmeM7ImjFTpn6BVTFbDmbdphsD2bDSJRoNIOeXyhAl0pKF9T/8BgvM4yRXNB7523ccMzR
//le3ao3cd3U57mM1FDTlKdMF0xu4a8bIflo+LxthLMeThAyxtMvmPBVoLGdGiKMb3w9E9Vrbico
4arEu1qFax+6zpqIQGDdfoXTLwLHISGJTIoXO3OmXYYl7qJ2a0wq+jD1dnBBX7kk2SPgcnM7RNjh
ffZ4atxCGE6+AJpIT8RxfmWJYO95Ii4bggwI/4nNlEtpzE5dRpohUVveqZBme+mzqDlnyMo+K1Ga
33aiqMMKbBeu2ookFj1ZowMb4wuDMn1PwJkRkpZWbZMp078DMZPnkfHEi2k068NFLuYTxX/6iChw
yH2gAxg4Mi8GdZSQjDnHeGK1KLloGp0eJG3LH+Jm+qRK3voysZZgnvsaGpXu3rimZxGskFfJHY6t
kQuNZEhPYUfHJyuRpsWG3JXp1K+S2Poxl9EuxdEQol4kU3EwzLAeEDsDGVWXDM1LafpWPG3tphpu
tSHWj5DLxFeysUUw4mdBRMzjNuUWv+koDPdsyRFkiqb1nsnyTYOiHNWnPAKbwsmExanXg1m3rcsi
M+WtxkV0rHtX2SIb7+5wCuYHy1SiLaCN7pqTufDIihb6qtqonxKYtfw4JyLQZ1ZIxEUIdNvOzWvZ
LfObukiOf4YzC4LryYx3kzFqwUJv6+udckO4r86QoWzTiVaxGpFlrgYONeVES9UrC/3VU5ll8YO0
KET8TDY5wZSG118b4ub2VcIt7U+1Q5rj0rU0MU7kNu9eW4vDkCe6b06jckr1IpxxLl+GoRT73pLP
VmtBOSG6jmEn3JBX0dvPWBxe1Ei+o998dqvpnigUIAPLyJTTaIpDWzozcPH0QW/i+lgnjvMw1EL/
LGid3iDUTF/Qyjy7AGcVLvUUo5I41shMVHmsm64Z+l1uT3DtzpRa0Hb9hWhhK0zxApjhuvA4TdjT
AzmSb3Vp+mbGXGNH7zKdDXefDyMfHNQDHT00LJ9NVKk7OVP17DCPV+cUm0b1XHOAUnut4nlws9sG
oXxxdBUB6ZGZe0CRJ260eC6PpIU4z9ZsNV8ZXsTZJWJGd+MkltY+yGRJol2+CIIFN1M3Lsg5497K
vuHj7pRHC42cBUxmiEq/UlJRIRoiNLdU1vhcryq3g919AZJBAPcU54E680n2sfllUvRxb6e1Q6py
L2/5m9PWyx3KyTw5pq15kh6wbkTZ5EMKGKGfFQdgEbXIY7kkeZjQ4R55giifEiWNTxBQyPIstfl2
gOVx2/JpHpceoE2Sji+m8OZj69kK6i1F7rRyIo1UruWWsegSurPR3qTpgY4I9dMMNTnqEZ5jY8ML
jGIS7BPODJMI4KQLskaJD4uJwFhGUXRsCz099mp8gr6Wb1RHq0/gWXqCOp3mqwSit0GqO+/SZkhJ
Heu8UInVKGzTvCJ3zqyZEkAy9Hv0lxvsU+5eqrXOnF8vdkS1q++mxEwAebUm8BwCqqF9w25vu1+A
UNOGvknTaYT1GDXmOsFkMZwW+Y9u/b9N3L9p4jAn02T/6yYO7Xv5/a1P3+Rvvd+PL/uzj8P8zt6b
YQvyb3uFTNBH/dnHOcYfaCPIczXgtGqAuFCn/MyiAE2BEEp30R392az97ONM9Q9aOBun7RogQWf4
92Bjf9FG8EMQgRD4gN4GRvoamfH7JMbSZ1pNlNn7qow1PG8p9xWCRORJ/dNsi1eXwbpfV0sfltjO
NsBNOp80cnF0NVFv1N59cAdXHNH+i/Mk89Pgmh1LX5uytCWnRVU4fLPB28zSJFiK+mNrGoUacFqC
JcRKsa09hcaLre6GOd61xsgE8p6DJDNdcgsbZyJ5mp/JTTNsMpYkG5XnS4At9mnIPR4AKVzQulqZ
29mrrdRqkBf8daFxHlaD0x7qoX3S3KRGsQHaP0O3ERaR85ll6D2Yvteh5ccja3zKq/SdWwgMUuWk
pFzpVw3jBxJBXo9dT32ots2TjVkTawsQqlHh5ZUxS4ipIEx1UJxD27qHuETbF3W8NTANwWIWLEQz
8Y7uANy6zVuJArQL1IZvmg+8BSaQJl4CbwP4ySLtuiBq+VuDyu/A0pBaL2IrJNH87jMThhihx3lg
N+S4DcK8jq4kIYmvzEygOqkHEnPR10J65i2oc6MPrV5brnGVX705H8K840dCLLduLLPh1x8NPZQN
v5BR2yJgDPQoOo+aEwdcwGn8PpdNxby1Jag4mikhxKzHOC3ityhXNN4H74G9eB8a5ZpChiWSyFws
Smbvuij6B9rWzOseIjcS0NLohhCokGqyqMt+dHn3DECpwWg5B1dTHj4ukrSZ6TPMpgswk6oBEYjX
YnDRtqvew0gnvNEFfxSqdR1Sfqk4E+aBTgE4CrpiomZJrXW8Xg+Her2Kev4uvPDbtNMAjVadHjoD
+wE7Irlj0bmwZF7gybWsW67ndzS5VB86v3o+pq+YwfnsF/4ti9gQDJpSBmPvYvJFjr0pCt4l8Pr4
U516OatN522QnD59fN4F1E9Mr1xW/cjrxSrkrQJcPvqGwkLabn5Utfidm5yrmrOcnShXp+twqcBp
xnHY9PNjnvCvKK5fSavh8588iqkah5/k7WLE+zAvfPJjw33iOGN0JHR3OSe0JHiRuycHWgKeQT5h
V3IxudyNH29GWXNTjAp/tRbFawHrLoxUh9xovbNCkyREaLMdMQk0k/dFl9UbZodw/gEFbgwk/1tM
UgT2Ic4PitbkLVUHfoc46W7cTpl2jFiw9TRRCnlpgd/vcFPSKp7SEVo0IwmuMohLrIVLcXZ1blRD
5SBwB57k1CR5qHKfQG5Lr0Ni3X7cXtCYl72qEZowmTmulArIE9Eclc+QvwtMlM7HOFHL3UQNs5op
uA0Jp2dvx2fL4H/VFZcne4jWI4RLoKyJgzBG3puPq3xxxLJFW+/taBtEOONh2CI7yAkE5XL+uADW
K5xb/JqaS7kzZo4xb+D+Nhdv2X98zL2Ertq3XEbMlvqQHOPoBVaAsrfI39gg46VMlJqyjzyD08tK
Xync+Ag08U7/i3YAYlSoArrYFEbvbfQSdrTayvLkpOp0axGV6Y7ZK/YuuD1kDp6IixchBRLD20VV
9rHFfVotlnaancTbOjYXGWTk8kQGDD8dUx9nb8EgksNBW2iIJ3OHjpSgF9THJ1J+yMbrDHvj9KoR
4DEgIFDv2sNoow9xSpjSU1qogAMtI1TgpmxIZORwG/noPgwwkdSvCSswlOLlvKt7DhP8AgQZNrzs
aOBXwJvNXYTBaA/ehz+c3PhxNukeCQ8fN+2Q2gOzBIVM7D65WC2XRGuZV31eaYwEqfgW/TmPnZGL
qZnqbUe9uBHAqSFJq+Vpss3pVjrinTaLt2bmDvh4r0HbC9K3+ZZS43M1S6jXhLR0gYI+0IdxgDEk
V6KLTjkfoL3Nd27UvDcO/7mQGRZjglbilPPEVPJ0q7XtG/IHiy0UaOuqcT4XlVmFQkkuyihvnVUl
YEBAPM7pBPNMybuc0DU5qyFqL6hp5aQA/1ry5auwcqIqbCoCOyQhplN8HIQZ4PRqCmjsPAiGqv5g
xSIP0K/V2XmOO3nEFsJHaKiEIvlRrJkSRHiDU65K+0sSm2hjMZ/njOLwUQyECYteDSdQlV1Iu1xr
G7tplGMdyRelr6pvsDjfzFStyC4zJvHuNoYC0gYfwNKhLJnGfV8CT/YKge8QqEJjbOqs5Z7PzEEJ
Yh5FAaLq6IxraFG2pImO3S0RnC4JpGBVij1+sF55wo5LgjpozfwUJZ6BZ6DNNZi/s2jSW2sAdxDG
ENiU+xIK+hFP5MMvpdifE+tfJ9S/r0s+6hr2r6gb2GMhKP6rwoKEaH0xIX7unXSmC1mSd1z8LkeQ
+4ADFws3xKyNmf5buffvy6Q/f67JpIZ2epXz/qWe8mZTx51Vy702fhx23INGSiDPyG4FeM37//0q
fxet/PnTWAyxC9Dg+/xVtEI8OaGRSyn3+cwFslYCnmAQGjN4Cz5+0n+bgH/TBKBu1HnX/3UX8PCd
LgCR0/df9z9/ftXPZY72B/JXtq3rmpFv9nORo/4BmwBiDm0BEzv+/EcDYNh/2JA6iPlAcc+q5Rdm
lmHSALA5RTfk0gVAMv47ixy0ir8vctZZ9gqzQw6CO8FjM/R7A4B2zFCS0SoPqBcpaXbMbOJsCDEq
MsHvC8gI/trdjKdehx5edA0+rm4CDB5Hzr4pzBSnVNQVIa2Odts1pv0wCRLH2YWzw4ltUgzGFg11
bE9PxTQ1TTCjwXrxaNQPFAGEIHgWSdicYqETOd9kWfeHATjWjjisOLBd0RAZLJi+Lr3czVigqKUM
s/IX3C9b7JwF4hVX5H42V09m3bgvZdsVB4l5aKum9lZ25Lap/aBuBjZLdxpjvX05pzl0SmNASoRX
bg2esKunRCMHWies6ggxHsh+rNv2a+Q6NamRRZ0DAmnj+Fy1c/8INM89Tdmi3sux1YMyR28kNe+s
wioJ3AIUeZ506+BbEOjgSNCjacPBnantrnXQEY4pcwWM7tcK6y0jJL3c2gqo+0UO2h3CsGNcisBi
JX0BCoaWINKxiDNfCwm1q3xJNsWnlvg/6j8grirC2RNUgO4gu4VKQ1m0oykS5Zh3ZR2S37JsYHEs
QZep1bmx0daG4M1I0RhH+aCltRnCs3JOcVRYO7PWiq3eGBbftVuu9aB3ZydV8GlJ/cGeigljl7RX
sSbqTEd0xKBD1xxnO9/akieYUk/zPUxd51WSyFyX81cydLudVhvZXjKO3CHTjz5T0VfbDEf5Nze1
xXyWs56dY6sQZIbXE8q3qS9Ct8iHIE1cd9/ZbbttmPoEM8vx0LUs3Y9dIKyYxr1XFzrqO4kY3pbt
A5SFJiqAguKTvZrz2OWnOasRD2rZI5PO+UWxmXf55WKpZwhvw42rqDrQU5UPOfUYAtcx57WtR8Rp
LMI9Rqpd3gGsqc75qD1CIKh7tCFms3fZsF2niqcqbujhDtqKd2M2KY1FzcKNgGc8Pc5eKgzqeCaT
nOp7EgDKZgHAcbSJdcxKffD8ZWqNbWLW7kbXyDrzm0ov9hjOs025eMwidVOqZI/rZKcYkFd1Rk+x
E3QaOV+TvhQXRbH2ntUIouPL5tza+kuVN050apBUJze1ln+x09ZBvWXtKKU05dCl0oz0HcjnTDj+
4OF8e1vwdKUh24Hlbhmm7tJJ3S3evBKbxskEnVO6vXy06sm4tEQftjJkSfdgRl0Weq0kCDcvveNY
OTrhdVFH3gYS4vq+nhRcBkh3hnjP4Fi0j3o+YtQPLFWUfRKUtlM5RzJOaB2CAniLygDc5n0vhnrZ
Angp7TYkFUV9XpJm7Ddqjbu8mRHbfGFVwGwh7KxZu5aTJ6NvDPeZnaWL53PC+YmGdT5UZfWJK9cS
vush8PC91tTEZhrIYPfVHtWLQ3wyDkpgzNXBqvJRoTWXKFLhYhDKxfBTmmf8et7nYq6tF6ExjKGp
JXztoCX9qgBG23wpe8f8NptGL3Z6NKFPYSnjlEwDUk9g5INFG5aW4EcuedzafjGp2oMRL0TQsJqj
UlRHtG6cffzEXkRIooiaQ/xEjEFm+AOk5OrOcWe9spmfNInR34h8tNSgIqDJj53JiUPiAe07bJjT
1jJH/pUOKvNbi/d4Y2vR/JCPrn7TMn1ufVG1LG2Wwht3uH3sM+VacxCpx30/WVFgidzsN7o0nJ1E
S7UjG8PdVVCNLyvIa4nhAKCssqrTlKwZMXXtkJ62elnydcjklwPz5kDS7vg9sZhH12l3JP6i4SQT
kfMrttOQqGtD2TLbUD85OWsMW0fOQ0tmKfgcy/KWdLbq3h0caDN2MzyT5abPOPgRYa+rgbxptUCs
64L+Y3OwfGwR0BGBX2GzwDNqXVeb9nZc1w6AkdhA6OsyIl7gAUxq5j5a66rCXJcW6rq+oGTu7qp1
pQGOWT0OcNPfGKBYFwgCQefY8YGjM9oXfKsn4SBbJXTDfR40oh0Y2LJAydZVCo775YzYk/1YM4mg
JlT7a4IG9GitaxiTfQwkYhO89rqj6Y1EI8NxXd1k6xLH9rIsTMAJdCS0g3io+sNsD0yo23LZWcBW
WW9o47hZOoXGcV0UIf5gZ9Su66PU4IhHPknUYItsbVzXTNO6cNLX1RP+8eRSr+uoYV1M4Z6PdzYv
YFt3gr2VxmaYo5FllvGx1xrWFdfg6v0ZxbX2fZB6xeKSVZggSGhvr+sx2sY61NeVWb0uz7K0rkNU
H/mtWFdrcl2ysdRpL1jdvBPYpZKlaZmdBHT1XWMkw60gNmVj6bm9z9neNesab14XetG62osizeOb
dDaVwLr5k+sSsFrXgd2UsBnEru9e8LVMO5wZ7YvLBrFZR0gGHLVr+7FfNNdVYwEL5yrW9aO2LiLH
LmabNhUqY4ZKPSRq/CVaF5daWRCvUzrOGhLIWvNjw6my65zWpSex7PUZKK5K5t+6E+XpT+IPyUKB
qSXsTCetf1R0iSlYdqjlAZRMobeuWbuPjWsDkG1DiDvh8WWsEwZFA+zYvipsLea7qXgZDZebusW/
TuCW9aJPLjWFCdbId+Do8XRrBbFL7MXnxPlk/Mkdj4s0Th46e67T63/r+/8kMhA2z/+p1Aq+5y/j
y+9hgT++5ueEn2AQ8MyYiE30rj/G+D8n/BbDf4dZ/Y+o6bWP+CnU8v6ghqckplZlBWCsa4GfQi0y
SHDaouOyOTIw3/6tuEC8xn+p71cbHMIv6nsYoejI/tKQioyZp0bm2H7mSnrqs76sA7s20ExPMMo3
k9MW/bZu5kteQcbZ5AlDU9UhIClSUc4OKSc46RLaU5TKAn9GKewN0uHx+9QThcb0LmNPj/Aoj/tL
SV3ptzL/StAorbZEWlvGXoeTSI1D0PTgp3kT0z2lpvUp6xloUeott3lmsaZzCXjfO1DnzNWh2B6p
1AQjP4Z3ChlEbPHaxmeh2t5McHOACBlIcCYr25GbypMZRkV9cJY0OkBj6+9LLzaPSL2+Zk6jPKV5
wXypKW3fbKZyx1YxptJjFF67XX23TAwBiqm7DgQDW4rgRYI+8oH3XOnlxdbzRBLMlqH4GdP9HaCa
d07bdPRVr4ebgvcptGpKOr3p4Wot/PRk0K828Dk/dfpzj6LYlzpDRM19iAZ51sAD+QlidLDaRGsx
5EGAQUa07o7rHxA25+JkuvUTzmsoUFo/Qe6PvzJAP6x7fX8VI4lZfG0snvROVX0CLbg8Q5xVgxqf
ToB/SW6lytAWfsCGS/BhMqIwcjLbF5G9/gqgCi2+tdesbdziUHoJRdn2gwBZ33n554plzWdtMph5
rpP9Jo6MLT7LCaETFqRELd67pb6otrkAKVTI9Zqbl8pkT1wDssDTEOnGxqjzkNKjvlCw7CN3cX2y
lJu7GXLFkyncB7tLq101kZyidTO700g44YLyde81thu2ufuYLzU526YxPsZmBMccUrDDCHINSfEi
+aaoCIQ3TqMa155Aj9sibRINlUMysXxIyJzLk/KToWhTiEeQXEGywO67vPe2nRuRvWIkwDm4c4in
HdIgwS67gVTWeLu2MZAJxLVGsGA6Vzx9LYKU3cGubnVtkjf4DHuIVq1iPTpwHm7Mwla/mrzwoCPa
ZVOkGZ0KeLmq2mpEqbfIC2f1BiCb1R8qdC6+BYJxfifreFF2bltV0fvsOeM511ssDTFUCCa8Kcpy
BnqIYTLth5D4v4OcfzPIoYtdT9l/Pcg5s12rEDn8Osf584t+znGIBVjF8w4lIIf3Pwc5nPMsJzFn
rtOdnztcdc2Q1RCUOx+n+K9HvE2WFJMdBnfouP/uCIeJ0e9HPDssR0fKjxgY8wcS8b+McFrNzhpJ
/3ikr0Uxg91g9eiYH9UzlNThWY0L51axrOo+refydhkRPjRuoWobYlWyUFsL8qwXBPm1+iTuko+K
nYo88z2q+MlLjWO/FvYUwtT4ljtRjYOWovaPxOhs57UhGPD0ntSPLqGiXwCFKy74Ut1dQYjPLmK4
syM5jQ4DuFwUdFLYH9b7g1hbEdnNEcl3XaJsID/0ZJGubYszVeNXgUOAKCGmUhsjkcMuU/QeeWkV
3VcEguCyV8bpINVXIZbqxRG5e14EuYR+O7lsataeaFy7IxFN9t0IhSoONdvLVVhsFIMaoo69aHXl
baQ5esd55N2BenIPVVS0OFhIN2GnWWsXrNVy18NZujc7czzSPTNHmEVGcAwZ79+ZrajsdyjeauiR
xE5DLryNoSTddPWivJV2vBrRWFPfKktTHua0eRq8qblnrWHvBF7RR9i3/SfP6xHJ5crSvoLkjJ9a
wGse4mpE/jbBltJnM79QF5eI7YST0t2k7SGxPOFsdB16V4OpRW50c/wCvZgMPFnmrzmQqb23QL3X
zDR9W1SW9CkUC0KoraNo+/qIQmm5qaN82JQWuZfOBEAnaBErwY4k5rP1ES6LJ4TLrC95lyTfrVC6
rd4Z+c2sOdGmBbbMCyWqkKVoJE/augHLLDXZTQQ6PlSlmXwRfZoISDu1oSM4rSqoClamBXToyNfo
lgQJpFx7h6Y15VmaHrsIWbHXw/47RNtkwbEKTBF95NiVSZAvhhaDBprGd85b2W4YT5SU2qAid3WW
lJfUZmtrMjA4xW1FnvoyS19v3eJc90p20hVDmzGRjyZdvzk7M2EZdfyZFESd4B4Zm6/NNJK1LmrL
JgGRAMcKY9F+qRfGL4NjxsTNlgCICsu7Mjgho8pVwjop2HjMQ2C31i0iyeGtdAxxUFtCa8YMJ3ow
dHLemWUy3TDNtLttBtX20auy6Ekp7Fg5Rg1oldArHe1bM6qd5FE7yvsBXmEUDrPQnnsE6kRFguS8
akx8vrazymO8HrUXxoktT7C5n+87ssLcvWmIEYm461X7VJ/Jry+MySTNFLCILyPN+GwApLpp1MR8
lWg5oayZXLQbcIH5vo5Ll8pJdVDm8/A6sBr3HhYeaYj5Mnoz30SXnwcAyaqtm5TFC1ZC77FNzVeF
gQbVZWucNWnP360ayR/XhFaVoB6j8olYq07b5G3WO3xYZfvM/AQHP7GK9YHkzD4olEEWGMMs75To
EyDYvr1qHR4ilO3czy0BvxvC483QzesF+ws91TKwDJ7MOl03wjJcxr45ikpzjpZKwbAYpBjzPiCD
R/XKicbc1dkoXq3uANCm90x8rV2VqoymFK+PzNB0WpJLROKFi8lhOuhqPW8gV6XErKDcRhptNLeE
zwO38yqjv2/d1OSNdYrsC5leDdknWm+MHGaRPETxVLqr+rb+Ojhz3e5NxcXApnrs8Sx17u7MrlXe
KsspcCto2XCZm1nhcFlIVa6UzGt9DyrCVnGT5qs9zuP3BgjQ82yW2tno0qjAVN25s29Y4DNJ8zKa
u2T2IhFQd7HVTMbokOgKm1MMsJ9i0dWBK7yRaVBLnZKLJrBL52jWM3bJskQignE8wN4eHTLBsVlp
ZsNqvXiIS0vukFFGfopJe/C7lqEi1IW53FD22GGjTss3qMdTEQ6a3QSVIYtQraiC0f+4GdRVLR/k
jUnmVgnPoWXm9WVRmBvuZ8cshfrkzsImuCtpDQ3VkZRzl93BkyeQ1svsOy0boy2c0fbeLnL1ntzG
+MKxOO0cVyyHIR4/W2ZZ3jesNu7ZN0c6QNos+jy2dvmEOITYiNIpRywCsfiMck7nkGL0fe+mdXmB
jVtcPEdttl1cQLpPhXnrxUWHdAgJQ2a1hJNqPO02UzEjvtA9uW1cp8kCoyuK28xT+XVtoWxBPCW8
MVjiudU9HZtG29mnRuPXX6ZeP1tWGS1+u/TRJ9Nt7UOWivEhlopLOT1EyXeDvJu7kpDbYtcrTXWa
1TlCD1nXn9BcOIeYF/4Gh3UB/dhau6lv5HYin+erMLMJwUOjLPsYqOI2M2d9HU3IEDKYDEVvcR7J
VFtu9H5xDkmaVJtiJMiZiB3fanTjLgLHZnLIiuh+XOie7Ew/twTsVoygTYSZTLov8eKku/X9fAC4
qbFsWNo9x4UDRq0lDVYMgxHq2BWuxIgn33BTpPt0Upiotmzs+TlqPx/nxZmvjFjGnTd73mHQZPe5
jSrUtxqsc+4nmkNEIpTLNXnjfEQx65kFAH3QZyXIA2l4zXVEMkLuWYYTYo10D4FCq/usyc07CRHk
TP8wHToejKlf6+Nt6blvapV6b1pn6JVvdVYDGztPvqpjJA5dpdQYlBMkBunAUcPll/CQNnO2H6x1
nW06ZOISeZQgNRqbQPSa/Qx60b3T55I7b5UfoO4Gs7Bb4NsuQB51vfpUzt4TGKuYEztBdXaDyFdq
8BJdWKwDSdrPDKXFJ+ZjXXOx6VC7PQrABhkATDtrQ7nfqCfd7lOeYx6KlgZpNyFiiDk83nk69PlT
28TBhKliRlRt477xbGcDaG51m8TjlWa4ym6A3LGJl72SPFm1YaUv2APLcgNhDnVxOy5tTDP4Q3is
kd6GDLn6IUrmktWRKDs/BMsN2mXK3umLIIX6LRsm/bPXS+eBZUV9bFA9N6v8uViF0HTu9YZdV0Gy
9HRvo5bmAMTJmrxkqKidVU5tfCirzVVk3aG2dnDu7FFC5JdGo1c0C+XEh6P77irTLkXfvBtI9laE
eIOOe2zINEZ7n+Z7sPf9FcwwQCQpzYThXuvF8QNkmDYsFn25JuhzUBj/EI7/d0z2n4zJSAdhcPSv
m6efJsj/qd7/h+g1WbymL782Uj++/ufIjKQ04gVYXbs/NLH/bKUc5w9NQzFL+cyOm6YGfcXPmZn7
B2ZINtQelCPmRDb/658zM3dNN+J/smjX2cz+nZ342pn9QkfAbKgChDHZzesmOTPs8n9fic9aKTCm
T+oe3P6miN8JQ72bZh6LrhuUIxyYVD2SKxgyhnjSBHMho/uhtvjNb/mremUVGv8/vwLaFQ1xLvhf
T/tLS1dZEFJcN1b3LJyZjJtPs1efukGEZUFSpL7usBoZeFRqnFjRua6JvQdFwE5YfzZRXi6s2FiZ
ndVF8dPK3fbso2oW9E1ig76yBpoRoFcDO0e1fjNpOoCV+7KEjiG+Zigl13+cqWsArTx2C8jSgvRS
JZwtb29WPY1ALHi+qUPJ1lrtkRIpbWcYgSrkZjbKz7NLoAHXxH7CdFIYuCp04yaWo4M1c4HtAgzH
zTl4XYVHI/WZQQZt2IkT2vwrcxsZTiXbTwqyq+09a4YSdrHzgnUJ7W5GtLZtbExOvaLxfDVJQllR
t0zFppXiflKih6wZ21CgSRj6+ivTPnWX5vISd84NAuLXhXBfNlKbxh7zHexU1x97tslGWb4Vk6nu
BPko/qyObyV1fmzL7lR2o0UpU29qu+OHLdtUGHdxkcWb/x4u/8nhgvJkFbj869Nlzwg+/W0w8+eX
/HmgaBaZ3gAN1+mHAcfH/qfKngHMHzp5nhqarB+j9n8cKLr+B1s4wBnsYswPl/U/DhSNs4ZRDyou
4Fl/W2Vv/X43g1khBpitHE23yslFDN7vBwoGtXzJYI1/wiZZS79eim5GU8zBt1nywjvVZtxekd63
b3iW9IckEcq97jUAVGjKUOWmJBvn3YSym2DnMUDFsOk9Bc8aK+fnTlX5PuTDos1ec2EvWYvQDH+q
RbpqMomtBEYT1ijX6XtBGyVeOZJVJ+ZdxXj7fsmMZe+xCGVxrsjv5cL0gaSG0bxTSGa9m8qcfVXS
9SOanXp+IVJkTlEB8rZtkphFt9+Kdtli426O1qzUr1JPsheQofOFDgFHAXTo57ldWvpUCEsbA3Xg
96GNNV9HKoFvU9WucWJftV6hbKMY1R8lCz3xbw7UD73fP7EkHx+BvSaeqxzuCCtXrdWvVJYClUym
RJ39aWkN72AZ0gprfWInv+Z6CyRADS0pljDvAqhDP2Ff5qXVtktWOI5ufO0JGBAgUtXBQ6ZzXiIr
ucX+Xn2DGqJ8gZrf3Scrp8RKs+wskd3jIUvI0c3zyN3FCdJ92RnVneu2jz0l5t6qxxOOKB0hkr5D
vfstazBV/3KT/H80kGsm/S9PEV60uUoQcfG5zBtN5IK/v+gamBwSihruTVVEz9r66cckfT1pujld
FFimJFgY7QGlBqMyGnndL4DabzuE15g5JvW1FhpvAwqt6W6dTKPzMKxP0cw/NQAovhMnoN3EuLju
Emkj/mb/fLHc6DPgNH3npWn+GcDzsLEFueUpT05C/Vplh2/RDuaq7cNFLbimDeQUN+pifCtteUJQ
pe1JTbT2tPlQNsyIYEX0+eFkIVdXay/ZWulzXnvAls1qfKOjQRlAx/1Wk8JzICai3bc9XWqUsMmq
B7klEmm656YUt7jHuJk6ke6F8Y1OImshErV2FwhsIXgx4wJSgDvJIE27Bq5M5u3UBZ+BnqKzdspy
uodLjakeHGh2LhKjOQGT17/MrNS+u3lDE1+O9H1M+Fm3TQs5xWXSdXtvqtMbgJ3qOaKquDA5Gs6W
aHhxuoEFIWySJdvPLT6B/2XvTJYjV84s/SptvW7IMDmGRW0AxMhgkAzO3MCYSSZmOGYH8PT9RUq3
Wvdat6q1r42khTIzBoQP5z/nOyGpMvNCv9t81w8GHyg1HlvQewQmxPW3qRUrgQjVv9opwAMfptXJ
tjs/1Mnd/xc4yb+sWUSBMAZe3VCWYXGyAnX152fHTIgoJ5OrXXC7rA+DD+9O45r7gsRIrZFLXgf0
Kc8O8tpPZXpr2LOrL6GtlvQrb+R8bvBRHdtBb1/d1iZfnJb6jibXNwwKZAdGp3qGp4C1e+oE9r2J
aVPJd3+SMZ2b+pCsOHySGVu+NC+z3hV2gFXxmiPSllv76q5nuVq29BwQ32tWWRw70QwGgRfN3BCv
JF2ez9N8Jq6wPvx+bJsc+3+WOctt12KZR42Nf8nSQ37Qqh5WmNG/1qizxEUyBowVcl7KmKjOftR6
sWtlp1UhOQwaua1xdHY2JbjupvBS787Taara/Ouf7u/c1f9Zr64fP0NhDygNnA+Efff60/4nipRq
8YYnaxdfzK5h0DrgPwqWrtUe89XnHXBNo7io7bWnfMngGom58Ztb2hLSeeeBFUQU4jeI5lm28dEr
puazmJxuCfxWkd1v8EG+d/bCmwEdZRzabNS2//4b4FDHy3IYYRN0+8vzU69F3xlp4l5KhwkpfKT5
3DZJgpMvLlG7ataZ+GqhEiaI82suWtsQhmkI2+rixlCkXPntERIyF/lpza4BW2HGKG42Y7xtSy9+
Kt0WZF1aJ5zg/vVr/0tj3u8P3yZFYxgmsJ3rJeAvH36FwrXaSlzkiHITqL6Pf/E04x3t+q4ESZ2t
tzgu57uSi/JuqDzegckV/OBR3H6UFQEN5ZvdoRSqO0hG0E+0T/g7X9lMCFHQ67vV6wF2m7x/VaEh
BEOv+l/MRhu+InRUqt3Hg76u3kQAdZ3vR1sV9c4lz4YXX6y4/5iGD+MYv5q0o+5BZ3hHqMDkefAj
bMveSrZNmc7vaDbrrlNTfEDN7zYrSpgXDqY5f4N4ZL0yK5vBZ9+Yxma1GmLssqAqptv34OYZtxdN
cyjtKX5Hye4OnAnm+98/vdjXkq+OxvlpA4mfl1cX8REzo3khSgTPqcpJufhmm37pTY/ZkUDfO0/e
9A294bqCXD8ahOTjmNU4p7ijZIFdsfI1WacHC9jAJ70x6Zy2Cbq9oaz+tGRFqDhJ5wP03D5EaiE0
YpfmiY6+PhJuOZ8xObCX/OsHgUMi3/SffoYYNDgzAM4Rv4+Dfzk2sFYTNSqm9gJBekAO0/mBBb/X
Zip7290St5DlYF1kARHpZMtRrPl00NrQYViT6OLusZC1LgPmvDy2WdmrYKn0rAgnLc8qgAr1dmiL
68/VcPUfC6i252u95w9T2dP3mLm2FhEGrTB9pp6EbcBx7Hai+m4DdWzhObBrfBClVcbltjSYaAXM
Zsa9l2hztKyNe5jt6nlW0rB4lf1ShhpyFRN27QEm5aKYEOnjF2VXLJEFY5VOkvebjbXf2fxq926Z
XY+c1++1Udnw2s/FHoPEtESzma0b31pejaZhmC6ZB/J6UnS7nB8E5gse1tzs7RDkv/sTYl0VdbQ5
HaWR6/vVp/4lcKy13a0tVUu35hzbfgiQI31hH8heei0HsLI2ymKUnyGs93ASaJAoWifZp5xbZvJS
rAZBTxvGl4YSeNEmdT3goFwedQ+Ph9ZXTtQxs8DdnRKVG3CQ6bzdgiWvpJBNR2Hs+N/xMPIzIEK/
xqHn9LbNaMmonxI6ng6xbrPrrEZu/UgpxlxCgqhNcaMNw/X44y8PyUDD2GZNWv1HVTJACgdsXtHC
yq6HWo25I0GkQvmUBdZAJeUN9QkIsIJb/5sh1wwDGJCHh5yiaRoq3Xy+dJwt97gFfSQy+vZ+mdBo
abVYtQ2SS0FIx4mZe+ndqjYkrVBBiUNh9OxiN8CRwFOYtZwygznpooEElBaIJtajzFrLX2iYF7wo
ZRYKjq1xoGjzAjZSVGfXrdJ7s3JVyGbg88n4y/rw+4f036aD/8J0YJgcvP9pzYk+h8//8f37Tnz+
rCCI7b5ll/xZKvvHn/nDc6D/7erdwnSgM+P37Csb+h/2Mk/8DT/z1UfgOlQncMr/z6utxQ3zD22M
lImARQnnGMcl3uh/RxpDVfvzggg1GeGOv0x3DJuiHucvV1nflDWDOq/c05zwrnB2snUVckMK643u
hscOQEPN6evNq4y3RSljO7rLllTacVhcb7NqrXmwAFsdemYFAaXi4uCPRblD5WoiV2uBtkx+92uJ
JyeSqUu80ev1E8Oi5gOfm37R4LruICGPkUWpW9h4WbalHQqgFCcN3GrevVozLFBDdQN7XfG3Maez
qPDZ9JoJzUTZ3VEfurCdqjvqByAsD/YQ5OV86Hp3fRB9LCLpKjckbzE+mdi4w2SZmaNhAAhszXhQ
qyV2/ZC8OnbFpq/QkNyqTG8HPTNuclz6uOfq7J7IercR4I7usWyAKy5fxhlSHzdbGnDgXVbu9CmJ
JQSTNamoAwPxI+NXf1Moe8XmttJkx7hsJ2AGbTq7c3eqXph92+W8wf/1Rc+btbVHM46ywrlOH8dP
c1rgzgzTMfeLaosbSkX5WjOcGKgo5VulGNCtL1Xbb4ffuEftLl5y6ii1dt43lq+C2ZXGxW/M8m2Y
RPOKu2yLVZyNbKguBdYT0IxeNwa5B1YlZPx52zVWojamR7imrdvibVxl9lBYKZnsHnA7Z+dZBU0y
dY+tpcWPRNjEjV0wCCKcK+gBwONNNrDJzh32+zeoqf0XGor/MlcW/UtSjopkpuud0smvyJyQ9W5H
aoJdBW29Li2W9tKcxH6wvObdJXTihLk7lS91UZNvL1Mub5xtz3YNCJFVvJQFHadNd3Jb04sgshp8
eL6JqyUdIab3ZlPjGIzJs6xSr4+M1PDJtVRwtICkCoZZhqwyctQs49cVfmsqN/9wGR/DKo4plYAf
F7/kZikfPYvJ7Fxl8hEmmnG2nFne2IwFT9zS8o+Gkhmu1HhuuNoVq7GtcmSDQbfm+0VMDBmHAlEX
D8K8YTp0HS5xHrMGhSVYUEoada1nf+J64xyVgcjuRtc6aJY15mHSD3yq11LgLp1mSvgohZrmJbv2
rpE7mKSoj0RgM4RiKDER7pTl3sSN/CJG0v170U+8+XZJlgtqDq+xkvp8obpL3tAj7xRIN3wPgO/4
CzElpu2m7LJ6s0wV54Ghat5Tfn+7DFQ+eChAJlFMm4oTuFcVpDHq7LxAPfhiiDntjNFqvml2ne/j
EcTv71eWx3njbclR8deXnMsfkhU3UAbFhSKyOPUe7KtD2taG6ldZpfaxFvX41Oe2CqWzOJhSr298
sKrlsiC/PLtzxf+xjHPzIKa/l3JwSdP9HgeRsvOP308axlP+NaINE/vvYtJdMCufHlFf3imUhjRI
Md2EYm3LF9tX5quqtQySeWW7D0yx7IPEVXQxOF+RnsZQaSYjfbrNxJfKYKo+krS/RjpITG9LVQ1f
g5tmoL2kc+cZznLTxoZ5iYklXFRLBVDKEwmvyBfxB3eHNgB7hFejjmf+osnjX3QXgO9lkmqPcm1R
pJxcPsI78ncSW+Pm97dVqYrYS7L0XtgXMdN2Y5i8UDK4ICJui5PR9nYMV4BpdeQkVyvItcKK4zNP
/cp/ZJ73jrtiCc1WZmGfr2fcNucJd/Co9U9Tm8hgEvKjzjjQ4MsKfe/WHMY7XSX3KQ3ECDHpnmrF
X0L5NxSjgPjVcBKb7mXura01pbvBWV8SNBJyQLN3wtTEQhcLxHqG/c0Ctdes5WVgH+PqakliEJnh
XOwmf8YeYZydiTW8MDyCgW5jhYZb22FWLWfA1JGa6TuN5dGq3fgeNXG+M2Yz33oyWYioeU66c2QB
DMGf7M0C/yBwG1B404TBdSBlmEZaZ3zVyRxOrfnd1tRBtQxeb/L12iJnVqB6TfGzM4Z97YkHtskS
5WK07uA+xe9or2+95v2k4gXGWd1XW/wxAwC9etpolQXjuAezjQGJa0vjOPJxtGybTq18/aomEZqk
JAIBWmjbDPNjnY/N0XeLnUVVNwWQK19w5hjbuR3jIFdLcSJE8Oxg/SEKSYBnXqoDYo61VyzCke6N
DdOTgmYVH8ZUssKGkvK91UcSKLXUT0uhu2glQ7bLF0ePBLc73ajaEGBCMBoL6MmGe5jnfmcmVm1b
tfqH62iwHYviaTD6/BOeF5Wb+YRhy2q9EAxRH8S9Pxxt4IoYZtaV9cCayn2S49Ki8Fu3w5XMuB8/
tlX/lS5DvGEevpznFCvIxmLQP1AZYEIipK0PA89k1idpOGcuS8UDjxUkQI699xasOsZb1BaF1cjo
uKgLwhjEYrDOmM13Dxd8g1vigGKEnts0nyOO9qj1KGvNjelNj4Ff6JLdnoup2BHI/6nb+jupqp2+
tPGzMrh7W1YxBcJSBcU+QrvtbMhKS43Sws8Qp3CdvCFn92HdWygyuncCwJJsOCR4X7Bap4srMuO5
wOrLGQLrf0gr6XJU1N2AgCNUSKntlD/nLuRBXITVd48p+3vouvLodxWGqKSPI5Jd05Y9XW25FR4J
oFkbFHP97Ma5fAD5OqO9t5ysLE0Equm8czM16qOmavVDmYZ1doBFhoITVoCDb41KfkWs5EM2Xk0C
mKfiovLIyc15cppm6InH3oyNGYF/Bdnj4yvxkpZczOAlL4Mza3cOBYJhYZlzy5eIyTHuEm0zURdy
ckVn88TUwAdkK2BW2atiG5xHeZYEno82SMVN3IoKHk4bv/htNlwU3dX5ZqV6ibm+X2vnIfHEgZNC
sTN02W6yuYy5lAhpb9Ju/oUibd4ZFLo8qy5Te/Bq7avTDnTgshZGyerjvHMRADTcX5C31kNRcQqr
pkk76pIFrDHMdi9jQMlNN+RhHi/xVuLD52WVXN7t8ofbox71XazuCkfTb7u47kAayG7HxXQKR1XE
RA+721lSPalpO2YsEA+99T3vOtlEOd2GAE1axjhGYQQZBqptZetDKNErdzRt3zJCgT4gNbaBERe9
KPvpfi044xUTTeLSmby7RbXlY5v3ak+ju/ZuDf4ZzFH/rVzQdq2zDFufZtHtWMYN4VMQul2XZdHY
rfzEucUH1Jhc2EHlHQ2MSKH+uAS9rsSL1cy7Wc1J1Fvr4+JY7nnOTMJ5npfvltrYwSqFNmkQs5xk
8g2Yf2fhDgwmCho3U5Yzg6WS+JhNBk7MvI8P0GZOWdJe7FiICKBefqD4d76Jc48C2CingdWgBni9
+AWrq3HjjnBNpk3eXLu3dngt8+SBpqUWi/6IuyfgDdtA1n0NmfMl4Q4ND9bXqfUOXVUu82Hm/Lue
UHeXAmNLVYgNtrCJvsoGB5eg3SfHgDeNNIdUEBjNAA4vxZNp4anJRlyIpblnN3ydK/tB0/1pW2F1
DhN7VI/YPNeNsaz9OckFSeRJ2LeDWN/a1co2a+NcMh+nY74OJDn82oxK8nZ3rduIHz0Z4jA36/WH
0RvDrapcbZsZ03eXLOZGCXO69fBCRYSC7COMQcXql/b3vkKoUq7TXhKOKhvKUqxo0dwPIO3XmtYx
/1RDsoSZ1tnEKCHKVVrmBElO3SdTgjqcpmwO48ZL2SpBx874q3a6B3tJg1QKVflmtThol2X+haA4
IZpV5CAJu5bS/pkiyEXxkPnHJUEf2+TG9dCfLN3wQ7fV8EXhWn5Squ45x/e0OTiZOEBtetSnESWg
5SyjRcU0FAf8jESjV8LCJzvrIJ+W1fpadnp526fVTy6gCYW+JoBkpukMUwCHyiir059tVbHra231
5U7Odc2i/HJL98W07Qy9e+f44uAds+bLEEPx5Ax0sbJcYMJekz4wCHYcSV9BZV1WfmnQ8V8crEQ3
bQPlZi0nj3TKMpR3Rd26IqSjKP1Rt71OfjfPKDUxUrYC3b/yurgaSs4Bpe99Yatg4ZgSYVyyMfFe
4Xk176tVYQ1IJW7kKbZsjSXf9etw1FX9VHPo3whj9eCZDnLbszBuPGNFU4W/1FDowAa9FucMg8O7
QWVc5LQ4fwNRp6i9eU4o0OQfv6OCer7LpUfdT535wxPZrw6fGKJMvSLacHoe1iWcM5LehBr7gSKD
tp9+pVgN9641ZPsO8R7Cdf1dzPibsMwT4bb6U9FhmW2SzsMgqU/3STo0F3ika1SQMAI/hslZJJJQ
TWxlUe578ZEX9szFL45cP5VbgNfeoWSA3P1dPv1v1ee/UH2QRUxGBv9vP8M9zBDU1umz/rP0848/
+IdNyv4bLHe2yuvc+kpsR3z+Q/rR/4ZFkGZRbPyIMb/zg7gFhvQ//qeNqwGFhokv0xef3jAUnD+k
IP9vnJzNq1TEUM9BTfp3tCDMC3/RgljGbMtyqRe5zkqAlfx5TFJWVk/Hm77shUsPdDQa7K2RKJV1
Jgwv/Y1v5gjPVZV11VZx2/cDs++YI3g08mzXloarkKEgNwRmoaWIUu5k8DmLZIw6/2czDfGdcrgn
VYuhR3ZGt2+wVp4ghqL1/XUls6PVKfFCaVZvaBuXEl1Gqim3qk2XpyvjSlO+dP3SHZe8Tc/4Q/SN
C+XoOTY1i4lDCQqj83Vy6KmsWgzS3Vzv9dYH5k3VKX6j3AIiXBgyhd2GAkfir/GLqBrnOBrTep+R
N/zWDCP5qZhg3M78mTexyBxfFhD/E4hg7tOG2+tjQO9pT6AZC8hGakrc+15S3kyWn9/huxpuGelq
OyPO1zDWY7sM5DCxwuBS3eYuMJZQ8KGAxSCzqTGuDsrf/DkfaRfOnLCevY6PmWohMCi4L/QjcZOR
PmbH3ptcTzYc63yMXLZxVKtf3Q+a5VBKslYPsKPlfT563V0aQ6KBOljUR/x1TUhnZxwWKEZb6jI4
z1yTE8QSEn2zuI5K8XxQLENcRH81XHc4jdJ+Y1o7PBp9X3uk2qgOhiWdJ01QgXfaXZnyL3NZmNt8
vCaCcKtxz1rj+JZacrgell6ElWQWJAS8f9eRHmwAJxZHC0zjr15j47Ir4+JO9wzLQMYrnOl2ot/b
45hJqlVMC6Z+P74bS5M8dyQd7igDECH9fBut94YQtggYlXSoCDTOnLbLLj75TV4/YE22bwvbfM2U
7USQ7Ypogdu1rbnVPaIjtBv2rGqvQJLr0hjCosjzSzy2+h33YReFw1aHxJF4xixvU9nk9NNRl1G8
ohVxOpHxPvdjsWXYDaFMqZ9kP7WttO1YBsgixoWHHKUfLM6hXw2ujqVvbZhF4Ta2TBt7vniQPG1c
dP0bqTMXr7zWibS0f1urTATrzPkjNQkxisXjVfapCJORbIGBinIs6Wx+s2mbOzAKbC+ibOB528I/
uh4F3JzXSHsZ8xSWdpeeranlueGxRQd0kFibJY2vfkA2DB0yILdWDDOeIebLooYr0DqDN7tDA10S
49mjEiHb9r6hrCZgn7SBneUqTVKUDWcunSYExO2Nj6ZZCPUoegf4Ke7zIjVeDJtnYaOLPLtxOt19
GLw0Tl9ne60oNjTy0trWHMbI/hBH4t9HHyNTb776VsMIp6RKcArZ1hht2oakdhBfdJ0flATozZhn
zXk3OYCc+noE76bHKcts9TgU2XjFuyVabp0LC8Dpe1EM3VpHbLy1uwapAOu5NA5b6NSbMyvbmCXJ
O71lSRnmqZHx/Wiy4vGka/5KWqMJi8BwNvP2abp1k6gkQ+ZtWqh+RbJfBs9+HyXNPj/dwjcKoNIE
skeSvOMgj7RmWWSV6rgYLP6LIOyBNBnkDNI/4xA/1QVJmlDHb+OE5tAh+ZrXUOt/z2f+v5yHbFz/
cqc+fH2m8p+NzMbf/8QfxkPDIP3PtRt/oUVi/zo//scWjY0ZeyEmYuy7bODMSf7YoEmR4kFjf6aG
WdhMQP9zg7YNLM7UJbN1X+fNGBr/nQ0aT/SfN2jaWXRL52VhQGS0Tc/CnzdowB0twNDYOYvU1g4J
rQbtDY59LivQgKgHSDASVIWFLIxdu3xcs0b4Pygg+k6hSj6C7SELYUhqWRyDDICrZTeEU4lKlED5
46ABQw30Z6VPMNJQZ4aLVpoJiZZEqfZZr1sSPFBhSovSRh8MFFpbnp9dM/URN7FwbLM+rQ/0GjGc
zsc2ZJ9Poroq7QiegdimGfaMTe6PDwW58i7IiW2cSoSdUz+aww5KSns0/U59oe1/2NWABuP3+jsx
VHenN1nz0VWFHqJCOAfH6j9BaDA6nb0UOdA1u/RmXdJ5rzfS3vJFaecae+BMLcG0TWGekafqwARM
Xeg2o1FNW0F2HE0SmOmdlqbm67TMJxsZO+JnD/w2S/XL0l+1y7GF/zPor6XI/OdZzAsWSnL2jem/
zrPnbCZ9CWNrqh7wI7Z7e+zMc1dVOPEYG4R6nmWnapLqIJw0u/W18tMfWsTQBvCKANJ701awYkqp
TT8IusSHJRbWtqiN8ptCAgweuWd8X41FLaPhTu59M/seiXBufJXNb8LwFHDgLE+42XlJ2Fal92Ga
Y7ERLkSv2ZOvVVa9tpTm3tZts2KuVtN7PAC+RKKRG7vI3FA0Lt0arqoRAGFZchyzMp9OjnW2nSDW
0+ZwfSKf26l3tp4Rw6FhVlTsmTm0mCQ4LfDqJxc4PDflnY4VEGJUeT3aOIWRXOzCKO6XpV/vYpUS
0l3t9pRa1FIEEFEF/4olGWa59o5CNuxMFQe5R+XA+RJVs5xSZI5bTiz5ltowda+6ttvWfT//ZAUu
iTjq1hCOhdb88vueNG2ibGNX0btwQkzJ9rOo+9MAq4ABuqOSr5QWsJBdU+xTgyFasIyNe2MwF5BB
Nrj6mZEczW+dD6oGhhugrtaB6QVBbHwh8w9zqrUWc1tYRcutDuhRZCYpNbmpKcJCqyCwycr0b6aK
dh5CLhRCIj3Lbuur+ZS1vCj6a5pjvy79c8INtqIf3Ex/SaZsG88rfcCWWPA7oX05xL5xOaQ55FGK
jgKrI/MH3QM7o9VYzdbNdf+V0VERTJ1L0JfxZOV5KaMEof+YAIduTVT2nwVpH0w8FeW1zpQ6BL64
riN4qzdf2hZu3hiSnkvBA7uWn4R1oZYbqTQS3R4T4aPnFGQ/K0xBG0LD670rIKSuLXdox5nraJgt
89ATALuUBNl3NECPLyIV8gFIRbpAWb6e0Pwku9EaizgumKKKjBdvyZHoJPjYfNrOXNUGazctG+je
OUIIjSYZJJ3naW5hNOOZ26ak47lILHwlgx3fpl7d3TtkEo3Y655w6joX3xr3XW2td4q7fShncqIj
P2tmwOZ8IFOJDKccjsWVqW0MBeow8BpveYTX1dxW/YRhl5DuR6YbLT5sZPZRdergLVkaH2qS+tA4
WjK5iHvW3Oi3KESI3VI9JHbbXWF0OTg3+nB6sqghA7k0JFlqsSi0fpRYSj+srfHFVNw5NzZBcQpG
zEPVjw5l8n0Vgl8CBciXvOMckEZx1jxpbrPEeKas4RE5dPmGZUdaTHOX/ZIjfcEj4ySKEW/Cy0gE
jWh2sXPHuYmymIVcN9fhJkvH+bkudXvbNnWCZWdybvWZEkMpWYj8JFVRXMC9sqSe7pdG4SKaS5+x
NP0qTDaE884muO6J7mjfRk6WbVapFS6OPf7KY02ebQDnl55qnLCxyfbKVv9M1irZEPviliCnaedN
vYazDTPVO7av4dRV5aVnfnlMfW5gVtfRHHUFzKw1ep2avfVeN0jq9zAGrja4eN3YidNR3ITmi5bk
RX3hkXt0U/s7uc5glDv/JFuGmY41kwYvbjZh5wjtlGpMLGQj1CvpdXiwRrNeHE/5DBKl8z56Kb8N
y2miVXjlAaf3fFuno8aCRZeFEpn9UZQTAG8Xpq0R1zUNSNL4VFViMxHlnjmypJtqMfdicihR1Em7
P2aZMUfU9oB798vLqhsHTg/4tjrLcDaFTkQvqE3hR242PaimSIBuiSrMRwI4i1On93nZ07iqtYl6
0ROnPfpW6x4TooYeK2js71k3Nby4+ql3NesCI+1+pEU3aEu9vAHfV3CZHEdco2Z1jBkN8JPAVkbU
8OSsSXrwPe1SMOdF1e4kuRwL7IJdJx6BTmfcJt5QbnrivaHuxaccoXcnnZ6cM0NMhjd6FqmmohKO
W+iWis9slwwg6U2k3M1Mmw9+qI7lW8XqM810yjkn3blZp979adCo9aOjEO4s+u6htyrxuHr2s77Y
sIX9uEWitCBlDtq680aXdKtwp2dIeeNRONVnvubDIeWqTLsJVJkJyXhPr63rBLOW9McMxRULRmJf
+qSW9yt+t8hj55qCPH8wksZ811StTuSnMdIyhJ1ejSzTroQycaqaLD+amdhKK2/xR+nMCewXwq12
oIOo3GRgEgMXyvETV/pmBw+svWu8waAlpbG2eht/e4zzQ2at6Y5JFOooM4J9T0f8KQVOcUOdVAIK
glZjt59k1KxlG9mOWH+JtnxKKzKbZpG7jwWIsO1gFLgqgPoFTm7dTqyqMAeMj7hH4INHnd5huz4B
MlxuZ2c+gbCzn8uWG31Ln/oGJNO0yzow4dlcxB/duMw7e866D/RExGZ/9JkDmNPBVfm4LZ3+Q8HG
wDhQGdSjTkFx1XfLMf3URoG/gBt74Hr5evT9JXALxIx5uHGlg4hA1GA626VMqEDXZZjqbvmcc4N/
5FBV3NStx1YvDKTLTBWEw6UcjJ3vJs25TOxt5VjNzsPufass2lnrWWi7NLerrZ6aycnFKbfpzHzc
J+i73EJV7twzepoPqV0yIPXGLlpyLv7U3H3Ass1D6eIK3yHEr3cNfo2wEJ1xlGtXb4Wn5s/Ri70y
6Nv1CjLpHVpmaC6sAwenAvzVdf5ZQ9L/cEAp6RxzP6vEjyNeyK9qrNptzkRBhkutdYel1z2yuwVI
9rUDkEUlS4X0QxPebTObOCcKcN9qqjCLanZCQhpqLL4UxZbmkDkW/tVoUeR3nHvJoOuUtpkO/Nq4
YQdVsXFcWQeYSHLaTIl67GNL0395rieCAZExGAcMCNIZIJtkmBk5ekDHLIsH4UJCYRa0MKSJ+6tJ
x8wPEFrGj2v11R7XZbxx67Ghy2fp8c/3Yx/iLuijVpVMiwGJum9tql/rFUZXBNmqP7gNGxLA1yQ/
G2owftKxVJJwJ3unT2aJTwOJJ67XsjYevTkGCBjFk5fKn7DDJnxKVV361ZM7p0VhH2PhZcXNMIOo
eFLLxKcmh68ZFh+1dpyUg7xzjJXoYGm4kElULiLhZ4UbLWlCDf0Q5wMyxDJ/Nw4mUOXzCjkjiDf+
jPzQEpgBizk1B0Z+VEEakzdHeu9lx3Hy2tu24f8te0e+W/zyrGLptvyL2m3hM2oYGebsMlc0VKY1
c43PWTdu6b72Dg60eH7BqK1nd3SeVnobgrYTzpddNn0cgIFsbmLhqw0z++7SVYC/cgeUmVY1iG0K
NpdjUQ8GnkqNe7scSB5iyo049ZmRBE2Gnay/eoKzYu90JUDkUpg3et2DMtNJKmVCt+BepEBUnYV6
CLTM5kYvGvk8Z5P9SssFOkKfNYyS0UOpX9Sp9tb55C4YaYkxlcPyrkR8l+QeH6te+sAilZ9EUw7z
IRyoFLhFPzPDfKCGpAMhiysKtt0Icr4h5cAujF0NF8Ih7zE3B31TV8e5yvOnxCuH94GjJ3emfjov
9Zo8VmLtt1TDtLfA1PIdUc4rsIXexrMWTwqmTD1jHh8b/UBzW/sYxxWt3YihOS1qvjgQHqgvQwIB
I2mN9oVoPqmlxmvfagmnBfPzyTbxJGO2oAfBMq+puhopNxgn/QZ+QPNIAXhfR3Hc1O7tOKf2Q522
n+7aYcNo1hm5Rkv1NfSUzrafrQm6l17Gzl1RLuVrjib87IGd2JGRAfi/jIa54yoE+bkb1dekIbc2
pg3cp0qaiFdUb/OOMU9E/gLKgwN1gdFNx1nnWpMaxalQP1ZOfZz4NUoWgCgs9y30CjK6fpldusTn
JAY5DvNETtlF72n0Mbqrf8Dzlh3Sdc1PgkK1Q2XRZlIKbg7u7PAw6dqP0pPrMwDZWASO4fDmsG9I
9LRioZSPeCNPvoL5mrvrnbYAwinHJt4N5lRe6us5yVp5rog6QLlo9eQIaJqhOSdfcjKAY+o8NsKc
axkmnfp6kDVEdxIWh+us1sV1BcNZuLTKTXns8qp9k4PyqjujyHuLLgaHy1hLiQ4qtcS+Ho6pw2A6
QBJZvzRcFere+I0AQH3nL5y05XWo52Z+WpWGRSvQBi68w/2o98RLNuPomm4DU7ub1Q0fSed5W5kQ
Zw4R/yWOiv9V2VOf2hh/zmsywzt226eyrOaXfxrU/F8ydb+T1/+cCPDIhuvU7jLE/d/sndly3MgV
bb8ICgCZQAIRN+5DjayBM0WJekFQlIUpMc/4+rtQ3X0tsW21+70f3A5HmwQLBWSePGfvtU26O4tx
9UdjTgkZiLakNdwA2Xc2hk/quGX3fCNLgimit/CLnYl9n9hHkTo7Q9Y7J7K2nsKk3eFpKghS6o29
Pyfkwcf7X/9xi/j2T38bfhsL9zOE+PfR85nVVyBsQV+UZX2jSmrF4Cru/8oZ9h8ugvZXKoQ7aPne
3wDodSOH3n64iW0Ih/zHNfQuV8VvBqJ/hod/MTy0JKO+H772P0nGD/m3+DV//bkpefmZ35uSnvxA
xju6Ykkf8afEAc/7gDAA3j9Tu4UFav/QlbQ+KAfsgqmUw+OzzAb//9hQgbejY8mPAV8AWvq3oqN5
UH5+gEgaA+DAb2NuSWfNJon6pzeos5sonoGpHwIxjxtRaf0K6RkZURebTPMiBGD9amomLIUdvo51
GmILdKM6u57dQI5rCz4DwUVx/03RmrudUUh+8c0EVmPopyGD8c7INiMJfmg+5vxL5uALRc5u36Ih
chF79+Cp6BliWUyTjLIW5KWLbtV7VHWqH+qx62/N/jUranzQTZQ+kx5QvzCn6o313GsMValZjq/0
A7NxFTfGNDOAhLUMlIU1FTcr2bbb0q3Sr5GRstGKOoP0Pdl1gEBiImOQZgWKOe1314u0XMDqDGbq
zdr25FYXnhJrLMpgDhIvEfvKx1i0xOlGZ5FA5N6Cr4pRUOcaCEJqpMVb2ZTlS4FJ8waKngkoRzcn
qKvDG2ec/AXHmaPXoE2nEwV3dT+VSfiK59iGxAAUBwsmmtuMuKgOQ+EYe8PN7IzFHat8gWTcA7aK
YWlQeyY86Y0nsvEeQg4pXkCjpqY44Crp6CaCfehzkEKunPaDHas7hKa+DRgjexvJwoGBmXl3rmNR
j0GgfRSg+SGKMMXFLiqughlU/Qp3K9PHFsJaQrrVyRsHSFRzY1XHftYROo7QwRYTO5U6e2Zm5+va
mPSzyMruEbY+/eHOGoDjpb31OVZp8Lk1OBiUAzO8PPeN8zCjG8K5664KhITrYQRvP4dW90mnU1mt
HT+rz0NQVydK7J6sUFZo6uIlqrbRnK16mettSTsrAQHic0ig/99fa2OsFx5Fl75WF2FNM6ItJDiI
Lc1OhuYLQcyEQg5BRVZvWonwLvf83LpiUY8fojIVn2yQzvf+7HA1Yar60ULetIP1Lk+WnfQm4vQi
ujJEixpmQnFmt311NcDEewiZL6/dLBlfjDysj5CR/H/RilL1zjVpQKwsMXgxERGV/wBFC7IvpoWC
IN9QuHeRjHO6gYRL5Cu/mdM3WRbCX2LmsKyZJCL5DkfYKsMJxfeYoo1sojs1Js11Y03RUaFj9bcW
ccskXeaSPtgUZhse1+LJE8xGgR2S9mVU/HurCOV11cuuWIbs5U3CRhE3RJvzlgPatpIlfjiEgcLt
gWhuonwFts5/FbkVtu1q9PspcWkG+aOpz7lJX4oZP/YCArgGWqxBP5sBM8leTEcolMlVNbh3lpeA
YZdqXpMbTd8Wi/TjiOGw3zZEFL5A5Z+gqwYg7FTHzGCdlja4q6xxHrvOQcE0xYx6F6otksnYvJHk
p59bGvJ7WSXOqikatL8geeG/AGTxBJ28mvflIWjo8gKT6vXHMRhEdna71kzuVIz419/Icu7MRzk3
6Pn1SjHbhSdbGVdDVz9LTQS7kXqoC0iEGA6i7o99mLvXEMBoa7UkS+tRg4Tqsum+Kjwb3z6JJIXn
hLQeG31PxAqN1YGpukwTHDHC11uS6YiNcP1VFnDIsVBAEM636rJ2sVfH5z45UkDzm4RR7TsVVFs/
tl9citWVkwChS+xVRwT6Ci0JyW2uMaxHxOPPEbOwQ8BsYW1xW3YIV5rb2JQvfleGG8wxtBGG3rhO
QO5zSme1njrzU261JacIBIzp9K1u+lM7cw+D1jwlsd1Oa8tPzZ3ZRB9HgRJaJ8WzpyZ1yLzyDT2p
3iJcfDBxf6Nk08+hqG/dIUnu2ir/TOHLsWk6kfJk7jKzYMQrCD4fVbsezImW25D2GzvXPWHfY+ld
qQhhHH00lBJ9U+ELidzrit7qsRbNiZTocDf5Xr+3Rc8UqiGsaiVtZaKTSqMjse4y5uOV8wuHi+ba
Hwe5cxH52TxGJ5dvG/5pDX7O6PIHQKzF3nByY3GK8zRRfN9A6UsCnh/oBF7slPfVNPkPlOAcBGjR
6fvUGIdb16+/qQIVRxqH1om0hgoNA2X1unRGa1lm8QqsPB6/J4V8bAMNpdhUo2Nv57jJ4NWE040e
0YZOvVV/nBHTrA2HLprtx/dObVS8EqTpYMZsbrI6hZmTEaje6yC4d+wA3k+H990h5wIBWn/yA5NR
ty2iVz0Gr1FjVvd2qYY7e/THUwzx58Elo+KxGwi0aIV7bBgNodLj0UkM85PTwOZyDP4RJYgY8LGi
Ak/V2zAi8vCwbS5xKFDMptnfdUArv7tNsMBpt003A4JoJdbWumvkDWuMcU7aWHGmjbJFykBKX4Xm
6CRUIcimtMs9cUDRm9Sad4vmOzmNaffAQ6ih6Jn6LnGWAxKhI9vYnRvmi+adQoK9ae2kPmSzEHca
Tu/G6Kby1hmsL05fwzW0jPQx89GWOq2yP7Uc0XfNQAQlT0aE1oa6gBQBqXKC420YobCk9lZZM8Lo
Xf/oNMOEVyAeD27LFjmms3swiECzfiOb/FMn/2Wd7HtUlv9dZHcohndF8uUHfi+SffOD5ShFtf1T
hewTvCVtjsq2svwL5/nfc3vxYXE9InoTZHPyc/+ukAnlxYC5GMSZ5kMm40z0f//PT7Cv5t3//hH+
JcU7kyUoM+FI8gEW77mthHjHH5iytu1zFXtHs8rGk5E0JdmrdvowCif9luU9HEgoi9DQtROGrKlB
eiNEVr8kiduw0KrGuLNChQw2Kqf+Too2eE5nXu9TFY/jW9QyAT4UFVmd6yBn/V9XDAt3HeKkbTBq
9Tw57XDfYe+jV0EsZnAEoaq/9f3knPuq854j5PA1YiVUYcjJLXuiB0ILsGXninw6FrTW9TaJRMVQ
N/cdTEyZIOyJ/sS/clMdQq1n2Jlj/6mNK/lAYF03b7q+DL63Ys5uQ6O/Tmk1g4WFswJGUFSvAOD7
T2NI2hcs2+g7frcS6XjoYNyrR3VXMnil5J9Ew5sejoAga+sS+TN9V5lh3Bd5Qg9b9Vl40xs2HH1Z
MhwIG8+KV0Mh5BlmUZowfZ8tn+kVbe4ZstqVdoNmi0EmQlgmcAYJL/P2jXKEAqeLXmKyouiWioH8
oK4Ir+JBh3tMCd4RsFy/N4uxFJs5y9zHLApnnHx5pNVqwmxOjKlldwiNmNwjeZCF/w2NIzoCmDeK
qfeCS2UfII0nSKtjF6QkUjaWO6/sosB/UI3+afG2s1GzlSFwLr0bSb3Oxt+r7qFXWXUV4jS/Sg2z
4RQSIIHzyQUv1nJ2y8dKD+3RUp6xLuyRm+NrvEpGmetbYM6MorxwRpfoTgV6eeYsn3WHNcftZOud
EFTT7InmaRzZz0kqQxQTtJsQdT/hwnl9y3iM9KuRIN8VczNmGcPIuBwgSXtskwzAvRuN4Z3Xlt8b
fkt3ZbZzFRPKKYrvA6GXEq/urIcVgavtW15TdlxB3dDPQTcmxMLl1Rb6SSIOSE/619LyOVQMdb8p
ytzZ+YYAS0sEm9hZhc/Ba4yt4XZumzB5rkycev39bBA9ppkeG227V6jJHlBrRXeM4SdLf+PbBbsA
77uOubegFeiFn4GQTAW+T1dlwU3YMKbNrIK2mmx7mqkDyI/Jsj+GHtfA5rJJ9PwomxHoeE7zaN1a
Vp9fBbm1uLAAJ+e8oeveJ7d+amW6a7I04/UW9Roc0ho+1rBSuVWvyBspto1ZZuuKEKldEhEOZyiC
jTG6oQoPRbbRqXWyW5/OtEku01jIB7o1V3ownfNcygCyQI0yzcynK3ckeofqZ2QC2Us467lX8wTK
vDJhwheTu2majsAGRJs76HztkTSzbBsnFGBi9IdzJ3BUD+hO9pXTdS2qhbk6uWBNj0xisgdoiZJo
2cJ19qR2oQHyiYWLeDHTIvmOIv+jZbAMaC/9RtiB3CSuC0U8Tpono7P1DRQNtW5ygILx6FiPxAqz
annMCTiXSOh+LiUtQ4UI41vorXubTmXfpXcMh559Wet1OPNiG4W4StrwwWU+ig/SStYBBqN1Epu9
s+L8CbZldhlppu5yt4vhCd9MtDH7yT+oQs5bW7vMoO3EfnBLWNIsT8QBy9o5oGHIti5KrXEVyqa7
hrRubqsxYbpGf/uT0FJ+VqSXbaKUumMsI85GXaue6LF0p3Jw9cgi1bCmUKawVsZOYLyZ81jQ5EjD
+ZY0IO5cHiZ3c8/amNJmvyoAlREc5yfnwTL8cRs25EcF9gyzMEeFOiCzXTMgqG6yDrct4S3eCX79
q+lypmHQ28MFzmYmSlW7Ra2AJRMNc3Q/cIDeBjNxHowiNXfbFgkvKkWY/xbHE5uIJ3rsRvHYjpDx
jfwc41y5TRqPdrcJmqfP05mDiG1uTQ/iRyJVt6sbL/vMacS7i9oQ9FPI1/85QbllOx2D3HTMb62+
Q96rQ/MJVY7+3kyyfUFGLB8VQSz35GGH24nO804jf7nu55Ykc1M2+EjpbGxhGWgW3SjuHmMpUJhE
jXgVDY+0ENVwHu0qv/asssES4Vi3TeOQ7wYVk7dqmB5DK1vQk4YV37S9T2XOYe3cODREzchJ1n3S
pMxcPJZMHd5C402uYnzZqFw65WHO8hS+fxFu8GDSKgGbPh9NXUa7jJYRjU8dfIyY3yHILZ3mC+Vf
jHPX6OOz3afNFZa6Cq+MNX7N2o7QP1HOT6IXNgqHRNU4dWJUvwBzPzLEt88zUqXzPBSYobRrInx2
qujBcTvrEf2ZvZuLpIRbQCj4Gi9Y9KmsygYvpAvIrymW4N9ltWdHH1+jlJmxiCQoP2hs45aZOfMf
W8744rv26NTtfXtha4e1WEDbZuUuxe3EEQYI93QhcqOHqeNPQLUW83BbuB07UbpAvOcLzztf0N6d
haCGHGt43+WC/vYWCHiw4MBxprEER6gle1xqAMPDaOr2qKefBjTOe6DXIaAG2jp8lZqsOKDjYukk
OXDIu9AoN9WCJr8Uff/Ux39VH9PRRI363+vjE8Hfr81PbeTffuSPCll+cADxKhRTjpS+bVGl/qFt
Ne0PaLRtyl26ufICyPpD3YrG9A+7CZhfH60kYybhUt0hjn1XBf+qKqYJ/XPfmKrYpwXmoYNxhAfj
952atQpaTyfh6J4yu/Ss9eJzgRBhDbwc664hm7NC2Al1elilmSiCmyKf2IJrxzToHMwtT+WjRnxk
ZMemcZkjbQ2QVTK48gKeaPqmPbM5VRE7dJNGyHbVLqt7NP03rZnGcE4mW1EdYDhm0r5rG525515W
zVsKdRtLHjkYlm2otYyAcmvEUGBPIHWXNshuw5uhAc0XkneF1gas96JSnPc2nHjznI+WdtZJY3KI
VPXCBNeV11V3KFLTx7oK/JeGwAtO7Wy6Fi9Zn5Qnl0wjGsrQxrFzyIJLTO68HS888pJ2PljFBVOO
+9e7TYm+eqlo1TKuAmfOsJgdhzPtrugm5sIX7nlyYaAXFx56W4BGT+dMHxJUU1/I8K0+2xeGOg4f
/62Aq67H6cYz64QI3RSaC/8IrvvOFbfxgmQnvNjatgmY9pG+JP+fBd7eXTju5gXpfqG7U4T72YrS
mSXxwn8fFhQ8DL7srrO65hlkU3Cw62nYzws83m/s6cjGuHSkiQoxVgEL9hVgrfgbz4Nzn1w49H1h
G7cIZ7z96LiAzBZgPYel/ClaIPbzgrNni1Xrnhkw9bDX2kQ39vYn48LBdxckfiFxIPkl5XKmlDr0
Cz5fM9Mlj7Yjet2y4RODPkMHgWJ4JwgguyL0FVQ0NLD5izFl5c6LtbFn+DsfJGipN9rVwPdRpDzO
C9gf611xLi60f7mA/8dudnsLAUsvW4hPqz/+m76f7KNrw1nm28QfZhdHcO/LvD4mZRMO+ZHeHqGQ
G9UGVeLv6ELQWEHly8h1wD4/Ew8aWObbPyvq/2QW4NDPmvOLFRWyU/eWTj+vqZcf+mM0h8CfEDP0
e0uTYBm//WHo8z84NCNYZpWPcMdapqq/r6jC/2BJdAaYBiCC29aCZPr3CgvklXWRkR2g4+Wn/tYK
+/MCSxS4SePDc2g/gP60L0zKH5iTwsVIg/ErPPYWFQ+dQkvdDxZJ2mIg+C6uOO/15tdkCVwqK9Rr
K8ysPt7zvr2qVdbvBVKNPb1ljMs/3Mb/MHR37HcdEf40Phw7EaYJOEHm+5nhSNqvk9qEeyrYRMWt
TyF+680uaz2LJCG/1hL3SyaF3MZ1sGpDphlG2aOv4sAUfPPy3LpvgGORG1xeQoTJlgtvpku0MCxV
6yWLopbEYd2TPkwxbngb7SyhxAwFPBKKpdsa3hU0gHkjfwswtn6LMy4u2cak/oRXcISXyGPf0dWD
d0lCphKjGc1Yyz9CTrKW8V+yHWv/idU9gnThD564my23IwSo1BDcqoygaI3UddUNSfU1AxWI3V5g
XO4l6pt1jD+ZDEV0PtauD+xIH9Gp6pSoiglgHt46ZC4VONshHHZ5HTwDJjL2dTzXxypMrH3XieYt
NqP61s+cceMmzQltx7FEw/mk8nhEjwEFQDVdi2As6o+j0RsbXI6suJoZ0k0lxXTOw2hngI/mDIPh
88GQ/ospkmZlxCh2N3Oqo8+QMku1MjtnuDaYOd3PHXEtAAinZjvE/XgO1fxodqG+raeOJOvZz1Es
DSSj7rzUkOhAEc/5ZdSsRgdhMTszSe4PppeWD8RRYigNvOzO6WeFoFfUVnrNsaYRH5OwZlAKr/h2
nqstB117V/l6eJoYGsEXFflhdEtnjyYk35WqJY3Kqt1u3dDCWMCY1tUoghIXKdloYjZRrOINOdCH
GNbEXbj33PXqhMi9xpOpzWOIw/boY4o9Rpapw02Qm/ozANrmqVAcfKvBwpCedgbtliaeb0Ruj2fR
m+pbqCJ3J4O22jJ7RZpt9+1aT329teOixUER9XI3V8AlV2VaRq8pjz0Q1Hpct6Ror2ZW/QdTob5A
/dGfnKEhj1vGPqOpSG/Rx+aIyBCUz3krIPdmNdPlmbz0mij1jYYyEuwGjijTeq6k+9nhl6wRc7OX
ekQnIV2zXu0widAyTtO/FrTNdQVraeONY30lS8kwvqWD8cJODNA7YJhysHs3qTfFIEjBmluVT3t2
YCatymka4perTNnMVitNEwhk4kaHOpxXNPqNJ2dsGJdJQ7cHnynqyS+dwgFdY+pDj1CrWWWWjs4h
Z+TTGOGJEBKh91r2Sy+sx70ArykhnDyQb+R4Dcjj9FCjHSrzs6/R8SHzqlIMpUkA1dRHh+3Fy9sV
eZVchdQb/Z4zt0CA3gI5U7kZO3uVFu4hbeuPfjTMX1U/j9tgaOTBh7S0oiFGj7G0ELSzEg4v0Ca8
elV6gHhWWTjnRFPHRPau2ZWHCXFhrb7kgfK7jVPVGDwKtJ39DdNqeQCwCRIAh4NCI9q3UXaeCpo7
K3/q+0OBndTZcFCl15nQ+rp1aPnV4AtC+5ZB9HDv1hA50L2B+KJB2uhbyNZIXG0PlzKHyMLgXG6V
/aak53HjshycsgiVGaFfOnumEKqAHoi22I6gYa4h8FZnA6JKs1HL5DZeZriKEkpvrC6WG3OZ8bo8
o+hul8lvPztIc+0ouovtIf1YLhNib5kVhxMZ9Vk5cGq/jJJxLKdvSQjKkl7eMmymOefeNfGkjc9g
4xhHj8tk2r4MqdVlYB2WtVvv5DLHrmdRHafMGl4QtqNeWObdkKyAajMCnw3XQBa4zMXNy4icOAp5
inx4dWro60dHYPxcBZYb3WOGtz8VfRY/qGnMrKumbsI7pE0lkIepTfXahor6BQ8n7hoJdMWBQwge
I1jm+RFGcIy1OGSvW5QUiEuwZRCKITxGPykncfj4izrA6Rsuhzuh/876zrDdiIZdpVBQu4bPJULf
nM+StXmXTCI51Kk9bqsBVQJrw3hIFqVCv2gW+pSHjnWelzxlRreazGKZUi4QNFTYyB2SRflgXUQQ
arIXQUSDNoIhJOfpnr7HqYUlffna4AFHp4zTBG0/wYfsLbVtIvctEYzzBk+WcEVG8cyUuzwkHBbu
fBFZXDV7sxn38yA65FuMRnkm0Jslx9HncPIClBzA7xWsCdcxQBlZGfm/Jr60spTJzeRgu5McHPiB
ebRvwTIjQhgWQQl2AHONzczeZNHEVLnmH7FnGl+SRZBSY9g4SaeSet2UEYIVh+S8fhGx4D5Umzor
xv1Sl3zVi9iFp9Qh/OOigZEXPQxG5ejc4CKJVmyn9Ul4i7zGERE6GquZldx2kwEqgLG7L3ZTDcFt
MzKKf3aTts231SLUkRfNznTR74Qg2ANsLYuup71ofLxIDZylvWUAf1EBITKtXzAvps+UcHxdqOJl
0t8a8GIfJtN9TMfA2ScXbZGA3TjDi4rEdXNRHzEAtG+DNGeI3kbFl2mRKbWLYAkFD98XTgp0TAYZ
lF+EU2X8TmRO9iJ4otHONF0tMiivaqxzw3LGW7TIpMKLYoq6C/WU9hDirpSy01cGXC+NYcFamyyB
4iXxy2OC5kPRZPcMWu2oj6I1XCGwTUZRZQ847tqbIkmme+laMZKJ3hQbt7HopdfaNkgwaB5Cf2Cz
Rh95jXkrQmbFK3aOmag5G0awDF4HSSo9Bi6JPmLBzAU0kt9QJlRfPb8q6QvNBhZ02WDBYQqGNTFL
QEVM1tzKVT3U88FLXFUwxO3cc5th3l6VpLfgZzNmxQE/SXpy1WYHHTbrSLKuc+wSa8qT+pOdqMm4
74XM5L5j07/nrZ3R9fIMkNVTaPfYJzU7ATGYeXWF3U2Om3EIIrTPSlJ/FVp4j+NoyU1RKRyHkunK
yatTFtoIw/neK1ydXNfRlI6kYyvy33JvfK7BKzwgtlFfKphI+GFQv6xSrGZv0gqMowf+O99XTc2A
zAgzUkMja2bLqFTUkapTWncw/qPsCDncvw07hTcxN2W81mZoHkovIak0hwm2akQHrW1EGSTak4sH
nkHQP8e6/+VYhwTG/uUg+dMErSEPfzzV/f4zv5/qLFPSDhO2cpFUmgi/0G/+0SlbDOJkbHscqX6f
NP/RKCM3noOM8FwJnZfm1g82cJPGGS0SkxAABJlMUP/OsW6hsLwXBeNO54xos7X5Cxr4R8Ey/TBM
f2z0N132LaTtGumvvz6dvdNzcihzUBz/+wLvFNH1KHRWjlyAN3cVMefo/FdUx7HPKO3bry/lcCd/
/jCW5znCwlgvfUeixP75w0xWQ6tMS+s6cfRkJvBFDCJ8yA70PTutnC9NMobeW1Qw8jRxgaMUm9eF
dqY4P2KVr8LsG4hzT4W8ajLCrrmHZ2fuJy/v/sWWRIl47mpafPJkuuV80I2fBPWTl5jTyZVM8J6m
qt0R8O0cmzax7pKqoAM2sU3SLbdzAnjYgRwEapwgB1Ru9L1obmt8P+lj9Zud3JV5r1DsFB6EC2pK
uyH20D7WVhl/nEbdnTSefZQxnOiGHXnLi3tetYyYnNGdbzw8HsMXozCJ72M1iVf0r+o1Im0pbglk
LOdT0voAQgf4rYSBiT4EOALgMkW0HSxJttjw/1k1/pdVA/SSJ354eP8k0z4XHXje90Lt337qj26Q
94G2OKl1KEouqpF/rxs+K8qisEds7VoC9BP/6o9+kPhA/8OGyOChUiF2nPfx936QzS/06TehXLF9
2kX+3+q4i3crh2VRFqBBQSdDf0khWvj5ZYuneuhAOtUH0ktBcSeJYT2YUTVDuYvLXVElHt61Uplf
G0MFT4QY4YTL8uBo1HFwbDg1IFAhuIOnNd/DPOyXSlQjXuOU/+SVGWeOqHRQ1Jmtv7bQiN1aOSk3
yZICM0ahfpaEMm3LJU2DHTJg0i3xPkGT7YEgMzMHR0ScaJsRfkr14j52eTf+hdfh3ciBOyAJBiM5
ycZaA5Tj3dKWcMSjvUUKBgfU8Q45iL/npOMDYmmXz8Xf/cMj8p8aXT8vb5frMeSA/spohQ3gnTQe
sos5hmlaHgaD7JMx1F+XAfeSSvT7WOwn0dGPIqN3i/ZyJSVsVB6gNGhIinefbGZCSNy6q1ES0TGy
Kfo4f+K2hEIRP+Llk/spSoKHv/3xFGhcuow8TBDK3m1FiWmjfuXMeuhcqqiVsYgNGxRQzqYbHXAO
f/9qDn1RT4L2ctXCWflx4wt9b4jzLMG4bQ5Oep3X2bzDuoIopNP+06+vZS0bzw+77HI/sRhyESVg
8iMr+/liIx7YCN5IfKiiUaOmiOgAbqoqKzZebaH0ATZy29EEPA/EiVxhTm7LLXjs5m9/ZvZEDwCG
SR9Zsaj8/Gdoq1FT1nHOrEjEpTxvpgbQcxA8+e5CTPr1h/7zM8TGv5yhPfDvpAG824xr2muird3k
UFrzfF94dbNpDd7gEmV7hCk2ZttSOXTcv7ju8pj8fK8dU7kWADzXpZFuvluX0jAZ4tAtk0M+VD1H
eb7NQXTDAFYRu/mvP+O7a1Fl8Pv9pfvO10uh9+5aMjYGq4/8+BDTBURoOykMhGY9nUIYvB9/fa3l
d/3wuS7XokrjVuItk4717stLspbOBie+wzzNg7UpOGMcdSz63yWj//Xdf99MXz4TYlRUjCwyPK72
zw9J5+qmdosxxrcP5Z8zEF2IlZxyhA69cB6jOKY2GRHx46+k7QyuOQuj619/1nfPzvJZkWex0Fku
Mkvz/bNDSyeNKyjUh6BvmJJaULdXIang14GYsmMRejTBXDH9xXp+uYXvbrHNEoT1kExG23yPLOxD
lzNhoHBVeoH4VGPPPbpCTjfA4KJ9LUpY1q1RjGQ+TWOo1sHQTf1hcPPxG+rFinxGhIZHyOqI25dB
cgAw5BjMiXH/67vzn/5Ohy+GU8CSeWu+n3WnjgiGWRnGFdla7tdp6mS97itNcybQ7uAyJaVxQ+Vp
KMXZfUiv8V/jyxTgYw9dWsiT3/rBAT+PuPENt1E7kC5FQqSGr/r9r//WPz+1nsndZNDvUJH8aSxv
+uBRGz3E8CxMWL1p6I0pHY+m3f76On9+EzEc8pXRu6ASJxnt56c2NmxuitHE6H6JdPPjJTUqTwvn
RIC58/jra71fznk8PVMppk5L8JPnvydnTV7jNHJMWM5BOW9CL+g36H+6NS6SFDnWkqE2wr+xulG9
GFke7mmEtH9xYy3z/XFn+TMEmgeiSCkK+HPefWZdl4bNmxFcqW6op4PSNotp6wOaO4RdOd8z+ze/
OksaXozFnsF4GZFKG8dpDQ0kI0gNKnJw9LtuukMFRR5cUyUl6SewrCClpNl8raMGfS825YdZi+B7
j93i2Zv0fI28F6qwX9XuItZKUQV6zqmvTRZcBFb2Awhm99GNSvOqxSJyjnLi5DZwtwyQNMN8P4WB
6FaaNvVtVpvtqw4Iq5gNyjiUGrTW/DEPvmee4ZTHPKuQrOUIgK+we8mGAUtENJNQ9VIjFKk0V3ll
y9fID6y3vMvExwH9b7Uagz4DdUJ41Hfdt3LYZECGIuzTSXSNyymDQM7SYtV9/LWLWLyLJnS+M4/y
bMw+lI00cUwoWEPshx2ACVfuB2lSDMHRbr55Cid2nlTqxauG2ntAVcjzxtsfpru08Lk81hzj3rMb
1k6z6dTLjBdlM6Z+eK2Wn21oj2Hwc2BvVPFA7pdCE/DkF2K6Zp/Rz1U1DbeX2xu4xG/aeWTel4KT
InwKpaMDQU+uONpmFl2noZ/BPCGClPnUZbUC1H+q25kVyrNG40tepDyRhTkSPKW1NV91ccm9myAs
EJZmmtETqA/5qatNiFZ2aOZ3IrXVIuPj9wxk21y7LfYdDDHx19r0gYQFdT2FuJQJrl0h/3Ee8Y0B
Gs372l4ZNvc2I5vyqw4ze2ch63ylOQ3jnJeGbL8gzuZ7Z6A9zsGTjA+zr8bbeELKsFHSir9ot2Vp
wpvxbE2m1FuxPIfZUARHr0PmuZ4ir40382hRwFgZcctQ1nmWVNbO1+EwQZ4LOHpNq7bpicN0DMbN
c0ad00VLAGXCB2B2lAwQTBsesC2+ovI1GkKytEePpxdi9nhXB4jYrzrIRzfYUownF4ntYjGU03Vo
6OSYenrrz7T3UQiNt/Dbq12bMCMMB/BbFSlBIC2LmgSwKD6YXp2fGLkuWRQ63rh2Y15bIp+PcELd
K6Gc4Cls1baQi0vQzdPriautg8BRt9ms9mk8Q7EmYGBvxol48TA+rgAloR+fkGWnwMJNY5wZVdj2
2kL2s/NH7DayzqE7cFftZz/ub+Mwn46J5e+iCP0zCvYCMBA4ysjAzwZ83V8Be0uOOvXqNfQNvZn6
BWe3pIG0jnypmVRf00+4rUeoFJDZxk0/eZK+qg20voo/uoGbAWAv7RPtFzIfUmddtvmwT33CAkix
WUThpotqBrR97EcPTTR9JUvotewMUL1kYMBVRSZs06k+GKb3uVq8PuiCSr2eRo9drSvtL5mQx1l4
FmEJ8U3kLphN6T71fXAqchV+btFSbSM5jcdIZyzAcqmRMnu6cWMhrrGUVfdWrJuj0QP4mWf3nKpq
8ohtyhKFi3FZRMLmX0jBy6vJAtMLc7MPqtUUiuRoFbKwVoERqnPnaP6gQgN8ZEpkzx+dWYrdOGgo
Qm0PsQ1Rd3VLoSSjzeAu43ZFah/JjeFHBh3D41Q41A9FA2FvBT99uk7VLLZBhixMplAKE3jI0O1d
qDWVn3FRquhrulAPnjMMD2qYpq2Yu2677D/Il4sSIFtcVtld0zJKULxp+oDQgVLATgswhRO1SOox
4k5zt1m7popZivIBxXLAjqBCX12VCUcftEvAiynzdv5s0iGHk1+u69LObhuzfVZ6hpLGeP5GVrNH
mBBO5GTTEu+Y7FBCIJwum3SXJ6lzZ3Zjs3NVF35qk3A4iW7ctHEwHBOIavS+wGd9+X/sndly3EqW
Zb8IZRgdwGuMiOAsjtILjJQozJPDMX59L7Cy26QgmzTVcz1kml3LmwFicvg5Z++1LdIxQwDoZpus
e9bJQ+nL+IhqFzumOXhtMPcFD2bK3oESIddu8km622KS8D0QEOsF6noSdLzfyh7RvovSgLtWOO7j
CMJ43utOomEsHDAhVB37MbiWQT3P/uWoNeJGQshaW1VVrzXVuAEVtE8Gr2GqVW108rU2QbPWQzoR
TmtduIWtX/ihhGpm+8Y50yeQz1HpYonM/RuacVB3Qyu0KP7T2KZNIY07DVT/2lC5f+SmYi118K/w
EcZFAdXQ/jnOenvjYj8+jE3ZbrwKBogneATQx2MuDSNnP7gwEwTC2S0mXfs+w0p9HanWwqtppIcw
bcwlXzTZWEVPVFlo7HvH4cH2ywtB+2AdFr55HTU5MdKNa537Ee5gWYPsDJ3G2BTeUO1zneSXfG69
546gjTULTbPuW6QBa09VEu4X+J193JcmxuuBgTLZI9FDqY/WZad71ZUOnHlL07oSq5o4RmKeIN7a
eMb7fJ8Dyf3ukJdxx6lFZ6ivPZDHcKsPYH6nV0U5fo4XqEMVqcHxIVcUIQ4qGL7ppCjJZZ7hXFKx
L6kQ6OvC3qiOuTER0tir+mJIi/y6Fo668gAjB1bTxsT2+l5QjLM8DB5cOuRJ3lnVjOFF2iH0s6O+
eFkSAOCn1X7zaOML2gmRglx2Csg2tYuQA08mvSSgkQ9uW/8o+OmtbCqGjr4zQy5qSYd51hlkYinW
WlipNRAxPq6wrxtyUzY2OUBnoLeIGanQ8Dhdss0K8+eg+ZD0YKrgxfEtgoKiaLpg6F+9uEbZQ1NM
mZH6fAMZ28z7ycF9wbheXRt6376kMmPNJpGxAEnnyyxS694GHeXcK0J13PYnTjUPzphdjvHvWMOO
rJI2j3mxVUmZpLTfjYjLi5HslctkcLp7LQr7F1sm3veo82W5Wnzv+WaENce4zMHJ5RJwXRZloAl7
OqLS8KNtIXoCrFHJ61kB0dDrceunzaJ3GDJjzS4KmZQ5uRuVN3Q1zCbE7JSPFn+VGgO7TPULe0hy
7CgD3wwG4OR35F1HHheLU0yqVkq8nBEuhiOJU3+jbLNiOZsgBHlWagLGdEz8U/7IZ8SgO8RzySyP
KLNZu0sIo9z5GcSUmo/C3tJrdaznpPtZUxstM9UcimjBVZBe8iOk/Z4vHSX9InZrE0IpmplA6Fb4
MDmm9ayZtUacZjechx7eWaeEX26QU7Mf7dG/J56sJ6HFkT/C2k7YTuoLlD65Z2NMQEMo8OFnzTdh
EVSCwmaaWV7DPOShKh50p9RXOtg8tyeRNHVLEgBdb4ewE7JOiWofS0uxGtmcbFyXfBWjlIwJqLFX
pUVUjz8mL1luxuVao07Ggq8qPpULnUszd50YXhWe6j21vL1uGDXuMgyK66wQR7MtgPMSz7IqnCW1
ByQnhgmNZBYeZz0djbPJKYApGXjZ+OG46ry9OTXZqiimfA8WYrxtBERIs/OiC4Jsfms1w8lmBu4q
+t48JjR2ty3drGMipzzwddoD5tjj66plt69JBX/JFNYWany+OmyEjpj8bWAaSbMrBoVzSo3peWaM
+wz63YoIt3FNUS02ijD5ATHjKrZHETgSKJpe9KTwNISEg1zkA1GF16PR6szfU7S0qiUkSau2tVbN
e0MkC7XC/yEnrdjJqRZnqqZ3MDMuBbhwg53xORH2riJrnX2Kf4mvn0CV5vtQzFcdMcWYGu5rGV6w
5NIwwooBeHz+nTbRg+H731yz3NfsptdlCnpXT9AeZzQpXQUX2dHb9SwXbbBmOPfVwtvVK/Nl9A02
VkSAbbzYJEdDqo1v6pDua3RL7oArR/wsetB/ZkFXG0M0FUE0dN3jbM0/R7BOAugTipGcuMrJn6JH
HWkvGCnpZUdUf6BQpgl/VWLtjXnbN8nT2I9t0Kn43Gnuda/vkBM2/jZuk1vXiuLAHQitlE3fPWmm
9LYj3Kqgp4Y57zqpBWiRltd80o+OlbhPogWOnhSNgJkZE1adNIL26JAu5QThIOO+woa01VE2LUm4
BPKQDanJXVyM3wia8H/hi5u0o1bnNHTI72k9fW/25mCdoZmBsYtfmyTC3JTL75lNRnoYTeeBxgUK
00OEochHtJMhGqGraUN001NAftDpMA1m7IcC1+pcUqIwVSWbVqvSZqX5NE1FO1ByQpVeS0Iwv3tR
Fv5uQ8ELyFEZMTgop0i39iikNmSvUBZFPPbdhsA+wrajZaYxVV34nfgXbRtqDTVGRfxfmsyklPON
e/CacLrQIJeuoZloW0Vop36Zag6JRmqJxy06l2VpaFNrDXyZ6gQMdP+azuZwlYrJONeNbN4ZkSSx
PCOZOCo0mtyR7RrfjNZRW+FIKhF0G/oLjFXhXKi4X0peXxEwFDt1+0gCHVuHXBP6vjYI32Zvz0/D
UdQAaVCgI+pAmOsaLvUVVJsfIi/MTSLZ/q3suL52JHQbvIeHEr4+wrxKHsys5UPaWuHRih2aAngK
LoBp0iNYJjVvx+trW9tO6M0OobCY2UA33euENz+9/SsgecEwCMr+yk39ves4c2CSEf7cFooabJQm
XQLPGq4GIvA2GsUms565FLd+xsXEZuAAlFbN7q1RDPOZMcpYeZsuo2+cF0kNTSohtVPz+ROLeMiO
guzSvSic9rFKFCeQpPwi68h809J4uXaS3HgqOp27XmY6f/MwyoN0yvE6G9nvzhDegjnrCOGqp0mB
YOa87IJeeO1Q9jV9XJOURjTInq0atX3X5a7c9FlIvGgy0xWhecliAPsNVQ4OksruHeL2Qr0oeP71
WTv3q6gmJUQjjilL6Sh685kvZYs7NPcJeufbAWujjOZqp7JhsM/zhiA3BxnZWZXOTMhmh+ZVOGfH
t+dOIwx916fcAWsGcwHJYL6JVYtFsIeKyN8X45DWkJzQFKHMuiE9gGuSd0zZDP6RezVeVi4h24Im
5XpB2V6YpVHuoSEokAqka7gTOWfYa0nVJbBoJ2yeAGUvUZ9+v/xgnorbyPS1rR/3RKSSk71Rbu1t
xtLVn0gtnyGN2/Lglsv/WimulkG2KfgOy50uen6IqDrpO/AjNf0pBgoM40yBK09anvtYY3tNyDUx
42+NJwiF4e/ZsGkqpTxN1syPpqNWPdNKLC2YHWZ/r0zcG8RKhMc+DqvnMNbH6wmFLJEvMa+wbXXM
JsnXO4a1UT1nbouUtBk1C3pUn+tojfLQ+EZxwBmWCMsXkmGUsQNG8bT3y8Q8p26Rj4oMMjLyoCUe
SWmYL3oCRUiqU/B/lhfWbLP4V0HQzXPjJRx67Nr+CEsxPCharqgdPK19nonRjHQ6cqrh/+dLyJYs
vi+d0/ZrAiMoPVT9s9Q9HyN2iIm8l+FRV9wdpUJe9pE3MOwmn45F6e+V7NU2IivswqIFflEXZDTK
AQX8ehazcZbDw7oqLREendziL1dUPs6mZDnc65ZD84OxqLdxlqdgwCh17tQOLQU8XvCPPSTBq8Hv
eErcWX+JkFDgHfW0CmVZzTtdSYcMQqpTdMOsj+SBlHuYItod+V/hb5f8MYj/ankGpQ4W1SVf/Ig0
tQjZB0xzoLnkvkLOo+wjcbN/9QR1MvBOY3xqQWj+GHuPKVTLhlzSSq2jbcy2gi9jnYIKavvyMh5U
d5fog/er7u3wd1KNeA6cOJ+AtfNlspOh2RFcAEQTjJI89H4Tfk+F45SE+OFg3rgVDe5NXieEvb61
hP/XR/iVjxDd0qeul4vnpHz9UxzFXGf5f/xH5CBwAVoCqKNlMh/g+WN+8B9xlIs2ijY7XW40U+xb
6fj/X3GU+1+249HodwFgeAShIbX4j8bBRv7gLK5Exsg+AwHkD//geTkdKjBNoGDmd5hF4XkRJ+O9
yQegB8YcBUG4nfytM13gdf18lvD+EIg8HMdj+8ifjJLi77kFI6Rlc+jPAblyq2z2VrAvV57gkv4/
p9HXygEmhn8fZfkr/vDuYN4fRyfmKG75o9V+VOOrcv5NnPDuECfjSTepbEp3DtHNN65+MyWbZn75
/CyWn/hzPAfG8A0piYjFNzwEdX+fBWFBJnRMTwaD7UFD1Shqkrq6KYpmT4RJ8cWA5d2deTuabzC7
wo0lTme7LukcCtmyDKYqYm/CeGCVFC4J61Gdbz4/sY8OhcoCIaBjYlo5HeTorQAEPRqcWOxFd2Nq
NwQ89saFrkBNfH6o08nqcg0NusFsT3yfI55cQxRihMFaHKqUZXee5WqhCaeEjozzuGqisdhjNZ/+
9dngoCZcRwslE+6t04M6CalrGmS3YMq4irBxwS1Jmhehxn99fn6n0+vl/EzAkXgvUcnY4mQmllla
Pde1JoNiioGv5yFZwFpDHGlmYvSBANVc1xORtlk+xxddPo5fHH95X0+fUfSHyxTZW5amk/d5iuw6
1rOoDbyC4HZRcoKiGe4/P8nlJE4PYqFc9BY5B5NI8+8XYTQqNSnflIFSjbF3hxjWceRa4WVu6nMw
TwA8+g48RCWx+Hx+6I+eH8tEoaP7rFnGspT/uZIguxyNyLRkgDx/ovXiACtItQnakKYDnaPEdFZT
TIjz54c1cDO+O2lMMDYna/JRMJCr/n3kNteAU/aNDEi/kj8rlB/Dlr2AuaWknQMnhM6JnZiNU96x
O2/1bje2FreAZsd+Gvthn9RSPpjxbBkwndt0I5V7YzpFT7ZgPw7nPpHINAakvrHU2O+MPgxvEc1T
eLmksN5NSxfdTd30rBU9k7WKPqFHyK/ntXA5jT7oUrnGyxTrFKHI6jPNjS/Ih5kgO3bVSpBATy+h
oxLQc/dMx57IaBieyyp2pvhCbzTB1i3HeqUzE4k1BwxeVHQ8qKPKN3jkuvPOL+b7RPGPcR0D4nab
n8IsXGQGxEB7WtNvWncu9rbZntuZqe7HcrJvBuzre4129bYi44gKZ8lh7wx7RwgGgvmxNi48mntb
UgBG8p7G/pvlKn6EveC5O6fTtpo9c2LU0RoXIUjWoKIvuI6qLr4J03746Sugg/1sQYcX4chj0GMl
1JL5dSCs7CmuEXFtiLKY79ElOBYMQONVylHL10zQ1W+tscd4TViveiCMiNSZUSj7pscJB++dC4yA
66KiQ0daulowpJMj8BGF6hz4koVCdskdCOFDwEYCcE63VrlYFlLtMo3sV4VSF6WG6n6l83hvz+ar
D2/q+2gCSbE7LXlSGdwgfWLms5IxL1I52K9LMeyv4qGZg7RhxUiZ65OjG87qodP5vWLk70hHNzsW
vtM+JMujDwvdPSu8LmYzPoRby5G4KbEwAFaBqR+VVr/xZS3h9tMAwf820w8m3H7tg5/feiNK5fWc
e9HRYV4X0EfhAOYs1k2Tqv1QeFmQOml/m1Vzd6uAhNBm8gmeyaAE3uQRhhDY5NkRRQuAPq3qtj2i
kSvP53KSMWSEm4IxzsZk23SpBjJzDikT2l2dY0BfjdANw3UnKYTwz0XM5RP9Ni3JT16Bf3SuzNxI
93GECNqwZfgSQrcCgWVq4aU5+IyXsphp9mKO6sjoCe2rKSa7YIomsYYZZh+nWjbnjbb0NYq5Pwi/
FtehZml7vDzWtUt29/lgOxDbG0ojzFY4VpxeZ/BK7/HQSIXDqRuhvEBYCF8U4gOMn0OlVpbWafuK
SfBvO82833S21bqFg3gm4ba9xL5ubKOusWGvQjnfaq3yGQX5y/UIoepsjHn8lTOmTddtP+bbOEKm
gHR8Cgg/N8/zKLLvaBvM23AiU5CDOcbec0u5d3ASPnlm2OPdc+IbvWj0oAf3IjZ2N1LRu0nPjIYB
x08jA2lFeHNx2Vnj8CwJyLoou8i/wt1n3VH/M07GAaltx8ZwzgYzmq6tnp4QLjfvOk1k+TzFznAj
p2m8HtNYXY4k5JwbI5U0kCnnLCPheG80Tr8GkCJua3xnG4UuLKC49kgE1U0O0EARi0ljC9WNnHVS
joGhZgTJC+FskP5UmITJz7QToYpVnFfxbQM74pczizYwehYhYqjaPY8GugVozbt6qtu9qgid37R1
0m7YUOKe0u3mLB8EJre4auK7mWIvWpF4wm86YSxIFAZ9gZpgPvLXRnemUc3HKZuaM8aG0zp3wqRZ
p6KEfu8UqX/wKBZ2mIwEYoDIPzikx+0IVKa9qy9m5ThLwGQJ0gfWDAjocPm62sL+lIf/bijFjTft
8OyQ9xp2Ia5ZcgzWfai4DiOJHSuTBsl1ySbgBWSOYhnrsxuCsJl1IeJfK1aBH7DtZ8JOXDcA/9i/
wsqYdyaCs7O3dslQJUTCe+irntusMl7wtKI1yCnbf7c+4pipBdKJXpBe19JdMUvhwHejLYJgrKAP
7bhLAwwxc+sx0uq9jEqUZ/gNmextbCNahrLLIRn701SlAUvO/GRStlv50lPPVPtIxl67oezlX7Wl
pW0TjAIXb508s43MbwyEqHrtuHrok6LYK78r9zTjwm0yGzrf6oUT1TDB0Melzq+6ZxAC6uC5wsvw
TRKk4YWZvnzeMxZP2V/6zJtoVMVwnqThJxciw/RoaMQvrBiUj0HFWM8kBsuwDrj14BTRdS6OEOlo
A7gEj3TLeGwOVFnzB+v4FAKCOsStgcH36U2kkdhLU/ZNye3UXsl+RtC3mOuOwwIFCo/jTLi4Iell
YZfS7upEoObURm69Z0FOqVw6oF1uxb/emkHZ0qgqpHDOQkhv9CfIq8CsjAOQyEFvTyEqD1atZQ+D
jzO6LBtakI3Qtg4gYMafNBWjt9bx8rEjtRTvekobdRA0ei2DrknlM4mNaSdfW3Kyn42iybdlzQOO
BS87zjzRa/SbALZsvXwlm747IPlo79pMzA88SNG1iLXoSqWdf1umTHCFjW48kXVJMq4lnhS1KOmm
xBKR1lOyFX9r+pihNl4rlc03s6b3r30ZaveFW4c0b7GabDxN/Oc+ZVg5fk86f+xoW8NOt2vjklao
dhfBYLrGOspQMTdBlDhj8r3sWu/Gr/pxp+HHf7S6yX7spWY/pk49XfKlEru4ibXNROLRhrYi44Mw
rC7mSJPfKjAqW1NCkYFjPl6+XXXlIMqpWs+7Mhdkb1lWfPja9IxgJ2PVVCBVyg5zb8WDuBvhyJ65
jE+3pU9AUzEpa1sDlaZTrNu8xK4/HTtaaFehZ0QH1D5MXN+e5dkzEPhptse+wiPeHojqpduW4ZYJ
ZgRxFSfwipZPdqU3aXEQDJWe/BBDtwpR1YLW5WOIb5DbP+NVyNpqvjAaet/R4FsE1Uy085zZWDqS
qJ2yabxkUZgOJsF4V66cZ1JIHICtiF2mBx1Zn0OyFXjDGXQW/fbMP89BEMIZd9MrULq4Ii363nZX
MD4YZhgK7sBIQdbjVeO2fLrdGHaG21R0Jce5cLMNzJ8Q444R+1u+Tf3BlygUVqHdMvtWJOesS7es
7jpEqLuOBYc9ELPgMxAhigR5TBSyEz2GCHq302DUxwb52A6lP7k5hD1pd62u01zDscyO2YbgmfcM
APSo5dVUDgku85ss2+sbhn11TwPSKPMHnSnLtqhpSlt+Yry86aDsAm0Lkcb6C0hkeqdjUlkrzV7k
gghGtgnCcAbcSP1k5rpHMdgE9KpJAkQkdwdzaY9GrvAF7knVI+Jbla013+iCSSj+1py2ccg/3Nkk
mamVT1P3vFMa5D7+1evUwvEKp70JgxZE+D7RrfmAdZVQQjIzljO6cuPRXNP3JNd7Tsx23SXFrTlm
cotspdzOdaztqe2JDbWcyfwxlZNHEFnZ3MJhQyebJdoZw/LrDhrICq5vjDtWe/UamEiGXT5ZHVPw
PJ3Cc04j2+R6xcrpRK3ceZ4cthUd2H0YMjIu2ZecofuTKEMb3d2yQ4yZURPYpuLp2qQNuc5aUfx0
S+0n7f6rEYzSzhyHYtm3NQecxeaKFPG7oYrntfS0KGC12nMh+jVa9HITIeFhBO49aSWGF4hKFYP5
tgk33rCAXy1mjbqnkNc4NdkBbs354mInQbwziVuC1Mfsg+CRMo7WGUDxrUhyRN2V1XcwldL4R9T1
TpCBn5pJtySQh2i96rbGEjPjaNcbdHRmfBanor4uy6x+0qKsXPFVL/AV18zhexdxqIFCbpN7dXbo
+mkmLM3P9gDNu0CLAZVsCGmxr21PztcpGX23NfDCLeIfl9H/KIuNmIXYji55q6EkIy0Hu7/rm4xu
nJ4nR6glE7M11bz4ci7OyIuxGOnkji83QxVZA9Phbsyys7Z8YXtvfB8pxy8Mv1P6WpqES/ZNClPL
rLrhOpyn6qAmBkxEX7c75aGGMgviEhlbasxlpeQubnBuv9ix3QzrHj7plW2o9KZ0VLXrcEN9F5L9
1Wo0YvNy8nz1HdiJeySjp3wMJ1cPVw003Qd9+UIKo6iZdnlxMJZldxYnnn0RF616hMvhBGAKh2Pu
RP0ZaW3ZT2WnqIxig5tbdSq87t26+FW0kGBJ57SfmaNWmPJhqhwNiFDnUlGBC6xCzDn60qbWbcFS
TZqy763SLbZIewxGWDjiLyttes1613syK7dEzzN76yjK5yXNNl2nfTGBWIlnpqgxWXqrThsBqk2S
lSzN0yCt+3xVC1fn9vK1PU5UFSjIrXk1GN4maut5gwn9TssZSZeKhhar/IqerUesESPrzKgfpZVa
m0ww0kEw4jbAMNgZ7ytfFHdVVlTnas7Ng5SIN9jPF0ij8PZntdeR6dQOWhFQLgntdVLEFq0GgJxG
J7wHpRG/QN3p7alihpWpJeE9gxB1zkcxv2armD6PhlXdp03WPNVdPbr7WsMDv0rCJsngkywwcAD+
ZNVpqryxLWMo12/jiUwKokc6OaTH3uxeo8FjfE9n93z0vfLMYmf7s6yBfk8gljdCyy7nqods0lpa
vleoDdcMhKvzrK8hQ2J2V5c0AqPLlM3QKrXztCW41WnQ+gmkqRLcKO//L7CeYBr4pvmrDtc+QglF
rF7VdtcZPqqNja/oYZStxYcLqJpRFuFNW1vVC22wH3baDj8QRN7OhKrYO5eRy0Zj2rJPm5mVvdas
Na9afgvmb1BrpKHym6PnBImGAgUfUfW7ue+J4+OJhxlR2fsYeN25mZHnsCLqCmYZ+POAKIDohekT
TlVWwpVjaYB6otG9o9The4I4+ceSyLWpI//RHgk11GvysvgVE79Mo27txP7l5p686mlqYWgLCcHN
0L1x3ab0wvfnYU8wLVcMlOgeUNEo6a9wUazQfXT72L5LemJx0y7hhZU+mIeSPdUUC3/naM5eWbF5
TQ3ywIKcXY31LI4N6tKVGpTY1nkZPld+Nq9zZmK0Ca30UpD8AaCAFNWVSRRXAFuqWUf9UH4roeuw
w9XoNxfqoLypuAkTTVy7jR5BSxLmJTmq1m8jAi5bpUO9leTCH0OYx1elM8bnuZM5t3aNqhER8wzW
+ntagtaJs3ZfsNxu+5oEv1mN+k0YdgJYL4aCSmXVfoJ3catYcVcdEa9b3+/1vcy7u6gD5D+6ujha
UTXt1SB/xH7pBilxkmsmlOORhVQLyAXrz9nKucfBRq/VRk3G/rcqf3cq7ZNNruoXC93/99ZTHQIg
UrOyl0pPU/3MqLvwzBvCdEO3ZOBha827ztTGaU2wleNfJrkkEK4qG8LpLElQ6q4paSOvvViirJlk
flcWfokCafL3cbIYeWhh3aGAfh1H9MU6XDukKJY86vPw03WoGpzcLAi+dSiSGsREM2FhhyLxjQVw
HWho0o68/w5UXfFQIKZb2yFkbXaF+YZ2x8/WTBBx6NOSlM33dRqGoBvFs0sJMqbzuSP1G/ZQgs4Z
bSKt84yftp8PZ3blWFvRWDRSMiDVUWgEva+Fv2NhOdfwIc2bdvR/N6OtPUS8evem6cp447QVkdWo
98JN6wFZ1kif3ev+2IFqIuQbDCQ5DvgRvvAove+CmkyddD7QtLgBZzD6+rP/arW+qNyE/qvbpPmR
7PF72L5zEAmqW9+lkf953/WjyQRGYbw1IO2JZjrpNEey0Q30QByuVc5dYzZ7KgAQNZDAvxi3vDPV
LJ17MAGmzTacicuped+f5/80tcXcDT/btyb9FHa/gA6PK42cIPwS6F2EN+vPcbhUlMRL/w+696AY
hCtsCw/qu+mBa6kZL4BElx/ZNw4UoYs6ok/67xeVW7j0sHUGn6fuWhtPSmcXzGDexiE9uSKoi6cR
bHhaf3H/PhpH2AgHoEvQmsOk+Pfjko1dubACmCwNDTSrofohvOrH56fz1TFORkqJA5aSt1UGiKgJ
4ZJ72yu+crwtY4XTiQfPH9g0HkXHffdw+Kk3SFPJoOYDdhF1unk0IbhCQhiSp1hj1IJESSdbiF4r
5Bf9gIHvq9HO+1cP3gaWKzSLuk/9cjKAsJ0a+WDlQ8834HkreGxr2MjNea6lKH9qv9z863V943sA
+zAdvNin717D3sqbMP0ERUmqoS2mG5Bq7hfryfsX3GKGDlKS/g64kYUk8Od64keGImImbwKo0+Du
ajKy8RScuykNzc9P54MjcRJEI4IHwtfknjwmfpsk8zR5VcDShmpJa88IK7urZfrw+XE+uE2Ga0Na
4V6xcr0FzP0x6xZ1kVm+dKtgTvStzJ81LyemslwEV8fPj/SeO+kBufzjUCfDRgpVsTg3sAr1Pt27
0o5WpKH9dzAVlqy+nO8nIPF7gJ+h3DS28jY6xN7vgn3rVs2m2qaMgPZmSy1dkKlKNpGN4Mvx0vqo
LDLwoiGeL8KczSB57xZiUVrGbK7UNjdJSju6fT5eDlVHG2vCt7um1gbzJpL5ixOFxXz6+jHKpLmv
8wIYeFdOpn4w7zXLLzuuaRurR78o9Uuj974R4pk8F3MHnzsnXRRB1XeJ133nEprG4EocBL6gxGE8
YzR1hpj4viAHfa0EwfZV8a0evIs5pLosqqzZtojEV01CfEYoUwsd5lCh0epJQ9BSrVuPdmUHDLiG
jVJ49DhOuqGOd88zGy1DSg74emS93vjRsJ7daNyQWkYOvReZgLP8udVf3EXY9fkT8MGzZuLnR8HB
N4vv/jIt/eNZC4secAsREAE6v/a8N3zrwF0fg4jE1woLojUEnx/w/eTXgiQEUxsHDwSP08kvnoS+
J0W9CnxPwQpMqmLbgJQ6Jxlb7UMvUucx/Zc7mI/R2edH/uD1ZaytL4xZ1CTvxBcymnot7kSJe3Ca
nnpBDlJD0/cOo3r6+vmhPjhJprysRhQ8/Od0hs5whE3n1JVB0Utaoxg6JD0bshewmsiDaLPEW7dM
2abVYNK5+/zgH5wn+yridUCYc5FPrefElcNGqMoyaEMi6puhvIsWr7eXTvKftwH2skgZGHjhMbzL
iqUQbCOMo3mA5ehxmsphY3ojAR65Zf3zY8p2A8EUwihkGO/84jXs1S7qu5zhYjdsZkH3xUqvhsER
O6rPX/96AW3d4sRMw4bAAPjq73ciSvK6tPOG03IKK8DOW1YMEmjstrmVfUW0eP8CcjC2NmwNHKZa
p5+vhgFxLLqCM9Psu9jSHrGn/UpH6w5B4Bd7kOVd/nsLwqHQ5whOjTX/zY39x7tOPE1CnDvTWGyJ
W4uGiV85RPXl/QxvEzdPbn61G/34iPB/kLEtL93p58WuXQ9DchY0Rn/M/Pq5mow7S2YNal+RQ9g1
z//91rHxxlNOAitHXK72H6foQFvBfetmgdZ1R8LjA9vOyPrRvzjM+w2jDRQMjYy1ACbgjv19mN7T
xyThpwPilhZDOLjDeuSL+PnJvF9FOIqhs9kA5SDemfRxyIwE6hhZIC3KWso9NKXdb7cUN2mjmKqR
8GpN1Rer5BKi8O4pWRYO9O0OZIZTNAPxKjgAYlRVvoOPfch9avGyzpCZ+4zq5pJJVjtBcV5hmCNq
D6BwTe9bd/dqbKIDMLB8R+rQ3Tw5zTeEuNAF6prNwbItIAjeOUMbI+59E8gDjkDni7/+wxuzxJcx
EcAzdHpjmEvGOe3NPKBFVW7TyU+P2kiz4/Mb836F5cagq3R9MFlv/Lq/nrLCbviMRFUelMqFq1j1
gZ4Zd56rvtq1fHQryA1EVQl4ghr278fMcXOrrJuShWisLabZYXwYhT7uPj+bj1YgwRYA/AJFOdfu
76PMYIvGqNMyFAQ4WnqXzxQGQDT1bf6CXv/fd9HUjMhE+WQsjKTTChXvu4AFyys6ZeGv5drJRNwU
Mnz8/Kw+enkWnLqLJJfC4PQxHluyx+aKlydPHO86mwz67KHzi45rtZOR4/0ccgg7qFj+Q4z7/9Jn
Plrz0Kra7KuRDL4reuif6LFl91kQgTRWpYaDItrV6UOdzre8iPvPT/OjB56yx+RhXwiMp1cTGAI6
MqzLQR3V2b4QjnszmLgyPz/KO14L/COdi+iafI4sZM4n66rfmWPn0HcLvG7QH5JYr3aEmiFKSa0+
p0HvDvep4VXrrlL9VTOV2aWTu9YeWiKsbkxsTJeI+TEaPOb4MxjKdl36VXVrfHjlXSps3kxYZqcb
Hxm2ujMUBV+b0aZXqJpnQ/nEVlhee0hc75GQtXrtkmJ1npdW8pANfXsI/epHzFh3Fov7cijsA10k
fyUmrQamzXl8fiE/eNcYbLEFdV0LtsDpBzF3+RuSke32UM6/6tlQO71GURXmDLGn58+P9cHlMN6E
hs6iWGXX/fd7bUKf0AkAYWsfGr90Gg6bwtGf2ykvA5ecZ0xaQn2xw/jgpTMM2vbsaPhivdti9zKf
RhlVnF7qPMVJBI2D0T3NTDmvLNyZ940cmg0j2T7493OFUeYvHSk2iKcrpU1uSiK9tgqo1S7x+BHV
LfMbZMlkRGbRw0SS8Bd734/uJFs22gBEN/gsZSdXVzByaO2mCjQ9atYQvBlNlpa6GYAeBIWgkP78
DD/45nCC7KGWcHk2iydvYBFKO04qLu3YR0i4bTls9KZqNhayuP/JofwF2SrYMILr+vvUatdOVFFS
ohl+VV6Daset6SpxlnSG8cXy9dEzavFCLT6ERfJ88oz26GLKmc5A0BbdHVSPV8dp7kh2kaskam48
TO3/XByxgGG6MAGRoSM/fQGN/8PemS1HjbRp+IrUoX05rb3swsaFsTEnCrNplzK1p65+niz6nwHj
wDFzPN0RNLixVcr1W95lpuBud0t9WOwFoE8wnduh3QjqAG886JWDGWwxOmQOlWdoHHo+f4lExQJb
z4xJAcvEe0zmeR8u8v6NJeHwM14E9L8948WaiAxcPV2XZ4DqtVboPosrJGq8sz34iMiUSLRmiQk1
amoFamN58rGZWtSxPRo2A8LPFP8GIFF1RrvHxe3McCwLwQbY0JnTt1c49aV3doQxaK1gaMXCrPdV
B0KD7FatwcLFx9QLQWubM2RFS6sZoYVtnZeoAnFRW+hpNFXX7s0RiycSqDm5Re6Z6LDR5HDcBG7T
OUj3WESpYwlh9GZ00urdaLTjISyi+6wpujUjXOwqakXtKgUtdAChhKXStIhtPKQeiMFiOjWuk6Fy
lA+7vw/va2uTWzywWCeOVin9fQaRPpG98lmbYAWf5dw/h6m4dR1j51QNpFo8Dv7+vNd2ODE3wR7l
e5DxL57npaqWTqLqA4L/uuZ0M9nFcerrN4LXP/kFWvEUhD+xCWW66MVjEBxJnXaOsO00izshshbg
UPhVFh/pRL2jK70ePPtz0tZvpEwvTX9dQgieS5WWESW5fhmQRQIZLDF51EQatXxK8e5cha1r3IF2
N8stjXNyHOlV6BEUo9yUWNrQ4ao5yKU9Hj2gvl4+GUfHHIyd1bv1OgYdxoITe4gftLGi/ItnYWMw
zeCBkKRJNlFv+dRegmWTWPEHu4DHHy6eXMF8dAtYhdDzcj4P0g/iO8Bv5I4vEvgzFDwYXXy9Wrx1
ihDyNkC74EE63ltT8dqM+wjQonJLmcHRDnS/nhGZ2XlVXeCgioCYoru0UpO5L6x+fGNlvXYW/fKc
l4HRKEbMcZG9OoSe1lun3rDGEGj79+X72oXoo9ZHX4F+G6qkv7+MKW3RSGSbDjSdwrXSlEUTd4oC
3460U2+Qzl59GPVKchY8+P4Ie/2Ww6gu2StG6mNBhHACaj87YGAAKvvsjeF77SDwKftzW0DZ+yP4
LZVy/BwoxaHN2zsE0XBFj9VjU7bf+wzyVuq/MZLWa+siIEsigYVLFbzs0yydKBlf4rR8LlETWWzr
Klza6WhTi980jpEeXCFhfIvIOWdmnB5UArI5aTIMQ5Ow2EWNqz4G8ALAaMcJklV/n+lXPx4HImUk
6rfRy4NxmuPOKFLCnEmK706UPKT2+KF0aCb/H54ThGSKpL+aN/P7iupGQ6UCUM6BTFRQzemfa2VM
m2Zo37hIXwtbtbQtJRb9S/BiHzpTBIwbANahBzieduDcpvqubTzsJKxbPBXvqzJ6o1Dx2gL+5ZEv
A9Z8cUuAOmZ1wG1sj9nL98gtQbj6V20zvpFzOK+tXy3ETS0auW1qSb+PY68tUZY5qDhmbPW5T8UP
NAHxaS6tcE35NllrfQCsxMx6m0kNODYsDc9qQf4gbfSI91/6GEtUrQYb2DLUFsgGad9+wAsc+d+6
LLGs6sLdHEzhQ+hxaiJo1YGaMLoZwyxd2mzsH+Zkg2lHD2EW5ue8GW7gJIotHiHfs3CcVpVysu1Q
KfuDAHnJZW97b6ym10Yh0kxdShys25cN2LIUHQ7egsgP5fulX6xVb7qPkMevqZli1a6mNx742hRr
egaMwYBi68thF7mVKEkwdMgkmgOjGFqxu6gTOAniOqtOA1P/vmFeeUXudc02RoedyP1FThL5KkRy
xCkPqDS627RV/rs6JUJTedM95ug042OXfvn7My94jRdBKNgbm0Fli5LavlhdiaFKOrNldfCrBUuE
afA/uKk1rmtHeddpU5YPaLChfeAC2brglMMU+YdqWBDEAku0Nybk/N4YeuuVIiaoBKo++tQO/sh9
k9lbRDyyo7slBs/mJO4OVJqz6+K226O57KxYKcCnPGQQ8VVbK3oywK/dt6SIL+4TL0cHXjhwDDSz
abTZv+89E2iEX/VZBW85R0blAm7OHKQvAFjW3jXTFRz7HEgiPAtUykqKyJZR0UdFT2R8PzmTuVMq
Rm7ioi/fL+YnwuJ6n04sKWgTeKzPkbcHl/tdgcjkyB63rp+nWwCD7qY16v6Q+jLYzukQbMLk2m4K
50Ph1PMt2xYmimIjPKbhEF2VZvBkIgr2RmL+yl3BlYl8Lg0AYr+XhSPKbXnZ9Q7vXxbzB2RKAaT5
c/aYWUa6+/tKfO1RoC/BGsBG59p4EYDQdEKPXF9LiJCmGyFDTemZRXEVpWXy+PdnXebt5bzq6i9G
HVQZ4XP/Pq+14ZfDhK3KQYyI8awwr1MwPhbX2seiGdFYLa1rqzHj9/1sTze2bSR3dm+gW+KUYi9q
5FwuH+j/5RvekG+wKWFxDP63lMAfPhXvnpHveq6//arg8O83/avgEOBUw9GlWx2kkxQHOMj/o+AQ
/UP0Ae6I1pyu87Pk/uNSEf1Dh5eVHbk6dP9VwcEJ/iGWIL2i2OoG3IbO/0bB4eUtgs+FT5kc0wsT
GM0fJP7ahJVbpQXCB4nlLSiYu/WJfq76WGHdBtrZe0sGQW+TX1c2DwzQYubG4pP/WVFG9jHFZ9FX
h3km3DWNEYKPP2X7Xybh/c+f96s/w8sslKeAytUkfo+j8Y/LsadTN0ovnQ+qh/Iw2bO8K5oWK4jA
FVvTmMqV1VHicmVunLspmD/+/fF4QPzxmpQpbahIeK8yxy/TYCSjUbtRQX/AOKuc0T9Nl10ZpPAh
AUqcZjttr2agut0eMDQqpgKRTC1CmREpdXRZP6DjaSUrjHggNCIxjNqVBS8hXKZip+yCvwsFpKrW
Tmks42oWMAShE3Zo3IC7VT+oLBRnJw8RcoWTcEhdiJBx4EsUNz35CUqh2mv152wlEktR8ZCcbSsK
rsvBlLN1DyZP3LQoGN7Dd4ZW5UAYn/xOPIdVlZmAvUf1I+14o7Eux4dywLYS56D6FFvwlqHnYC8+
NXZ9SmOT8nemxBNmI3zjNGfRqUOuZ0tEHp+jEVHizdgJszkyVHWFK57J98Ycvs7eRnsbMZ6gg8AO
R+VeNQpxnLlJbz3g2ZRlIkBmUEkA2QdZe9eUI0Zro0Zq532AHp4PMmhx5oxCRDVt8OVor4rBlnfI
bcVXQHLmvS+t8iiBGW0tpx8fcnT0HmS++B+YHXsLIgYJaxu93sGf5VfV4CSSBEQe2VSrjzD4myfM
QZkZyXl78DXHPpjQJXL6Ojr5GKkepEzVjwmSzEez5VuU2XaPPijtUzwn7hHijnU/oDH6mPdTfZqb
JjpVFRHWBpNuN1+5FRD+lT8sJloMpdh2Ii7XUz3aWxRRi7PwUyDvqFzDhW7ar27MH5MCgOA6gRyd
HNAOBXHuDhLjQbZzaPRq72dDeWxCJlcFYsIOLUfgrXNQusAfD18RATONygX6vwHao3vDiotzAoQP
rdVU3mCaoa3ikvF7YWLBVsO2o3ZmmhwaVvM5m+X4QLtjeRfJkR/lpGov8JpdWTNvHE2GuIkLvdkN
6d0aiTkC6eRdfDePVpguVesRTkG1GtN6/I65gdrjUu7eJi4zEQMeW7m1UJsK9b8KfaKBcS1QDwvK
yFtjQpejtTujAAa/Io7PvhnLrzSfl3f1lKqPNhfpHmFcmEitLHZIqfbfzNy37rHWnDY45SA1ZzC2
XcI8YtnOUOslWtZI0ikMcncLZIcEbUdmwvUBkrsW6x9jO/FUJkF8VXbF02R0AzrwbXWbhD/QTUQ9
KzMqPyVBrmy8y73PMI6ltvYdHhKbtQnvosj2NtSojeuWn904GJF+DQRWCh6LUitazSkTBauy38XS
FbcCfefbqJ+820HF1n2ddeJp8PzmM8wVVmsAR7a14+azA5z8OoeU/WEOtX6zkSObFdZT85ygLAXM
z1EGsOyo2FxeLkzZBF3TGedZibrfzFm+vKNK2z0K0vCzanoLSWtSCiR7LaimZV6t/cnMDn1jB5AR
4znbQ5XE26H0TaapKvDfgnkuP1kZbD9owwHgcduRN70Pu9N+pPhqFf7T2NRT/zVrB/cpg5ZRJIfR
WWoXmOViYL1lmtPwTskp9q6mxBncM8RMKHrurD5aMIPXjT+k9cryZmCDcvF3rEMPxUuK8ohHzz1H
01DfDA0yz9CDoivXKN73ZmfcNWZ5Nrzhxq1EtYNA4t0taN6tvADp3tZLkACOb9C7RDWcGt8hsZf0
WNnFx47G5Ravx2E7uOpLFiIo747DtyK1q6NRJ19xmEiP6UI/qLYGcWowl9yW3jijjJv03yxIZ9sk
665hLsU70MYWlN0i2liqRRwh8BJADEl24y7opyOJO6p1C5fQz8MroxByk5WyXlYiiuUR3A0oZWNG
ztREJKbKCmqSVVn+SMSC9Dg1RKSXO1etcbk/qzrItnZlRNc5FP53lOgnaCtsWHif1nWmwKkPUZjg
l8JE2tZoHk0UmA9VALtQ9E64bSbDXqMey7astc6BCVDRNirzevKy6DAk1geniqMdxZXuZNWRU25t
xv5rJ6bJX3ukpSAXMWOOSTz68QCfDyMNa0JvP0ZOs0NotbbNAQxnZFEljXxIgrEvNyruvjrNNOwT
L+HO4wIPd9DJxlVqA+zMa1+eac9a8NqKbgdqK8VgsjCQjQvnzyGOLKvJKebretb8grIonqAqNMHa
n321R+sdmVA62uEG7wjQJaPrECE69IIsG9XZwXOCI3VG29woDhEY0YWwu5VgX71zy05cI4sP+d02
7SOYiW7jpCm7qtuiiydXNQWXFWLA3pXw2/njMjn4a2oCM02ow1RunNFo0PH1l2dRmh7Vtmq5F7lo
4OR20WFevOhYDbF6nxXOshnjQV4VlXDXvl1C+fCLcVVOSbHtXMe9CzpKzE2sUQdJCx3SFOFOGiM9
Fu04MHmO2mBlmH8K/ASurKkmLLMV1KxoNHY4XTcAZau70jK4y1GIOWaZgyYxyMlNYiTRA1Ib1r7M
WPG+06THcJwxAJ1i911D5Q/t68k44xUR3lhyUVfa46vE5CBC7ED6bfXdTeQN9IPgFM3g3tfuNKHY
W4IbA6STFu9Et1hHQbdF4sfut9flEjtPQx4odxV4E/Bce8K8NlWIsq9zKze/C+hE5cYFlzRvzNwc
j4uU0VpURrsfcDN8msohw++gyPKT2yfd18rJfRwEOnekA2fVWP4+QQgykY4qOnh0TQ0KxZjrYhek
3vilya1m3ZeTjguEvIN3U24A69fNFpJ+do27N7hd6Il5wPKr0iP4+fYUya5xQdhSOMQ02stgKWJZ
v86hPt8qO84OS1qLL7ZA2hCJeFXouUG3T4dIee5wD2mTidzr6lNk44UQ1qL/FqIBL+iVkELvzKLj
wgH9q36QR6MWqYz4LOg6sAdwzzgFsSniTeJptcA0q9DYFt7tAgf9bDRC8LqZk+4GXFThGdIJWlcE
eenG9WfxZRYD3a0UsAXMX25nYNF4RV+CL5nZ1j2M0e6bQMUn3NheyvtZla4mzUrZW8JQ/8OM82sH
/1ZK2O2jW2zy1C6PFO7rUwn9++CaHVYizcRh3OZJvqoEqteb1Ou43KOqMc51Eg0Pme1gIlkRadSe
L26S5fIpIvnJwZ46W8VS6kMZX4ofPQJCeCIEhCeRlNZ7jsH6myN8smADOyJubSxa/ISDaFW1fBxN
PN+nljE8pBmalCtLGmGNRHKr9knlq2tzxAYkHcZpk2hSWEOw9QTOtFp3Soe/sIeegn4u0STgFSjs
ALyqZvUDokG2n5e4wdUki9CrnZC1UF5s4nUgnBL1rEi+gXagsPZHEgG+J9R4QyQmdNPu9yqANxhA
KRXklBnm3RrXZpFvZRWpXYPrw0ZkIGKj1Al+YF40HlAsSXaGZT8Djn9EGMGhycc1ZXhTshlARL8b
W9t9GgWs5mxximvTrJzPNhi7GQqPqMdrCMQhyrVWscFBF4ENdF/3FVN4SCKUbkwrhbE3V8QJZRWd
uLhR/Z0ddQ1uYMJRENxso2fWRjnoPCat/8FAaBKPmsRE0ax2XWPldKxtJMmIN6YGF7uBhYMwKbES
SQrxYFLwlxasFOtVixgIBEMdI831Iu9q8LLMJRzHjYs4yqcIWduVa2YUA5HQ3dpzLG4KoA2nfECN
eMS1Bk5iOj4keGKBbvfs8nPrYLlz1ZdLgAVyPCUMUoafgjF3/bz1kiI114Nw4hLyrJMP8MVRVTI6
d8ML1fZDE6OW00kHnnbgL2VyxMo628SL/kJMIBVvTFhu/jrOANqN4JFC+5rOUgd105kFpyCxVGum
eY3Uf8obJ3WEiTyLHwGamRAqmNEeMRTBFWmMCZuMALAL3e7RhPeNOarlrTsPz5R1FaFMO8M4hkXo
ii8qH4pdm/XZfhi51cxiWg5oMRHIpbU/PPRZ+TloidvxgxFP4VQ62aZV2qZCj12keaRXy8Lgs9mN
M6Ra52ixYe8KZ8z2MTi6eo1BfXnsMSl4njFteXaVxZ1sl7a9qmfm0+nD9j0ZQHhS0oQ5P5Fs+WXd
PdaYyjziB+0czblvPvc6pq7TqMTWtsd6213KGXHuchp21pJUR2QwiBbrwFlxZwV3ldMOD6aFExBS
ts2z17XIBLtEtsIia9m09cLO6xure7RzEnkpS3GDyjU82Nidm+c+rsONE/ZEpLHrwmZsvIU90uEM
YMFA53/25iK/NvXMqFQL3jtE5Ssvc5cD/Ut5JYWkGmLTyFjNkT660go1HU8FJN6VLT8BQQ1P1kR6
i1JTdEos0V5lKqhPfsLA0etR+9q0vXUT1uMDLSjSqkll+1Bn3nSIxE1VkJcHGekJzaDlR8guXbZZ
uIinwq/ej3MgviDbTZpjegnGni5aAlNKZ9Dlh9aGDlj0p55dbYESAtxp8enVc+BMGDbqrTqTyXKR
FNMG0X/x2ZMzem9thcdwTq9kO4wZGalOGrLZJHFKZ1femXXLzDQ5V8DlDBR1UiMRmNgKN3kUaXWw
QT7twA+moMXblYG6XhLUdeaRqsZlGSLTyAGe1Eg/zYOh3rkJmabTKXl3ybRrh+UDB6hc+0h4YKtD
9oFqR3YoXS6ykv7SaYixJL+kZUZiMAzAYYM1hR6GXhdQlgwJo0KQiE9p+qMNsYhZ2G71elYJl8Ck
tdPChKqBKebiLAXQEzS9i0hrXXkgCNGqkQPyHgiLMMXJZJa4KfFG9EttkueFLUgzm9JHjD0XKbWJ
V8+Afj4e6aSRFEymbY1Y1xopSPS/CvSLuGjMloIDzSxq7VRiUE+RnxbHpUDh9ZP8ilYljlZmrz7W
6A6sYrstj4ZOamEScayRSSEorjNkrSy/Cju0tNb1kvGTKpskWy4ccY7F4y95c4Bc0Lu5oGZWN6mL
H5Dx3TQXHaYEBtNXVlxSsgPY8nNp4kSxEy4ped1Y8dm0yvokGrvYQA0IT2HfyU+NRe0C1XhqGcAm
69MElP92dIlwEWXuOdwNu/sGV6j5PCdtuGlNGZ2mgHO2mVKGMPVw9jMRcYNTXQwWPKWKFNonLOqR
pj7p9SxbfQxDGOmwmyupBEVZQKxRtHx71Et1nQFjuE91tXGSub4FCIw/WyFLwl2G7tsg0a9OrTi5
DfBt21mtXj8oRyAFQf2n9HmdWFcdLmFFGFGZQmqjOFfTSPaOm8/GB4Zzf7kbrJ7S2xAm6W3AkU++
T/FqNDz3NkgMj6tiisKTjBhhqQr7fmqRaY4qRKZ8XPqOLmnIOvVz6174iMNkAxMZUZg7qtKsT4j8
1SfPJnio9BykxEtPHWAzsWuXhqBosjjNsFt5UBPhiSioi5hNad/jgMdhyzn2CWkg8QR1AXVzGjvr
Sylm7CkWhejrXCV1OiHyTSGj4zQRa8LLYqf9AneymdGV7QkyKzY2pH6H6lNTsimUOTafS9ugMDhR
q3OymBCtJ2BxUN3c2BT1tlz2LJ7LMTsHjAYZO/ZojZs8kk0pLHfsSsdxOMVdza0zv29Jlj+KgGjJ
WCZSxbEbGUyT4y0d2UcFTi6Ppj8KYmuHtWaY8XmeqFPY5Vxlx9r15NUkSoo3+qiEKGNv28IpbpFR
RHnRzzyqDYirOTLifkhJVdmTLVVBwPDaHMaC4SGD4XugLb96PjrGVAUbN4sI/hBdF1/Q6iHkkN1S
HvOaTZaJLL1FYe3zOHqMGr6QztEOU7bKWDAGfWkShY6T/ERUkrtoCKCRvkKqISJuGbzsBjl2DtkJ
L4aHpomddaRGtRkHJlyF8BYKm1Lm5Y+XjamqnCvGwCrpqzdxpwoulWO99PN7ZAHVrkrzDFeIhg2d
ufIqCTwOGXo8yS1kFlrbi5ct74S/EAlPgUKhs/gxuEvjY1BB4nAp0AU48LhIDJ4nHQWoWRIK4+01
7EngeOMJn8McYn/oPmG3kaKYQAW8J5HdDh4q5asCK5OrPu7fwpdZOhr9vbJvgeCmG4rTq4MwtG41
/AJJHBqnqVAi7w9uRnF4DUvduw383t4mPRplyuVoSyOC7z4x5/dBAjMv7zwEaQgOkrgmd6kdedU5
o7quJyE/DYPr3qIeOH/kSFjeaOb90VbWoA9N1wcWCoD/D8VdGnxFMBpOdzAybVTW4bOgBLmYaeXp
rTGQmFCtIBC1RpIiROUIrShlaK+s5jkXlFYvk/33rsGlZf/7CDpA51wgQMCBsM5+Ee8nyEvYUZZ0
h6py8AsC1qq1EwZ5WiZj3LftkG7I3petohdJoDNQZMsFsxukOpODFHDOJxYVrFtOg9hrvomsDO5C
P0EUo0ewMzbaRq5k770J4P8zU7GQ/9azHwAh/oMl3doYDSWJ0R8Sw5ZXMWgTXbknepS5bFEQ1J0I
R4abkTPxc6e4ReqpJi8ceu/f3sv/tyrfaFU6HgjIXxbcH63Kx+cuzeqkb+pfm5X/ftu/zUqA3/8A
R4WXAjfc8TxNDv+3WQn0/R8gnSSkvzYq3egfUzPUIppSdA89h4/wH6l57x9Yv5ovgZ62C0DB+t80
Kn9vv7t6l/7UU4Ze6EOdfLE3FuTMMEMc4PKMZYV/VTYP2qqu91cgKrs3FBt+P8ouD4Pfp1E89F95
3RewisSbXWJNlHbxDRNPtdvQfkJi6KHASMWnUWaKpwRuxHM05u3hlzl5/2fn8tVHax55qFU2GNTf
T9HMKCzSJcu9WyJyE4z/DITuFC3KbTDQs3DCGUeVzkRJUruuEWr//fG/94P1m3MA2bTZsO1l4l4+
3nawwozy0rkrK5JvQoyxl2uzp2h0lTX6cXNF2PL3Z77gBP77UJYKUFWOEWoev78z4pDxkIjIvvOI
Qu5rBCaOdsUduAMeGD0Iks+Tm2mvjoFrtdunZEbffNGhZWfQWVhLHyKyCJJ8PnRGm8RbMlr3GaRa
J9cxernWNea4ytpkC06kq05Y2todjo7zBiafvfHLBfjzNYCoenCD4FUigvH7a4RTiJljkNp34N5Z
K0MJAb0cinkXdjRVywwy5Vx4HViC/8YbvLJgfm91//vUiO1BU50Hv7x2fcMM8tlrrbvcGmkLGQuk
7KBOf2BiJu+UtWA1ddG4xI8Kmbp0eKvV/ufGBIzAmR/4iH78iStHTLkuJCJ4d77hz2f0nsWTivAX
SkZpvQE1fFEQu7wrMGZ2loafBXDffx9h6rDofZmDdQd/fz4bAgbVbkShGQdAx+m+zYXrPo+mr3cn
PkNrERBy/5QnzdGafGO6X3tx2BeclhbKD3+sWhst6UiasXk39JJN4gZx2ZzsvtK9v5rW19+n+bVN
EmiQ1+VfeOov8EeWyM3McEb7ru2QyagVgQAls7m5HgKzua7a3D06eO9cS5mxyukDWDfVGM1oaeWW
MWEluDTXBnqS50R6c7ItIMSfwMJHW6tHqjVNMTnjp+bsMi9ETwVYkzmUb4Vdrxwvgc38mTgToc7w
By61TIhaVGQh4ZWbcrcEbXu4rJu5r8RT22IrXYYT555iAHHijGibLSWYCIWsjFC0CVG8hYC7X6al
xEApNvGabs35/PfBfu1jgh2BlUhT24Xx/fs6M2Z7GOGCWHce2UK2ugwzJR5wDCatV1m2b61s++Vi
0lBCOAxwCzHCC62XT6z6xM5NjEzvJtTprr2+8p7xJNG/OHmyGkydd1F38bGHjlF7oIpN+3OaVPQh
o9APNK9W/TcHpdr3OaCEvWmwCUiqOTj1mrgMUcet4VO5pl7VjUFzrSC6nfBuco/odVk3ixreInv/
pKn9T0SLQBRvwjw7rFzwm3+g9heavYHMVHLX8F3rCOvydpMHRn4rnVL1h5oa7YTc2Jj3tBsMpMey
sYrTXZQmWU4ORmWcBEdgdZbb4xZf22BHV4cwM/W7gZQQCCyiqvRslw0apxGMq3QyPgqjSlD2DKiK
raYEoXCgBoinb0zbZGfk3TRsuQJ8UqGcVpiLzucdTLD0Ouyq/ASYtLlBciqQWM+25kDzrzQ+WZTK
bq1GlV/pzVgbfA9bWvhqWRDWn8f0m/IaRXFZpfUm67m/r8wIcQfaJLl4L80Ux+k5jWBNuU1nbkjD
kMxCQdsQD0NNsgY6JQg+RBdvBJkn6B22+NaPCMMlMBtJX1S7JpEKv+AS3obYr3fw55d56e2VJE3C
x0yqzDgiBOye7ASns5WgKUJBK/qgptEa1oFLRf7OmBzLXeVeX3tr2dmw6yv6woJcrCrb9Ry5Kcqo
+RQ9JOnAtVuwRgI1sOUAPUQ0HnAB3xIaRNvA6mlFVejQPXek3dm6DjltCAE5iEfBLdBlKHetqJaC
L4md2qAFGpcuhde8DE5kXsXAzWylVkg6Xg+0lVHoQ5LuHf1GeTJmCIo7dPvBpa1ENodHN8nSm7GI
+q9hXfjNKrFTU9t9txskiZMb+hrtro1QZpWNeJoohn2yOgrb9hjOG41Y/6L6BrO6THZ7oM3xzl6c
5nMVdd4n2A6UCnyRfmOhzN+TIUaEc0mTeqM1fcU6jZG7bhNB89IKxjULqzKBGcX1PJNxGagGh03/
zZUmgv5eloh7A9P44npExqBwr+CQRNV9MNLjiFgApWqCTRXgqk7NT7mA6QvdOI1t/mvZk+2JNTUt
AzfwTBkKtdCwsCJkYymrOHzcAnGXjZKqClGj1sHP4s3npigYadr2zbVJz8HhtDfcZxlOoC46JBLV
qgK78XE2YNZhntxzKcA3GdZjEHGuANfJ9rigN90qDREN3rm4fJN4WgFdxBYdGaq0CBBhXNwYa4qc
4WaKJpZXnXRMvUbAtFhM3A1BuPTrBY/y5xgXbhwiTeLVvgw5jarJe0YyMnqYbKqI3ULF0h+o8hou
5xDmiNG2QkCajiI7NFyT+PLjlfT4cGQczTVhXfyAZHO4AR3UXFPVs++lqYsmiorkqe9HzmeOs5g6
NcXwZGNZPV9Jlpl3GjPEvW3T5AvgY2hWhB6D09rc1JijOvyNNrXym6GWHDGRx6dKaK+doqCZz+ic
cKlnBifq5YwkhgO45XGJBqS0h7gJu28y0kMZtdQuu27gt5dPWw0D9TIHrMp73aK30UDN1Ht5iUWK
0nfbW+AuLfz90boBpm7djC6RobIn6360lmiLiqM6DxnphoOw1X0e21zP/UwZXenoUdmMvVUpXoot
yZOKdOy+0Xqez7n+3YirK1DvnOjTLEbvOSy5ReFv09YtuW1llMinvKiIfuesU+dLoLAUslYAEkv/
2dZwrRxGzFMLu2A722H+DVSxbtdT+jk20jBvzJQt7TexedO1ZdHg5Lgwd7b+tHUjuXi6pkUeiE9E
w54gvGlwWEVVVzzF6GBlMDxto93G4J6f/W6haD/i1tccZdfyyUe+Z0T1AkYn1hjop68vAc6gQ5Vi
yftvP5MfR4c+Ko9y8GD4guA/bhQSq1nhD+67yVPhKcUd5TkNnLbcc+3wAYWNyiXeBDV65KKy4i+l
kfLw+rKFUG/I5904tzoM4ubpN+10F7pT962MOuZIxCHBHX9EEY4LmDImZ1ujU5UiBV9mKQqTHAPO
ETz8dINad3DkdZprUB/+OVMD6CUjBTxF5TDTaoPcuL1enl5dWjdmknMzFViMtNt8pEPhIqc0vBNT
Ahmrwq6BKM2vWbVDuoR42fDPCeQAC7hH8JdfIXU/YIYbUFMPkdvvpUlpFS/KbFWmpfecVhNjOgua
WD8PgYKu5FllNaNSFoAyMY5BmYv+/LXw9eOxIAZ+oXd92dM4BCTRXEcJs0q4Lw8ydphVdMPDDb7W
ehzohF1jCRk/GKl25FCJ/9yGPfsVF9MKwc/F8MErsOPbFmTu6rIS3Tm3uusp4wjwrJwDA9VADh/w
I0n3PppjezqGiOjHK+CQHE12E6P011rRAxCxGdAg6Wi3XfyeoMgOB2IgG+uND5jFeM8Oujb3tgFc
dU1/n6tpDq37yWkZZMdWFkiYOI/Klcoi8UR1jI0urWl+f3lDbiJiZM1nXrVYve8vCS8FOPG0wFm7
Rwfcvs84us0V1iwgOCVfxOyXael1lLYgzQUeRq/Oy7WpFpMVJUqKzk6oO7+LJ6JTbYfGKh/satMO
A5mMHrVWjHO0ySfkxDet/jiXRkORxe6zGCjpw6xMkM+nBHk2F0VpMHAWZzcg/BmuvC7hOMoKNhf1
RU7HtGs9XBhY8gMLPJ7PaYYp7XYaA3lQmVdWWw9VWO88t5NuNk0uIr9YhHjPIOxYNfzt6KGeTdLW
cnCPBQL8dMAiGshX1YhZ7rYcUlt+gMIHoxd3HQZ60ZcLNGl99s12jv9MYnHIE4okOiV36bzr1m9z
fRmAn2eRTtzH3OZc0AdrmwTcOJe1GyfI5K3mXoB9CDL1BXJRfHdZn649xPucQsB+rKVbvAuGkCUS
mkN7cL1ivEoTqov/LogKc6AfAlPXcV21Y3tAHi3alkp4zwl6OPeXVYHrMZuisGPrxnfpw1iytm5y
T1cbis5Agd6HKlyveq/mJFJLYawDaVOEaD1sZzG844UMAKYCRg1Q4dadNKabQAiJdcu2biyXV2DJ
Wfde6tMEssqEnRXEkhtGs6h3oEfm90PecNo7mXVLfXi5I1NnUZuAOYY1qsXt4XICukVfoCAOXhx9
fGzbuL77nFFygoltoy8gvNUTR01rMfYcCk3SjjHQozDiuBr0p82Hnm3mSOrHu0So+Vwpt/VXglTt
IZoVgZ+X8N6DQoEK6Ti3N+BVtbOFPgOucR9o8mfzoR/GOr21uhzUNpYl1k1rjnwKD+Ud2qlZw2o3
rXhp73tvIAhJjCJ6MCfQM7WY9fsG0fTeHezgv9g7s924kShNv8q8AAvcF6AxF2TuKaW1e7khZFsm
GVwjuPPp56Nc1V2WC/ZUoy/7zoYtMZNkRJzzn3+57/2pfGdazpdUi7UoD0R7wAxCDz3F2oHeK74l
MEZCD/5QaLm01NFQWyzgieNRZA0n0pyRZN8BeQZUKLP7lAv8vxxYMktYO+MCg7kXFjEbPty3RJKL
RI5ZecyaRlwTu24YEadmeaSznw6V0eCWShxZdR0zyPgWTMVKVjHxHoBJxxtGMHFHHDhsEf0k183/
hPYKIBL/Kmqq3q7pYIqKuW7NwKACZesjWcSjdg8dm8ej4EGBVAUGN8lyCLoAARxD34LcQ+wY+5Ic
qHEQN053MvWnuzyB0kFuFnp5ObJm1kY5Zyh1Hq3VjztIJZN5XfHxoNoBNpk19YEdj3xSFOr8vjhl
32aaVOcvNTUmp0vQBFuxnuGGJuKn2I95g14bw0RPquZEfnHDltexp9Xu5MVn8DRsjVP4Zpgl2sex
CYwLyrfgiWyb9qu5QMd3rdw+0oPxXCvX5PxU+KQc+jJht1pcSPsDV45e981A5GyOmIJY21lWrIli
rTebmHFrqRj0buIG+GqcbBgQBb70dce+pyRLCAE9RWqs5SetdnZusu7My1JzAtHbpQeYK9mLPbh6
e8aAlhXXaVBDnJwhtfa9wpBgJBonc5mTNnhkcKl7Rxq2qcMuk3wEv+/Vvu7aflfYpunTq3TOs54v
xoPvG0B2TsCuBM7DLfEEBMswjk06iRL5wMUdZvchBbHeLNKzjo0zsR6WdZL+vWRGgvvNTYgbBCUr
dabSpedv3bkzd1w5fUhVPz1OKcHwqT1nj02fMNtlhbA70+1A6CaJxgs9t9TNaLYb7UZpbj1FlNOV
v7UYxh7MxNG+wFtyvoqgX17I5hq+1cXUUm6PBQISdzaxKW/1KzjI9R4y4fjB5uOqTR/HBfxWWQm5
ZXwsTw5aiUvmQSJKhJu9L5suuUe2CIcZ+8B5k7eOvsfoZr4EVhM/Yiyaf6nlzG9yKj1rqZSrILlZ
Ko2OtdCT0Yi8TlciVMHgfnxFZ/53wvObCY9pGCu6+5/g8E8TnuvsC65Hzz/Md/78oT/nO775B3Ko
gDE5SDEKMheo/c/5TqD/YYM8BTinOqBRtgvQ/FeesP8HBSRyJhcaIm3X6g7015DH+INsM7wKGT4x
8gWU/TdDnrceWyb2Q0geYYuC8Nq4A63A3N9myHLSoMgXrXGuoKxQlg1JyZGjnJWNluoVZgx1Sh94
JXIwzcdswhkRmmLaQL8JONYJmKtMA+42vmGEEgp3wZQUs01bnBMT8IQYkIqzSlYtp/Tf7vQ/wPA/
QoaOuWKFaL2YGfkoRJkr//jJ/bYfC0T+6vxaPxprh+SM0F/mwdOhEMzswL++oOWvY5H/AtfWS4Kj
4gPHmM53eZpvEGEtK4jp6uvk7LrBFYHy5P8UAxO+Pa49CQdpLjV5MBTDqgDbKMlCtgfPPgRuT13g
JCSmHGMPxVm4DLi6EhsX98veXNFgv6LZ29YVMD5mcxSBJojP3o6r+izatf1Jsgo8wchjygepJOeg
g5M6bJSx4l6/wszFwrzXNBbnmWQzOhUhfS4VpPGQbJUX0wmNDrG32DFrdCEuT0RGJbtwv8P/Yb6e
1+NDIcwiFsSihVEWXdZsaxQzS0ffpPyabdlLABe30PSApl5xbD21Kb1kmpgPBkQ0KjSv5buRFyI/
vlbZiTvyMSbCNKmEHEpPcxg5UN3alOm7KS35RMHaDM2LkU6PChEh9i9S41A3RUq/YtZYdl0wBvK0
nevNbvPBhPaTnjpFW+4lLVWuZpLVcLcoGgUcsM3pfeMbk/bJMjvuXNaulS2A1FQfVbN2KAP24guZ
IpR7YdGstVTTk6W6JV2PknNaJE2DRt5EutIsqQtremLY3KgcstW323kW44qRzG7wNPSKH4e9RjSQ
xPcQKxZ+NS04N+k7zOPaXdd+SNGRNQd7YUiy5T6CXDiv8zUmB5RvkwNZ4H5eah7rsFqvn7FioOB5
PdG99eYEtBo8vxWqDqS2jtaKTvMi4lDG6zQh1ErzdWQZeKRPh5VD7UPQzAw8H9XMIiwQAFFpYHHm
berBLLaonxK6eGms7P9pfgDr7C6aExCXWgqiveiZeuRLonOuZ1rLJ23wjMs4NMUNeW3JsznCBGO0
Z/v0pJX3XCX58L6xGIDtjIVXNh0hnAzjQOGdChz8opKOZT6Zk+vA/OW4fdJwY+puv7epzuDx2hCp
wu2lOXXVO72bHLT91MYVXhRrw0cXTZe1WBvBG2l+Gct1KJtZjT1+m2ncm4/8sRTfmmlkIlbSRQl3
xT3qV9iMGWcfUVYZDyg5eTxFrkkXFHvk2ULfpblayHb9yJ1hcXmEjS77vKnHeNfqWtN+eMVVEL+y
ELTF4wZnZmO6+9fi0EGv1ITx1AIvDYIC9hU8IvpAHkAOAFQsoksTUgd7rvK98zFYbcA8k+C+EPZO
/diTRneu0txUD/myaNqT1nuLvOpMpambeUIJsitmi+13KZk/PGa2XuZ38ToJhx2uAHYHasxlwFEg
XOaSe6lQCmbRpI+URUGQcCMa+PiHuPBRxtrsKoR+SZqh6PVFzieNB0doIuvYHdZF0Skoaoz5IWez
mTOLz3oNnaNv+Kn7YSr83nwnYggu0D6NvP7iWaNxSV1/LW+LtTPT6CUmkvkSJT4pQ0H9Dp0eWZYV
+13+XrFDGGTsxouj3tVlVbk+JbQWA3MX5PhtzRwPE8BIXZxa6fHMu3X8Izq0pe/9Ppb5i+NVpilD
e5Y0uoz/TPNdyfmzSPhjsLePMd0+2ZZ17er6MTWtRYWMFAm51fBPQzi5wCTMEv9SYXPwwRn6eA0A
vPcw4hsjo6z7R6Sv2hYSUrrhxWgjq0/So1UEMXMDUnvCMsPhBGxiJqjZK50DQa/u6lsmpJa9T1K7
b3d247iVQKowxxWbTH1sGl9/ap3GjKxS/6RVQxZ2FTTAfK6IzEvHyT+QlpV8LtrYe5kSksIrQ1Xv
SIe56kcl521eqOmWqJXkk2MN1bbkkNqgrbHufBlXnww7LXdmpScxDr4l6fCdp4BXiCj0mpzsPCJ+
i+usSYpHU7ReGOhtt1u0jhyTYcIQjky/7VCOzbuhWMorB6ndtoczfMu23nyi0E3vB7u4GT19Ensl
yW6SMxE7uqir/ZDV2T3wTfGI22ab7FRXIbPhANsUuVxOhRYAA1vImJh3Viul2MsI+7LqBw6d5kPl
lE26EUtb7fxMr9+naNO5tUTshESy9FXkYrF5YcRh0eoOJQlzXvstU57aAJPYB3M1Yx3hxl+Iu/Ps
Tao7FSFhM+XApmWmc5ZtWe/9Qs5ELgBAH9ccvl3iMLyP62av46OxITKo+QA1thk5pQb3WKH2HLZz
6fUX2dnxfdCk7h44Pye/CZsdvP8XHxMP171oaSfPbNjzAfeq+ThqRoATTT5u51YRf4eQIZL9LGA+
t+7DkA3LV10vxJmJ83JWlQqKza8rlB+pLGt94qNcwfMIHb65Uu1+LInmMrG7QHX2CU40ZxgB6Jy8
vLbsc9VEDi5qWn6KoQozP9AOwSL99Qf4kZCxfgB8UNfhI7sh0Tlv6QKyLi2ffGp4qyuQlAOgRvq4
wv62xigDmLk+x2wzv7nqWnb9WJZhI+9gqr06D6wuvT9+bTteUi8dneAkYaN+RGTMztR0gKX/in/w
/dtBucNTmXKTKcab8m9I0cC2QRKf7HwtcTxdcWisggZnWlv7X9/KH+fT3y/m6TrETip0XCneMC8M
NhEtoQo9vY4T6pV43kJUjrSsD7a/vtTPlTRuFGgiaAZ03HXeUpBkEngN4bWkdrmzcalWQrODhRZy
GLC2dvV4+tfXg+eElzLMEtd23nIS8BVm3yhK57RMafz0/QysUp0jy6layqHvw8xfX/Pnd8R3iHDC
EQzfMfMngkFd2VKfCvRI/fdpAOjwZIDz/DeugjFOAJrp4Lfx5qEVQOhVnLXuKYH0DuwLvOn5vzWi
+qfvQkPpw3sKcDJ5u8rczjKlo/FdkEUCCWVw85EO/DeekoMJtU5ADtvKT8yRXJYSIjemaWYMKI99
Ea/8d17c61Sza6Zh+U1L9/P2wZ7OFsLXsldnrze3r8qGeB4Z2IE7xe4HA9HAadEHSpEeu8MtqCI4
0/f51a8f289rDZchyHckUeDi/NMLGSA70peGfNi8Z3HFNdtUt05AF8GE8teX+oevyMsBz5AaHHet
t3uVhxadS5UmzP6VS16Cdy1th7GBzQuTrx3ctL41v77oP30/qCA+5rLOPwRgDOiNLNgQxqlwmaRW
pW0dC91P9zQ6PNRfX+vVuPjH3RhqqudgkuvBN/p5paW+8nWW84kRIGIAYZQOlrWeXtw1w6IuNRYY
FQJfZqzTOpMbqbXaC+SLKd7ZyP9oLmrnGQlU+xXrPmBNf6mK9MbP3eZ3Xus/73sIAi0ojezmLgDN
m/28ypyRuT+GBybDWQQNccbgbdI4rrDJ51UTAWX9b+7Oz2s3gOBEXWkxvFk5fD+eVUkBXgL/gFfc
16h1J38dv5Mnhx5ZwaGI0iZe33eRGRfZF/IjEorF2Fgr+w4GCTwsScii3FEloTFAGZhufv0B/+me
sFO+Jpvx7Mw3RCxd4jIz+Kz6cvEpunVHfDISzToRlVJlaDL038E4P72brhWsqwEoh1cUO4Ufb4jM
2rXoJ4h3sMGfW9SXAjoCeDUHK934r7/dP10M3IjAGeI3fk708xczwN2bHO8JB+cbsZIGUZHS5Th6
Q5f064v99Kj5ZsyFQXfxk2I7e1OWlLlmNG2sz8SwOzSWSdbxZrEQ6RJ/faE3TEVqBZftcj27YaRz
or4tTAiazyYX7iUHuErbm+9zLA1YHRNgvFTbcyMGkBA7gZ6Wjmk50ZF4lgrlOiSdakZjaZaDE2gj
zVLUGogiX+cfr6S2ANSLmQ5RObTnMqc5Hs1kvukqzAnK32wePz+fNUgCK2/ONQtB45vVkRF73Xhl
255ehx0j+V5nVJjZPtHhQ/36pv30opNZwTtgk5YGpPeTwzyaGLMbJqRpauUQ+MxPGQmttAlSWuqz
XU2/xQ/X0+tvGyNsPPZDk6WP85gDz/HtdrOUZGgrxz65crJfyBQYTspm6vsKiLge+ZIbuRTOYz1N
5m8OAPPtKwK3aY2QciGY60z4sDj7cZnZRdxlNqbaJwOXmBL2nmCizuDUXXrLxCcq9j8jRM/tzVC3
Rnt5HcyT4Z1kB7ObmXy9cmT0vgRFXPIVr5EE2lHX94o/w9m0jqp0W4FDhJHdeN2sVfymMXMOASHc
AuDSt+pbR7TLE5NljjuNw2A/d4pE+O/8GdNtpxtnnIDG2jgH98sBjuIwk0OyOh3inX3t6FqumHXm
5e0I2nBRbqftJztzb4gh0pY9mdHwu4YO7xadmbFOwLLQiUr2nD4IU1s10G9tnFe8Ajf3TY2ZJw30
kp3QZBsRgk2nh+9hpBJHm14SIgn2rQ/Y+FiLqGrWDGS6Bcm6URhfR+VDwxEa+u0ogCkEGIqBRnoz
zBN/9jS51EeXOHfMKRVh8QciUmhKKrnwr6+Dq9fic8hjkJegWOsa2UAgTSuoNd9AyzFNyQ2yTonM
VlOQH4nZm+6aaSnTG9zKoT3niRy629ZqeSBmQ5jftjbKJr+rF53zQvWdIXeMnZhrrrRjpu91fuc1
BpTtVudbYJXiLC+WW8HdUdJYoaiR7OEQaTI/+MqGddALLfeNEdjQgExhX/3JE2rwbCGkq4Nm7zbo
5zfgICBX3ZIChPvlDOlhsGJ+Y++msfEZV5bqKCfRa/dTnXFpmS+cWoFe2UA4aWG15rtqHJzuzsgI
Ot/kvC7pDe0iCmtIoFh0vLLBhkG1Xr7poZ9FS1Mxe30dFTsLSnBofwMtrumNmQf9NjbGY4ooOeZc
NYbsUqsCTMtv+nbZT1iCmiGZ76CMSa9P6sGoHPhKfubwgmGuSmiylinOhtc6AMyetw/BNVADbAJw
M8P1sGAgbHaCUUpE+/SNsWF8g50Cw9ZXCM4pej6MlaJAsIXpPGdxmsbbtm/H5vB9Wbkme4u+rhlI
g8J/rsjUgL3gMEs3JiPNDqC9YPNmB/UiUq7DWyR9l8YIZhH31WxXzNwSbf95zjBJ200ZE4TvoxnS
J2EEWmshkdjUdn6NaKY0xIrEKuD5sFnnxZPBtDV6Pf48twdkTMGuvCvHYx4R5no2iR0CMua7JeZj
y75sNCYNxWxzY20MC62dCMwku20ryQcxdLCTXVOYLYHUhpw+IcmwNMxzPCfP7/yaAJ1rZyowuROi
sqMeu7r5BUYmr6zwpWkjmWggK6UztTGBksbolZzHjAHSOkxBC3hXbKY5OSu4s7z3FOZ5B/tBdRA5
wiIbGpyI4ngpwea1whGnQrWg9XMBKIluuVp8EAFhx6dS1yegNhDyzgcgW/pBjN9P/P+dk/52Tsqq
+dvx+w9z0qp6aevu+e9CuDWOj5/6a1CKNae/SlkZh1rELf3NtTPw/jCBQHTXf52Fvs5Q/xqUBn/g
aYmI0waSoXXzOHT/GpRaeH0iqUNdh0gm4Df/q0EpHpY/nt86JFysYT3QNT4gyX5vKlULS4OSoAL9
XOlancoebwhX2+BtEeOhZkzNNrctRL6zNTRqNxG+gQ1b01lEixe4WJRLVjFnmttr5M52UK9U9eX9
tBS2/WQEVFebsTU+wyhOHssJ/4UscZ33A1Ya1xiPdTcLBsHxLqsFwTc1XIDrZOQfo8GdgmaviZRQ
uU5U8CXQpZeTc1uozvqsjbhQnZlGwZ22XbO7GgQ2ZY9WHvfeVbvIBQeWwh17/BpKq/8qXoe3Zgvf
wa31EOnwbpkxF1rydt5YSrciyJ39R7KARmZNPX6W17mV4SggFVkeu5xnew/3uXQjy6zqHDvmOHs0
0lmGCfOvJVKZAF7FfxW3C3Sx9y6spGPrdekenujXgrp8m3nZ6scpESMMwPp7YWYPM2L1G1cwwYRL
O1vXeEPFJfaDSO67yiJJRCF92XaG9owcaYKZBgUadxOPgwKLtC15qMEUDejPN+CE0oEZp7V3hl44
10PAPMroes849tAs6fqXIH5aSt+7bzwnflDdbPpHFXcWvKy2cQrMFGx2Zk/F4sOAGpyIFdOLciIy
uAfNEMp+qk5uUBfnrvEYhPflmIVUNjGz4Xkez13fJX6kJU269TJ3uZNVYmf6Hl4Tzb8BK71ToEWw
XrH4HpdqA3g0pGTKS7Hz5zg+2HVpfmgWC3+UpdWWh6DwYPl3yehlB1vT/eIpU4TsPCZE83j6tueM
nbQtEfNB2+6Zjcx6e8T0oSLWVxROZjwnLZJ1nlxhhA6RHduytSNTNvZlceJxO+lxtXWDyjiCXd/5
aexucR0rojyvRxFlDj5jdi1LDBqCLqTmaP1wzeWFH+6Y2PEt8YBnlw97XfMe8glKv2Mek15dQxYW
IYKi0Mvqiy0XSUZJvsc3JD55eQWzKW8fNS29nTDlDRWX2SXL1IXlMH809HHZMUKId/Ew34Omt0eJ
jxK0VCmuZKnpUILsfNfF0jwF2GXDKTTabauRWlHaU3aygZJ2o1/jNFbMy1GXLE3TLczHYDY/VZ2P
z5+ReKFIOy2yOzHs6srrOrg6ljhSlX2GoVqcVg7+WTKZ2CxLSaQzvk2Mz6LWbvqdjUIlZ8C4yUqt
ihKpBVrYoHGPkjR9cbAZwHgI6zymDySh6IhNbIXxmm77WEv1c3JVORNJG1i47hHh33eZ1oZGnRkh
Y4Y4spUwbvj04iycWVMMHrvmCMGjf8HfYd74qcXNYbEdZDNsco8DskoWLHGlPFajcw91+C73s6vF
iKlLex0n0+Uhc7t9rbfByUvGuzbAMGIpzQ0edtsEDzaVEI3sD/ZjK+Xen6drgRki/k491LOm6LZD
zDAtie0n12JsP6KU2Rhl8VLYusLhYnQ3wD39PVyla18aRhR0GFagh2cTzPxruylVKMqJSRLB2XBI
qQZ0bCa35aQqhqPDyLvVYKzP83D31D1tpKVBf/BV8WXxMOimyA9OLtvlqVdMzIg3FpcUkiZmDFiG
syqM2ySVt4Not5rPl1rq6jL5tngu1t0s72OvCX3RauemMe27zJTuqW66NOKBUdKgg/royfSDrrWU
M+b0Le1K45B4LS1KJosQ4ylykxhcnvo5Q/3Btn7bWSMeNosbHHPh3cWuumUMru/YJvxzLbTRi9rc
7d6zr/QbExUF1GyrExeB/i2SXd7tdR7UTq9lz0TLSe+saQqu1aTDbtC6jS3KjxgnmREjuXfzVO4q
LG/DSTQeia/tXetW7C7p6lSgix3GdxYfr4aTb2eYdaWcDpJMajQu+0x0DwXSnp1ZLvH9mI/XjSaR
JBmdeITW8uhgQRYW2vDcLsEH+HRHjDngrWK1iQNtgf+jOe4wWjnWrtgHpoAPLKR9MY1E7kdffamc
2dk6amkPemc+NAS48gLnDBLKtBjOjhz1S2pYd33QXBVt+uTmJt5P+CzotT2jF2u2rhZ8soOR0avt
RPm6lzaaf+O31r7NxHQ38ejKEKIzpHh38T/lcWJ8KBzf3SjLY6lpNh2rN1x787AdZH6iO+52ziDN
s8LkE+pnkzE2D+o0yufCh/bZL8e07g5dI05DFud7PEqyKAk0aIU4OHKYQaqMAy/0RzQvYW339hdb
43lBitf8C5RzlOvlaqPjKXmNP6IWoQOrt3jLpp9JkrWj0eyvpkxyJozFo2EPhwqHy2BYOFhFgARF
dfcDOKjMvPLLMFWHwJ8/CC8vtgPfB+JAnUfEUmTnYYZOqkpjh3aM0PHEcZbLhKkRDmixbDY9XdjZ
yZxkN2vWHLZ9Yn2M6765Az3Kq1BjONts/ZydaSit6ibRhhZfS4XRVce51uC0fJhrRyDqMZpd1Tc9
8rYqhuVh0rz0OkaBlgYVcVyPZ2zuajcINd+5jDqBSpA1qnd6Aql+Y88FEjLSCER/VwnNPwZtvpym
wXq0J735TCSYlhziEm7EzvFGjH2swiAjzrZrPMM4Z83t0AVfSm24MVIPhro9dnetU92MlabRQGq3
Jbrqdzm5A62y1K6f3PqEKe17vyV1Zcryk6lBfgG4HDYmTnaf2F7tw2jM8bNYDLWFB6WOpNmbW1EP
6d7FBCf0ffLgy9zmy7bDxyAheqjSfe06ga301GADHJKd4n9zic3c9IzxQye1iufa9+Z7b9QgkvT+
RytHUVb6pfcE5zXbaLGrR6aXigdsvXT4FICngUcWhGVN9Way10XEA1vp+xaWQsy/Wdd8vIQOZluK
r43KP8+65t3BZR3eWy2CTCbxF+xznM1M2gtcFaT1kZ8RJUhTrOyw0VVxbuHqYrPU29QIVXJtmMWh
y+M8wh4QS5o+qO8gR0jM/vy0v8V51z8snivfa0twqLt5ehha0jWMIAuyKMDl86rquq8y97+wOxc7
CWVxQw/XP2bCOLuVFeybQM0bB5LXNmZOf41bo7vpTNypUscEftFqYcK0INONtGB5hQQFvmrXzlel
PQaHsTYmPDXllyIhkLufigzHSYjJ92yQLYSx3ir80O3GtNjbiOB2dmnnHF6tVn2UTA7PCUKaXUEt
COVdWTP+b4jgQs2erfsytYzPACruZzurYN4uXULAaSpDDdh8C+6FxAUyOVwnDC/tcjh5/aJhMaVv
Kst8F9OoWKzbSuHFnjKqL6k8ohST+QQZZ2yAS54VHIldXg7JfaBRiBrXFFpRiQGdCpaja45fGWO5
e4nP0KZkXrbt8ZiCnFKb4QLJGf2cvuepnRxhdyFOuc2mqGuBx1z/aejsLjKXBi0JTvUbp6ghxMeS
8y+vcZevUOPFTRfCcysOFkSDMFViOFX6uI2VdRGpsKAJuWpfNK5/zlJkRqJj3pR7ATSzdFcMUt0R
SGLvdeNzX6QUTPAhtqKMH0GdyrCQ5ibWbGuDIxtRg44KfRS60ArmautJAoAq3rtSTW3IYM2Iaq1q
osweNvCLJNtJ5oQQKIewlTgCL3n6aQy6K5cCf6f73GIcFR+nGsdXcuhhBmXleXSzeSMMHxLdRGkI
tw0/m8RrOBOL+ljX9l0AuWSP6+iXouofYdVgae4ut11Jn2J2Dr5N8CAj1XSbxp7T0Gocda2pacAI
TDOfGLoh2UIY9Th1LQAKzl+Y12lIcw2FS2YNNyRloBqaogZZK5fHUjYwouBpIViIs6+5MjbG5C23
C+TN7VS44ayTW+hOfvzoGcWVTHv7ouygi3pZfaP4xZQrbberA0CUarnJIx2gOrYpeUF9+ahskW0K
u0926KyCrU3IGkW376BvFcU1NutrcFxe7kiykBfXjz/rrSL+Lp/cfTrm062coUIGrWtEc+FR9RhN
8E5vxKWa5h71ZR2VaEKipVUrZqLPFxM/bo00ahQCtRV5wwA1JPDGK6a+X2v6DXyJP5r+8pw07t4z
2v6KNnfmZuQwaxZEzvmwhZW2L9Jvmi+JXXZXdnsrmoPM1Y3MLKyfU7bHVPoR3AF91zS0t5DprD0u
/3uzdgzQKnHGHYoDVOgnPfcfkWST2ZMtz5PXf8GM5HNd57w/tYW5w7VXx4/1sHRYg1XJJ03DmrPH
8w29yxIllne1BP4Hv6k3Kgjqfc7hGGJ0jt09lm6hVunGlW03t2KkOtNQzUSYqWBEnGOMesnjGrXs
ot3gwjv4YV5OC0eCiPm6nAQSUkyT7mafgGHFG/xpVumLlY+8I/E4h6lltgjcbby18eArPxa1IDky
y4ySdGSTWLYJuQwFXq28jZmq6naEVnkYtAlDF+Hme5FpiYoaE1vSqM4Z+qJAhaYH+EmT08jHsfeL
44BC/0hVnR+R0Fd7O6jsHSr+5DzqvbtTVf8wo3dgVBG8C/xe3FTol785WduflzRzT43lr1KPOT/1
aGF3zmirB7uayfVS5jM9vLjOK5sGP9HfLUsy4CVXJ1cWiF3Uw2C/BjLGVXqZpr1V43grBrqlgWyC
XcdUY6MylNhWBeersuxNAm8wLCXzuqztkg3YhsZ4SydCgGR7txHW1kyL+J0LTZi0oPkzHu5BWJoe
pN2CO0ZRe131hOIpMR+JC4W2OA4X6HeUFW0KETUPPpE6km2k78H7LFNIuY1TUQapZTPm/Po2GIET
abLciXKPrn9HOhE5j5MZMUMRuxTv+SN149ErK5jaRTns1rShLbv5zKN3qi1SzL1Im3c0U/5dj5B7
TysM4oLk6SPy92A1N9Xza45qTqGRbuEyt8GZMDQ/bIhq3Zix54R9XkYakHdYG6ZEwN/qOKoW2QFB
uhEp1SAY7lr93OWyO7W19U0uGO3DggrX3sJcsovB7r6d8GS9EYrHWGNHIIKckIyiGCMNVhl+AFm3
yeFzn0db3GQm5Ma8Lq8T13uq/QCRfW5I4gN5/dtp2lWGvk9G8I6ic+hlCCJdvan5VRA3IT52L0vd
wCTsrmfw+1DNMQi3BSdY0meZVhWV+COGY5fy9XBgxHcxglvMruzo8SElJnGLPaZD0TKfRlZq1K9+
1XrfsUc6hsJZf/g8eOIzbm5kb8sbzBmmI8Jnc0MLeWaLfiLJq8L6fdrSavEmg/JH3dCOIatBvyxG
b+597FDcYOHQBfOFtW3cobI/+qLfLoObR1Jifk+js1Tvpa0Bm4zj6O9MMGb2zjtzTma+0dBtc3ek
8/LHKFG0g8iUkDFhuQkigJFJNp6Q4FPH2dXnqquDW5FoPEjf2ctRphsYh8sjjIobbwkIaWgME1NV
fde1jhfaSglSyGps3VwcWQmT8cQDNhovviEv7WKec999xqQLVPy5M8p93/nf1DA3tLnZvCXHXkRt
GWykqCJDNAIp0/Ct6QjwLbT8Uyq1dCtX6L9tUOmZdQ2o4oOVLCJINlUFFpAaC2WLiMndEzcqZYOO
2l65EzRf23uHI6V50qjpG2i1BXz/gaZ8kFhatD0nOYR3jMH1Rm6rdsLgIO085vruGWXhGT1q5IqJ
2c2UF/0OFAcGTtE7IeIs/DmEMcv+iomy2tukCQQIpfDCyArJAIRdrQuZHSqnpDRGUhdOVOTdg2a7
ZbsrfdieO6Xlo4osRmxodekR8EqQZp/thB0YEntj7pETN2AO+NjqVz0SmM9tPnl5R9BN0IJYfB83
/0/j9fuX+vJcvrT/sf7iLxQX7HNp939//Gv7/e/JS72i3z/8ZVt1WTff9i9qvntp+4If5Rf9+T//
f//x/7y8/pbfIvGej4zoF4qluiJW8w0O//ozf+LwxNn/wYjYZSdc6YfM4f9TsLR61ekYz6ESIvCX
wTkI+X/h8Ogn+SdIHBTG7spJ+wuHt/+wYPkFqDp1GGtwNP8NDm+v/nZ/H6PDYNLd1/xmjPRWxuub
MXrD/kiqy4wDKnWGwZIpOYYgLjiRI918PnjIKyo2vATjz1UicE1iEZJpHunXNgYBCnFfMfFy1VM5
HdNFstfVred+WfBU3GIM69s0A818VVPdFO+zxZZXdbvoXwUGCPjQYy/Whzp08jUcZxisfYZC8BGM
0APLlsEwnGhG1HitGrfapkxJ0QhzHoP/umQxME2NjD7uQk6cK72fmyxEk0IghagWc8Ma/TT0JhR4
Ts6jPUz6jL2Ib7xAZWERvsYeBn6cktAzVmzttptm1+SOjse+6L2Dpnp1HOpSsISyarodpLY30bxv
ajN4P+Idv0+1oqNwT+r1U9Gdv5+ctoHeboEcIFZIUcuqw9oiGwZHrBF3m74uBGU+bBGnI9xh9Yjn
BGijRYvZE0KePHdZX3qDUylzTjgltzfEkQj3PGLi9YU7gpV1G4hYPSz/j70zWZLbyLLor/QPQOYO
x7hFzJGRc5KZyQ2MSpKYJ8eMr++DpKSiaCVVlVlv2qw2NElUTBgcz9+791yHoE6sBa1hXbkav/ku
1QRxWSMxCQft1TFpJpM5XsOEJQsjX2sGKUW5p8FTDARcWXHcqWOaTDGKFdpo9dC7VwslIrutjcRd
bE47Mid6oBwBIZBouU+yoNk1XAHkSGlzUikjC3ofprtuDcLVBs+vTPnQttAA2J4Y0xe/dOv0m88u
9RsxjeaobsySVGfcAez59k6XrKoH5u3uS00OhgURxB8uxIRkZ2bpeMBdnYXET+Z9ekqo3dQOXse9
lBUEqYRmZxhn4207064RSZJyWVK8buc6I7MVmcrZS7OKbBOx7AmXyA4Z2VsyqaeHDsYG8HsjN7eJ
r+NykzdddPa8zrU2luJow2vyQlTogqdermb7RPqr3i/+0n6uzDp/M7tGqr2fQYkOwIzEQeeFHlss
8Nn0iFtfnltFi8NSUX5OC7b2R6vsP8WpNYCZqSz7zuAI2jS+6ogscUvgVbaKPYMm4zAoi0EFH3ed
O6o+yEVO92XVyXWv4qW3MIpclnlv7IPMFNnV2iPkUW+2VPuZU54GgOs3SRem7JK63Log7FjOZbjw
rE4FLtg+/sx3ZP4haHr1eXTjxG2PEMByLkh9cVZNWfgp1rG/xz01HCg7rR14vPLcS7f+gOAE4Idr
369X9m0ogUG5QjHUaOT1QgYK3IW623jsF/deQmXOEajFt0rO4rays+glqhOk+o2Fu2PI8mOb81Cd
Eyc6pOmQHZD6hkRn1JizR8Q0taP9x8gCcOTgLVyxSx8XU9yWKmVkRDPoki2DfaH1aBxToFjPdgPP
O8CmPdIaVOYrOVK0wnt8YFEw5kI9ODgIdhKPxzfD9di+dxyN/YpkOfVd/oaczmemFqIBNvq58YNs
cKzHWo1TTNdpqN4sb46eaC5EIqggf//KbhkoAKMg3qM2TriBMKPgaAzAs+enUdBEyybGOV6apmSA
IU1RZeQdJxuO1khghRf0DmV1Z0eSC73vkivpx/1TF6+VC8fnqZ2aey5rGkzmTAIZAEA7C/2jAQXZ
w3rfuGdPGzg7oNV6XyanjO/83EuO4JrKL24i/G0ucGgFNaN6ZzdXlmCfLUnISB86LOsnJqvTNuPq
fpTErhSBHGeTrqQKN2NHrSZSjKiTzfTGBYF2kyK1DKpeqE9VHhFIHPcMa0dppVuk7varDesO6Uq9
PFQTnS7L1eMzm3ZCUFRaXZt5nSEDdac3kmvoIZuq+xaxEdxkdkMeUR63CI9M9WIyLLldZOLfDkRq
3M2lXe1X4sSdSeF/FRqjeHSlXrJN2+is2VdVG+3aqhGfkaPorTX11QP09aqjXRwzXkUlE1iyi76x
GxDA2kr3VZnkc20XLq3dwpKzibt5cAJw6lBzYPacvJEWhusNzrXZLBFQLEPtrUiaH9A51lfeaMfn
ytdA0SQbAlAfA0fWj+evyUzL2aaDnm4aMySVTsw5ehxJfyScsMdJQMynRc9zv0Go85UcQrWTU+UD
UzCra0YO6YZUBH3B7zfe566xI2vWv24YUyUBo5k4BHhuZNexkM2WfVH6KW8H2Epwjq7d2mN0N8qW
Rh2heg8WwUXHweumUzWFiUXOkgUqHMj/rR7q7Lnwq+Y58kp9x3YxBJMWJlf9hP0oHr3lg9TWvItF
lR5mysddOHfs4smrxrDJr602AOtFdyrzZWAu4/YfsPiKOUisttwaCdtJx7ag94tY3DWtyzbI9cLq
XI4G/bciG+crOwWCuEk01HSvshTHsRtfrIl9nz0wlGIIw4SWucpylol03kze39hUYZnc4QEYqaaF
/zwvNpMQa+FB7xEAuoZftMneSTLn4gLHeCKLjlGqgUo0Y5bmJdbWG6dL31R639akofxXpvLvFcfI
+1Gc/nVxfPN1+Pzlz7Xx95f8XhtLamMwlWTK4rxBTY+o9A9YM3KQ34thE0QzLiiX9dlGXCqpyH8r
hpXNX8E1E6SIg7ZYjf2/bwbuvmtF2Ud83xz89u8/hq5Kc5Vt/qAppRJmkO8QsqdQUeNy/kkwCzF5
Gkpdq2s3bF1iDiybVVIyGbaXnEi1uGga9q7V2ZF+I2lQNMwQFkYb6CfzQ2+2zYVEpd58wXSd3VRu
ruOrhjENIoC6YWDfc3N9VIM1vEDC0dsumkmfqNHub/zBG/BNd3AkJycuh0M/zvKhhx/zWg7hcLsg
e5ygGZfrc3/RLiKRUI/7hPb90dVkDGCcHvrArefu4KCgrII6TqeMAFykaFtjhtFjzbPr7OPJG6Oj
b8ml30IOEr8SGEkSFB2u7EvjGs1tEtlDQQegmG5D8i5oKKBBEVviBudsNURn7qmatUVJJXsKTRoR
/K1anZhrKsV81xCnMZ+wGjP2Kop5Ms4eXxAJcLgQB4q8oVD3Jt3Ge99Ko4clzYbbJh8R0tEp2iKm
5qYOCWg9pKN2j4Wfl80mtSqyDBGawZjy+oyVxtJM6q9VZn7o6rpzl3o7EtXaNcdQ2kl/KEKTvubB
s4El7F2NG0VsMQjrUmxAqEw3Ck9nKTcs/cbJamXV85CMGqZ2qWN5ZZkRZJMb+fTc1rmFI3SA2hdo
5Uim23YSDtNN1gyWj1c2T7QfkICni33tsfEIeoW0PGJMHKch9dFs7Hkay3bc2C02Iw5mP7jdBSP0
EG+jRjhudRTtKMMrU9Pc2zZWO6wXDtkUy4SkdG9M6YiptXAIvzh3Xd/X4oYwtLRT6HTadhiXAs+1
idbpJWIjYy6vU5LPpf5CbEtX0DrAAZ2H9+938f/1Ph+ah67a6lv35539+w35j23//6NugLLFukf/
6wXv41dd0BD4UZX322t+W/Fc+YvlrmsL82E8Mu+0+d9WPBd9nbJcQY9H0g/4kyqPVQ7/G3oNF18H
FhtW3d+7ASY52z7KeyAanhQr7/6nBe/vFsCfLRa436Tv4znlKoV4/7Ok3pNDvyQkNx/p2KMPIk8t
SCNE0z8ck3+yzP4s3Aeqi0EF26e3homjJmQR/oGREvYIB1QVhcc+BU0GLxFbkzeR/Fp2qH4LFMEn
2BtI0ytAGd/RO3+5xK/n68cVnikDvGtH4NDksLHW/9TuwPLJdDPz/GOEaJAMRY0gb5gkn2sL4ick
WV2RX9R+0JaJ2rbLnHydDCzYO0c7igDeFZ2AnejQDV6+UQBKzv26rWy9FGBKmpPA0c2a+KAoWq77
1g0fCicft39/AP/pj6Bf5OOMpDVCj+jPR1Boq1YF4rojowVzN7E87mkyW6fEHecPjSKbOJQZABSj
IP1HCiy1o0/Wol1Fa8A25qc7p8QwVrVMasUAQpXWPKlzXkaUlE/kkDeM8qlI+m4/k/zCEGgN+Pn7
3/CTNeX9PGDXwnaJpYdH7k/qz9ZSfY8c3T/SUiKhifynYMK5cHCr9Nvff9JPzpTvnwRvHf+jjXD1
Z3unDXOkqCWf9B5MRz3LyXO85oyis7knnexfmaJ+uonePw9TGgUJlziVxHoF/nB5m7KFtGfkfF6U
6HtWFPAfffSvcOr/5PgBz1mlutje8Kf/dPx8zXKRj4Z31LgtD0jYvtXKT45Z6z39/eEz/8ntCiKF
Cowbj2Lt50UhZfPjj1yDwAFkflpckslin2tmnjlxcwGeNJAxMrSq6rKHeSDroM6dDG0VaV1xXy5X
oBWaez07yOWdgRS0mrnEEAxSLcdoNbdXOaFNCdfmB7wpQOwU8h8DAOwIZ+I9fW2qCYiWnskMCPHn
8+gsyfHvf+R3f9IPlR/ocrqzLA1EwFCL+vZqNP3hrIXMZiCM6Ok4pkrCHGYrCLm3PSHjyvZV1uKU
hao35drY2qAjaCu46TEv0n4/yLojz03rm5qp0IqhUNsGYMCzNLPkxvZn65OL94b2hLPTcjQfpV+g
dtNjzjjLCfMn2jj+HkoPo7YBZA/wZnNbwgU6ULzIdIg+sZxlR6ezbTwWpn2EEFFd8XSJj0UdmjsV
OckReBliDWb/u9i05KFVlfekIcKe8NQU21I2cbcWcm8xD55Ngd3+ZNXLcFujE4LkvbgWsHrckAPR
dbt6MEntRXy5AXTMML+TUXXMdJV97IjfJssZign43lsbHPqXeZ5RLeRxt4uyTh3s0EpBJTmxuWGq
5WwNd7HukfaIJ/wixTNiyuxbLWPsP5nwZ4jqdN/ohlRCBdhBphfXKwlvL0x9tH2f/Ks5nS4LIplb
JycMtvOSkh1zkYy3fVc2v5aobj/jsdyB3E5hXWdfjczwrlFOGVsEU9HOcPW5KBy+tSMbbDf+aRqM
8qYKayacEwHeJAKy3zfc8sDE/7Iezy0dWnq4PnzTthpRixbqFfQlzbwpFicAeMXFCuv5g5Fn4Mtl
IZYb2RO/HiAtJrOP58uG0aliTu97p36x1GcdOu1dynEqTx3R6hs0suops/ZlXHNFDEBL+kapz1Wj
qz2B3MZW1ROR1ZVZ6g/ljDqyoqXFqWFm2E5VdBznfh/HVNEh8aisbcOpyyvCXEGPeQChzS8AGeGy
Uq7ezxpKSUhr2yBJbjtEeQ83L9MBHFOsMEKcmXHChokstBtELTyWaXSNqOZTPM3iGHedeAjlMtNY
dp7nLvtsQpfZjiRdQu1w/I+dHXp7pbW8uFM/nkuYfwE6g2nzzhjvwbcERLqFqCOMmCWqX2kwTI6t
tJquDC/yDxkTsw2z4vAVncDMl8G0HJuZtYkzxZyOoL6Bi2sAs8RjKNvDmHFKALPEJfeRYx4ogI0r
wKvVpTMqgTbanmFJtQRaJK3rBeXMxCMQZlrfLpXgDNHUbq7mWVqnuJzyo1SJYLzB7eIYcyWywG/A
uvQ7czTjAAQGhqQuRuAp0vJND1b0koay/7I6C1/UoMczQTLDCapzR+BbbV00YocDGsZwwx5wOPWS
+8uYMwakOdAnBd0FTs+pJAp4oYXTOGjSRFQEk7FMH6yBxrwSZgzymrArKyeeOZ37MPAVeSfSacpL
sgLBSyIEArviX8EqZfUWp1Jz9msC4Jyqnw+GQ7DXe3RimA7zt6HTY3Uj5igHTklRsAxEmOk1O7Em
JWCbRDw53kOUTdHXRDIQq8kv1mfXIfRs1HOG7EIQkNmJ9nnxR+sWL7m4mRPR9Nss7MjTFHU1fEXc
i9g6Fwsq+1S/xe4U7Zmwux/jpCsRYLvyyRDUF9BE4lsCPalO1uxIum3rZJ+wnm2IzqnBqyQoZoST
PeSR1by8J01nAmvhd4i5jSw8zyQuL6sBvLlm9QK9zE9YC9svi0EWYp6C2ko1P7KpKb8cdADnxScS
dZ5VfaNiMundFvjCPIJc2ZBdRPhzhYDT18RbIs2Lb31B+quNhXP3HvZp2VZ0u7h1iADJWniN6eft
M+4/cjg1kKgx631xGIaOn2Q4MgpwVNE07LLU3ik/tm8lCwO2CWD3AFRIZwajtfFdFHDUKsRyhug9
qSP1eSAcB0xPTF52Nwwfk0Gzrldmc06ZbYCMtS3zIEXRHMiZs686TQz1zAfEWyInKC8Ie+BrExTx
acQbjajEibsHUgn4pyzqH7Qwm612Y/mCs+eqhQd1cIemOrTo1UeMM0Jd2ZMgY49FQepe3QzA3/f1
OtArSAfcDHka7ysVxitR70mGBg7XriNnJRttjBfiToelP6DRigh5q4c5PnD4wWui+WniC+rLZuBq
ZuDVTWU/BzSfBcJiU4cXPyzsmpV1ps9QIoiMb6bRnIrl9P54/++G9V+Nr9kj0OL66w3rbZZ/jqvi
zz267y/6bcfqW2xLabrhB5N0xUCY/KNHJxTdN+gbFE0C99k6Ov6tZafc9W/Yzq6Ezn/sVpX6BZAL
O1U6eeb6Ou8/2a2yOf3zZk6CfSDvgqQzvoEkxOmnfZAeMq+ceLKfIT1PW4WetouHbs/eyKPoKOPq
ZPt0ogLIY4u9yzTmzA9xZ2OOYkfCcjoZul4Q6BR+EsJaNpR+YvKTX/FsStK7zimZH4NXe7UXpzzH
MsKHNKbm1l990xDqkwIGXwhlOfOZBQwpq3LdGHTs4pq0cjB6eD1niXZoTdtdYhOxPy4n/3VIZlTC
TMxXXDEI2pdhnHrvbsaPByAtiS+pWXXWTjlDWW78qPaSz0NnxC+ktbbFsaISi/Y1Uzvn0tki7khN
zwuBFRTkTzwRTpyAZb7JYwva6Z6qbqlvqrbl58Zw9dwNJTb+zSPYeaWnHdpGYRQ8uwEL4dg3QxRd
TAkZz9545hL2YxDmHM+GSI+iH9c8Ml+M236AYLiRGJLF2zjm7bjsshj+B74sxrvU7WVaIZEuevSi
c+D0JWhv7m8EQVPnWzyKY29pLLm109paMHwBpa83xJSYsZuhaeyrJf2yhJRMdrbpCnat1C4VowzX
tIboYGZTqG/cojNOAkHxHeb7MFjQDKPNsXDAtHF5ig0SJyO6ko+Z4fRJgNgIKKIsx3uZ4whxqF0/
M5rOdoydcwId5nibgGRmE1xkF6Zq6lC1VoFWtusPWTk0lM9l5QSsxv3JG6aN26PyLYqy2ionjm5t
08cDEOfT1iEGnlkJ8PrUoW7G8BHe62Isnlm6OyJ7oAYGizHUt3nqfEB1Ft2rqGnv0Je590zJhlda
oNM28iX64Dqe7rkeqv08VMnHnATbu9ysZgZr9boG95hcQtcMIbUn7o3vZ+HHuJ7UESCzcWtMuJmC
lvg9FIdaXUK2GjgbQYpuJVP1+WO9SmRJEnE+NI4sH5nZ4ypBdRVNGztFsrdhwO5Om4qQoFOpTccB
146Qvu/L7jROaJbGPIs+qrpSV/6yBrPK2h6fkB7RTvZqLH3bHsXHNzlaDk8wFzJ4EFU0UpBg0UNB
HXkH68A96dF+Sht326a9pZgXT+5FznUUBQDfc8g2uh9u+yiCAj1N1dGy/D7oUtwYlFWtvo9zp/yo
KSOpj936Vyq3Z6AQw4bsFu/MmS52c037fW5r73qZ8+meWjw+I9nUTxEb0JdeLQXK4HEy31LSkq6M
pXRTqNLKPY/55O+ttP46+E14lLZodgzHMXSjTnv0M69/EU6aP8/ZkjyrsUtWwYyXPTdsxRB7cIc5
RqcPwmXS5btjt09qRBwV2oLCS/IDQ/j5tvRL+zxOCC8pVjN0JrzWuJUpTMTFXtI4oJOV3JVQDc6T
UU9kpEeZ4ipGIxrb3kSuTWe0W5wz864a+3ozhgzAOS4dI9t89e2ITW2345n4nnLLoNf8aGGTv+0M
/SFZ9GNaG+6XyUYAFAh/oAC2KYxsZhVL+kTP3roqxBxeRGfhrUtb8hqS6ORbrXs9j7rh1ujbx4Wp
99bWonpzerLq63Gp7lToL78CfddNIOmiB34x1ggcIusDLEcEcQ3i3mAsGlSFix9dAxTpXzu0fyWD
5Q1RDAirMykx1E/6TCxG9LkFyPI1x/KzaYfmQn7CuLOdcdrGQ8/IOA6TozJcE4UceWKXd3SXhVQR
iXpn4jjKrJieOWTmva6kQUK28Kr7LG1Xg04nyVPoJ+JR2oR9KAZbOhOEjUDyM+NueqhGC+9/Fo3q
cehgegDRgGvSJz2cineQXBjG84NlkK1SDZBsEQRClHVWqvDcrWlSvWDyEuFpZhvgxXgjR0t8D4EG
sdHeuFSxcxD1imAFZdNWaJP4VBUeNMt6loQM0Y+8aRNisv3RrjadmN6wjpQPcnTWGUvYbnjTaBOl
dCrsrPap4azpYnQmXhPmEW9Wpe1vlWF9SerGvEh3aBmNNwXzHj/dNRrFDLbK7BqJg3ftqyy7MPl1
0iBd3mJqxqARa77YNH2ohH5Efyhglup4U4YrSQQexT6R0ibIavHvG6mrneGYjN2tdmyPBL/c5NkQ
IUxNwi10RvmcNLZ1SCNb7Lnf39Kl9B4ak9FIjCnhKXKZrshY1+eRcJ+dpnmRX9uVZJbSlsN1BYrz
aMDWpYdU4LC00ADdc+XS2xD+eEc0pf7STC2SVBOgCGWP5X2MSMA78w3nrYncgu5ITa2ZZ3ZxV4QG
Lhdzrk6y7MyNaMW0RWecXEjfdAMCM6pD10/9FlFt94r0IN7mXlWiX8g+da38NW3wNi08Hi84KqM+
cNoxvqPWLZD+VNl2Kuh+MHFrv0k1ZLtezv1jikZiN1gjXJHII6bKw7xHnEv4mNCevHGE2x1GXzV8
C3Q1Q0QPapcuPqW8xU6NYJPYOI39FUbZGKgftllh5Z+aaewBVnvZFxzWcodrjvPqeZ9iL/+qs6Q9
KYPHvXCzbNvY/FNou34woymkg9SJkyBhaUv4pLk3u0RekLCkb37q0SDOY+NAXgjaCVLP7lOSps5m
myZ7xpMNzm42qH1Df1MRu7V3IZ5vDRhjh8yMh6sEmgr30VQ3WxzkxlbMBGsxjhx2ym3Lt84eiSLA
VJb0EfakOXaOI5sNvM/XizXWx9IqMjaVvrmvpP3WiPq+7z1Kh+S9bQCShk02uj3y7BIsFXHsJKBT
FiqMHIVLJqobt9b37uoLaxsiFgukhagOtuQ9PXhGl51TBol7Brx4Fn0gMYRymAE6uDNZ69E+tPJr
VRjGg9/Sb8md3j9acxptF1XcG1l5h4413hOPCW8ch87Gyed7f+jlNiO25gB0rtp2oFRoPFXk2cS9
PJSDwmBhuOoWMix6XB/fNhCS5IjWuCKvS35toGbvbKgvBLGADTCT2uZBlmH/KFV/P5rSf0uKudm5
BpcfBpqjw3yaoFK0Q3BS4mCwe7nB9dOfpkL7x7SMaJwmi3cuENDmif0JMvWH/+6l/i0p8LoL+ru9
1M3X8X/OX3X7df5x/se2aX3Z7/M/9QvXleP6iB7YS71P8n6f/9m/2PwXcBgCyRzlzx+bKUui+GVW
BZcfEbFLD/6P8Z/yfvF5OzQQviksKf4z/QN4kD9vqBAj22DCCFHwmDWCVPxpqmA2uoRcYeujTywd
gU1adbs5qnR2BfbevkKV2AyPkd3StBdJ3J+GpOzuKUaH4pChZs/wZ5BuHYD2AG0f9grnNBEaZk2K
KyFKVsIN0wrsFSX4YR+p1DIZ402UyVhtcZOGT5NZ2i9OOXzO5byJeKunoQntxy6rlvtW+09VHeE8
KesMVZOTh+3KoSYED/THdY9Yo2Tv4KE/dSoVdHUnXnx6HaDJjcR8KMsxO7caQSfPV3IBa144Ogit
8AFPNwXdta00pHwIF9OA22D431pTY4ejviXNZSgWfQJJjubUmrL6sxowxC5j628Wq02R2nOg3nGT
tFl+5fwnYJZaXj3KQfNk1ot3wBzhV/SG+9OC12UD+oMXtvbYmphqV+eIU/iF/zykSxNtytwTL+xw
6GLVg79hewGHRAAj6cYWUbLR8+nSG1knUowAbdL5sN4r1QcxxGLsgkmC8G9sGbHo1OtXplVkvPa9
sh+9LkUX4PRKXrTX0r4abZl/nLMcQ9IQ9fJFk++YBNkkeLe8iKdbj/Cvb0s8EgGpmvCcxVP8xWAz
clPj9Dy8fz+e+PrEla2xm/PnycQqw7KNgnTDWKkc90L35YGJ34CjtF4Ar3CQW2/udsQw9HHgdol5
iTxJTRH0HT3CC1AnsnHCXGbL0Wk7rfaxDdH+QGQYneEUMQkYjCo7L1Z1GrRFKx66RL/vksh8qUF3
OHtZzx6GUBp3x55V+4WCiAdA37Zs9Nb6qG3tZGetkBWUrvlHTdTBI0Ec80tTx+3Fw4r7lMJu3GNT
084WfKtil9xHV2Fjxc8p2wqKqNm+MmpOtuekuIyyzk7IeOJHpovNur6YbXkAomsFyByRA4P1IO09
rZfXpRzng2e1Pok2pvo2OgowV6iLoqILCMZ3S5puQtGXii6+yfKK9yLtrKatig3W3FhoiBII4Lpy
010XZe1DWPjzdbKM2UYRK7GlZRteFw7ZIySQjN5Bdr4kjCdWH/Peyw7sMI0qyBAL5tupSwrvkEnR
PnaV9WJ3OYZFWzyjk5nTzTw0q6YWJy9Ac5DnhHHyQG+l4+wTb4Gg4aL9p/FQnhHaWdihek/jhMur
u9ZZivvWUM5+nOfizk4see7JZg9QL0a7gsn86pPudkQcLeeYli4JT+jDN2Nuqw8oy0VgFzPeY2pp
blRKHaoRdN2lCdZ24460XVa5wG7tlED/ClNQcmNr4A5W7XWv/PQWFmh2VRqjfYfCFgc8naEVE9YS
iUtebJgSpOhblxw4WL8dJ+G+DIuRXIdSRm+zTlMkcgRczJz6pfazbQkOcMTgWuEvn1NIbxvBaz4z
m4Ixa6QaxkBUFc0jdUWd7gitjXd9PMBuoXJYPjCZELslbUiBVbWGwltXZDbY88FsXJreakazik+n
FsauJLijDoa8ww4H6BzLdonhc2ShkGztRrEdHGe+GkMUVDHk/Wef36/giKEXOtVF5bZbZ4nYOIUw
UghhXQlklIioOVYsWkDrvt/A7anA9pW13ujcjJ8cF4n8htlmtjF1kV4NxLLNGzpfNPhTEzO/cup2
QxDSdIiJ2tqMc/EZMF6z08lsnog1dG+quTeesgxTYNCb9PrZUad4Y8u8IyHXWzTCLTT9LqJnshZZ
zE1nYFVqnT58fV9ZmqwLySwrsnNOr2pL7IrEvb/eRTV9+sdpYY3SI0MLxxAsq8NqL0UXyxNGV055
mCKW57pkY8ntMJoP0l4/iFnGtC0pXRW5MtlyPQoyN5C5Gn55w2N7Jv0zq+Zthc5k1zKpvtaetL8j
rP/bev5XrWd4XH+rlVrLpeuvU/JW/VQurS/7XSD63mGGYKXIFcfq9KNAVPi/CBvnlEWp9J4E9Ue9
9N58prbxPZjoP9VLlFLIZhyPZjY3Fj3r/6gBTeH1o5hI+ACPJaISxFdYXWzrp3KpwVmzjFGZXjS2
u/mzhbODGZ3l0rwVMbgkZtWjHtMZkUvVFsapMuPa1lT+bnmE5ikYPLbzF62iHqekqO0N0YDDcjWV
jvu10bnLfM919NIcyy4C4sQTJh9n69Ggne314MN7OCLku7olGgzGfLDoKULoG+FfT4zOvR+qHpkF
t1AHU+lRlaC3Ns44dOIVnF+ezAHsLroqGmdvWZwTzxg3k+cagTngnSDfI1rsbIov9KGb2nuMTXdZ
QVXCU6xZEi8pjd6UCMX2qfWoYHdeStCuYJ/vdkt/KOvBM4tNKwoYbwmYVNymonmLjVbv3aae72zy
BsncmceUlzqzsXyqS+Em1//dr/x7+xVHMi/569nPTaW7+H82n3WVJz85GDlZvPT3PYv9i2WzyUDY
xJjFZKLzxwTIw4toouRDOmM5qzKRAczvEyDnF6o/Ce0e6ZXJy3jV76Jt9Qv/K4FsIAbt75bI/0Cz
6IqfpVAox000lai1TSSQBDz8WbrjriYbJiPpEf3D2ob2sxjIaIsvCiSU9gnyHmpRAbJzY3Ah2Jmt
E1WEj6l+YdXfmCMW3T1VV5HtKiRyzdHIKwk+pya+SgQiJnm6SJA1zSGhETVWrJvKJpy6s3oJWcJM
m1ewIIq90NrwG1OUw9yn7BkKuAoX8sIYCLVe/VqLBUYn7CwSfcaS5p5EqvMZk668ofCnoVCVTJaD
vjK9+mDmbqx3bWasL3nHv2ZpMt+ZTed/pHTng0eKBcRGLVmb76GWRSKnB43h/LSm2ZI4Wk+uvo3M
MqvOFW1JDwe4S4C5J4hDI8A7otuGZFGW73lGFo492uPQghlp8zNqOGogYM1IHwWTt6d1HfzsmlC+
q8roj2qI1Ydl9Ka7Uq1R2UowXsKYTMCmucbU1WinPjLsBgJOcNbq4yMdFUcXBrovqU44At9zkNaY
bhU2NF0npfnfrAmAf1HZ9uc54nUBjX+UQJIwVRxcfBrZ9WugOCPNTc/cZaGknvjV1krb9jIFCDkV
/HY/twlv6kehyMSFh1Ki5rhRmZFePHC2SK8SuDphMpxUBQyYrDhe476nu4A+QBBTTAUIVa5rjvD3
E0oiJDO/aE0VNvv1DDPem+44pW37QvQ3Zs+xJisdST3ghK1oISHcGwX9nKCamblwLcX86bU5xF6b
iRPsb3Jv6DW/g3VZ1A0bTxtpcChIChtoU1bE4pnSFzpsXixU60i9v8Xhmn4lhtL/OOfjQ7e0NgrN
GB4WnWtIi5Q69y7KdIsOHMmr0IzMp9LiAgQosl61BRd6Bg8n3DNh4Z2W0ORPl3zuhG9CMmq3tqsR
O/HvbjdwNZh6HRz6qkNN+h4rB5+9t65JHVpDYaKWi88wYcqGA4+2ALxw98UFNBbtxJpxF48NN6Hr
T5zgqvbouHl+tD7GUsJqzyVUhoTcXIrG3cAlikmK2/JS1T57A6CU6mSkOMXwcim+d7L0oLGLNQpa
UYSS5zQWXDFIcoAwTxYfWS5rpvCwXiczFojXfj1FnuoITrX7+tWTLW+GiQm5K/vpnbumJc8Dqey1
JetXXRMq+34JJwaJanPWVldM/4D2rxdp6AzTw6h6Dsm44trfgffFYuJriAH/7lct6EdKDw5cB0hX
berc44LpXRJv83KVPr7fEuzhkgNwHg4exC1OtmDh4NnYvL4D4hu7hrWL6k4+WWNFGDkRP+AO2xR2
b9qgVM0JHgSUV4FvX0wvgSFjj0PwHkHuigQB8Hs4X8PYhvtBCC4wQ3GTk4LK8Qm1JZ8Gmr2HGag1
jU9TKAKcyMcdq9xHZgedKOiSmUuigtgHVsoge4L0+jZWd+k7ONzQjAkpsRd/K2DeH4EpC1j2qX+x
GbBsFR5FDbYl4/eqSUfjfmmJid2BtOMOY2+xRqopVqzCxKr5MLcTdvKUjJBkRpWrsGs+ZGtULyJA
Mt0KmfM+8A7I786o59OO6DQhQvnUEZTLEYRA+VBzocMEjbPmNRMErDN+jA5hF5tPLsTiG4eKKdx7
caqXxxbZp3WcmN2c1MIPnrKMK8rwTU5UDuHsKRTwLM5R5YIxVWXxv+ydyXLcyJZtf6Ws5kiDA45u
UJNAIDoy2JOiNIFRlIi+cfTA19cClXpPqdRN1Z3fNMtWSUUEgHA/fs7ea5MYWIRIvVMdtWsvDRjP
jO+bQ74mmrcJOS6BIHjD9Dn58oDDfue2Nu0qSSTuBxJNKcSD6sFQQ5cc8d42MOI2hV7xvIi281DT
8JSOtMTsTYGD9ipZM/WKQvB+0qImi23w1icHJFI1YwVHK+AbaFK/RBnG0yS2eLo9XgLTuPcEJEqk
F4g2iS8Wjq5278+8NHDt+Xq3zqsMtT7/vWOLqz4Z4OTTO+Nz6us2gt5bdRjcKfd2hOGyvjVt525p
GKzPozczBGNc7D1pjEsBs7wvaWkrSD0mJoFHCSFg0x9Tt0XyhzWGMUdNM+1G2ny78pxobA7nXF6T
vLz3b1wxuPJpLAGK+xOziXj3vrKSygTzfIxd9SQSuDhPY0Ti2gemkqwTuVxXKTGgWZNoOF48XOhB
2qviVsS9QXRe+QUBqXds6nrdDJS+bs7hmmTs5Qu5KIvFQpZTP/Q+w5dabKY4LkV8bczxfGD5MVF+
iQi0SLyOqTkf29XiXRRl28WwD8MJrUabePntkuZfUz2hXebD1Yqe2EoJ1+hoVpyAGa9R7Os8keoe
gxdksaQiBsKwUh9zp/2lKosnYuWbE26unvzsGWMidQi6E0O6x8pbNyKok8xH5qgGTogqRJSOHvLd
Hcxdo+gnKCG6K0snuRI0RgSIN4ofE0dZCFDL8JNCuacZlcJi5Fl+063zn5TvwKYvRKGNh66bj23c
17ArvaYIb4gbZRLhdR9K1QOaQgCh0b28qeWwSQuAm4akFTTbea2tqYuFHR4ZvBWsqmAKTGnTHDHx
u21rvabHaBuIaRzSp6ONrWTq15VRHIRQUYxBtGaMJTNzl5XGAOkkWXZ6D5bGgrUMSw/jwgDgFBXo
brbBcB08HsvGj0CsTFz+2LvoTLlcu1PnnNrUY5tLJoUlTKvpbIziUYqhOmsYVa+TJXNPiCJ4egVy
QDt2QQC4ab2KFRnCpJnDHG0amMISdGtuWs2aXnJZpY+zUzyCbVf5Za5aeasywKla146uL3Hf4Ykw
h7d2brzPsUsjqR09sHM8ZIGCIwkOam5gRKbeQR/UsJ2nDnmnW2MdlzJF4EuwwNlt4nQ+c73sLwDk
y93SjyH7eKKTRjs+eisfOkucZu+E4yfUvkSaps7nSE3zXWzN5VZAkduZGfIECG3NbatzWYEJ24E1
FdNr2hPWCtQZF3fbnt0kXm6LBbdH5fTFjvhFuQ+9wbmkWSkD9CYPyuvhfDQ2lREaYlWdwe6zREFr
88FR10FE3XDqi0Yw+ms01NhVe8y8Xl5WyPNhH04l/UBFZ8amHYt60w006IaoiG0NwG6R3UiVImZy
TxrD/Gs2gZmSD04RyQv2MUf8cBsBTzMRBh0MToR7d90hzBnO7sRM/MAwO16xvdrHFvv0Nq0bD8CA
hbIXmC52HP0uo7F9Wc159wjlQrucixq/teY6/NxI7fq5G3KPugRL3AnZoYIW1lXPKeU75V1fMGBP
CyN7QIToHkBmale6rcB3M4fZZq7c9Q4QPAJIC3z8jvOiZcXzpK09SgFwktZY0+40WNHgyR1ETww5
+73O3M633Ez5LP5MDa2cjQjwzRFhwJea/IDA6AQS6FrP19VKHGc0IC9hAzpoi9FyepaVEVBdN1SC
iV5u50zPAub59kOoWFFY+ZsiSCpBSzExHGyDAEjgv87b1kBIb2EnGC8x5TswQMw+RSbT2m7DtUMj
dgd0MxdBhMIAtb6Dayi9S0IBeUWkxYoGWdoh+sLiH+3iFK3o4ooaPMaAKCuKQ075FQGauGZijYWp
SeyDm/Xjk4YrwmXbCw2bvq+It8CoOIHEjCvtpjqjwU62CRiMJ6CJGEdsQIIeouLdsnQLzVGdf00d
fNsYSB/HaHJ5xAnjkNopsdbCj4WU2MpXmPTRZaSKK/q37YeVV3wBvOBsIzTz2bzC+6I3aO6PrY0p
g7NLd8qUmpMPrV33OvpVmu4nTYnFgHNspt6OVlOvxiAlf3vYgOgz8Wl25Ev79VBxDLHwv30MVc6i
HqbpWM8s37PuhUyamsXcOykjZCQyOXjwTYTeYGSyBU3G/AhQgl13hYLbIERdE+MpYtziQunI2HdZ
teaI6BbKRJ4eg+xbq6cGBbRBtVWOLYWIPeCJ8hNV5/NJF8t0Nxu4sKhFyexVI2U5Kvp688OJ/xdW
PPMnwzNqLM7z0IRs26Wlvvqn/2J7cQa9bopGxYfajtgwsb1UeU8AM+bbiUXabMt7QDKuPM4Vu+h2
oo+VnQZpDHe9HDwkhcPoPUEAoHiX79u06Kiq30MVI7lQTSRRSwkQkm68adajZ+nphHNo6MzYKZ1m
gt1Gn+LLtxo5Kcgb7pf1UFLO9XSHtAepExOx6WbdVl6SNWGqXFp6yRvoqxRk/3w5jL/NP4WNAUja
5HrQ0fhbSmQsNJUQeK7tzdjilqBUI6PE7dfKq5x49zyHJKIb7qDdl8bCWQ6tB29rTvrlfvJsrlZk
rrFj1qKtAamSf+Ri8dcJ+k4E+50K1zTg02xGMH0wCcaeSKAq4kDuJw4A5iACJXr4FjtMhApnSRhM
AyYI6pMv//xh13CIH7uX3HvLcfiToAcdGZqz/voPlqfBixLN1NwcdvLAXNObp76FPZ8hG28sz+Ij
1wW+x6lVL9jM5zvV0WF4TyZPqqm5K3Bm/+Yd/eppBAhgrsphMiHe3/EP70izlLb07PYMLZnZbmyN
wJ2ORtJTS2OGi0D2EVcOR90XSQbVsR44FZQIzfK9aNhI/bat15MTx5F/fmM/W+DoMFn0vxAtAxan
2/STzriPwxyuTZIewsrj6S0qZsIfFrn07bNEHqnA6HoU7VVpEYm5Af/9O7fkL+4VaR5keQmSp0ze
xdqJ/uHKjLEtqsXoooM1edjMw7KNMMEgEjWu0JHFEWeysN4nZhJHZCWES0nTtw2vorITD67eiytZ
Qcv5zerxi8uCYGF1ONu0/wgC/eubQqISMg6T0aHUOCEpBKdRMCWg+zm44HtgpssBoS9IWdpqWGR+
Y+V9X5t+tOxxMXh5e/2Tkyr4iJ9efnayvhwgA1gzIZeHVKi5pjBTbpFyQ+LZgh9uji5eKyfUjmI9
pZYyl8y3pKqNa2nPDIU2OvE38aFbG021opf/9p5PPpZrkvj7U/SfUdBvR0HI/X/4wv0tzuZbJ3r7
kv2caGO+/+B3JwIdZTardZPCpokq1Pt/feh3yB5ydrQ1lgt9b50T/dmHloyJsCIwqLF1Y1W38BB/
985bf3isMgyKdKJ610fo3xkGSYfX/2E9lUTW45q3WSEMZkLyffz143cUv3vd2pNjXC749KNln7TR
3IXbytA3BTk1WkfyV104OX4xF4X1hib58pHumY2vKBGHluilS9AXfTArrdhFs6p8h7TBcxWVh7gx
+5OrcMLJ3LMvqr7U7sk1q9emsXbRJe5Kfivs+4Ezx2Pqeh2Za+Qj7EWtqk3RQsyyobJxhFvEzqAl
W4JfD819qrxwVYoC/7GiA/aBs20WzYmZPHNSFd6Oi7qe2mq7rtYbMH7ioFqED67tEoSe2ychwy09
SW8bR+pLT6N226d16xdDk/qNWc7nsIkiAlPAbww6ox9mySpvtYDSSuzoQi17zGxs9pGxBxhSfvDm
IQ1afLTbJZdBPjXXKNVlwLrfvTRGRy/UQQ6JjrM5mIXN6xegs7hSkjMBnn7MkskdHtNqWyAgpolq
IIup5hW3VQ8H6GzXzezpvoKeHxDHy0Dd8Chc9NoEeWSZ9HeBjaEanDZDlbcnTmPnWFD7UZferdaw
oAudvVf0Byh7GcYIA+yfR7AanDcduqtO4ZMKH0Dsk9UNTNABsAVo+rttB1Vrm8995DeWZge5238u
WnhZ01Sc6lIkFzWjdN+EuFctzk5LkHpYiypR0HOcStjGNwrZpkc0RodT0XczgySFJdSeZpMGA0dK
CwwWqkazh1drSMDsSLLmo8Hy/ADVfjm2wh22jjOqXTsJa2eAD922ky63pUcQheVG+6m3we/RSwo8
kX6q8VxfKFi/NBUgfFtIU/u2GQkWiPax2ZN4rzi25LkWZKl6qFr7yZ0WfCujs4nApu20kmOt0Jd4
79TFy0Lsaao61L9V2ND5HstA91LtpAzvq6Rri3nGs7Y8Ew/Iijb2yCPhNtGtR7D1ro/QInD4ISYn
6mh3IAyXba5vRGcdlZGKT7NchJ817cWkZZ+XWU4BauY6SBPmrlZJ03RBabyB9Qd9vEzV1sGseYgX
UHAynief7qXaZqJ51tquIORlCrfgriDAEmi4Fy53sDI9ubORfu3IQ3lsDDs6l3pc7Ez3c+S1OuGn
jvKt2tYeSMMjUwURk9w6eZLcFRiUfMLqddoO8byvgQ0+6CUgaOF42d0CQ2DbtssZeVO+g1U4Boie
7B0e1GJrIRMMymn1FBqafpMwBgY1hDKa8jL2yfcxIM2a6QYFkH0UHGNJuHKHAxObY2cNxgVHk36r
0ZR/JF+Qq+iCvTdob/g4LvEKIr/f6FZFyWSl+iMJWvqm0wTehEEtmKhqx/d6eJSg1sr7jOiLm5DT
1EnQDrE2HCZi5hdaFhPIRc4OvQ6b4CuwOeaMUp232l86GhI/egGXJSGFexDMVzR/PicD6TdpyWlw
UA6wHOrorbNwPWsmGQcnzmFfm/rbFMbkNqMpPpFqScvG7u4h/R7Z7O2Tuzj0hBvrzg5TFTDhqaAR
TFh1x9zeSonlxVDeKzy/u4SRFtOBmxzDCjqWROznRPtayGXe5Q0Uws65TMbVIoP5Gzn92p8oy50T
aQ0o/rbeziF1d0zU6UbI5EVVQO8ily5yZUwHZw16zjNG5aPbd77Q3TkwkJUhdFc8UpHdnGfD2fWF
8eIpE2xQggZlKFrrPjTiyC8cD76bhusCK+Yk1dehpUXnLHMIxzs193oOvBKgZLZLc2MIsplBB/5r
KEde4R5w019XufHJtttLXBUEKVnTkzu2gPqgcvr5bNpHskXKB88bPuRgorZ17Xy14xEKXJh0/hjl
D3guLhzZwSxwjVNSkVFgVVXOXMfGY9zc5HFYbkMzdv1QqbemIcQhwbcFBquv9hJJ/zZEtRyoscsv
mUTBL54aRM84PzDhkrdkxp+82fUeZjkfwDuIi8VeSQnGrHadm9PjcXnFclkeaBYnNy1OtlSwCU1a
CBhgBENLWme+a3rLQsBt3a/TsK0NueNiVu0xahQCqcFE6kxjewN7QN9C5rI/5tn0PIZ9f3BmSPy9
wXgtyuNdb3TjfioxgDA2orlSDN51lw83euQQYyHl+sYJ7FFt6HcWcrYivKuIGgDqlewmlSD+tGV+
FLH2ofegjyuwpiZwS9bCfvWCLQQvJkkToF+1D6y/ySmmA76PNFa50WWu1ze4+YFDwrZdTGsX0W4C
rl2b/iRr3IFO+mEcEuu4aO7D3LX4c4m1od/6Zmq1c8rLPFxbTctG1rbYEW7rBkIW+smtGadVRHEA
9qzCXUPLZQuifzHLz3iCy+5RQgEljYaGGwmsh4mZnqyx3ym3Gp86TnwE4aSKjFlcfzx9hUtER+OR
tuTgwF+/ZND4rdY8KKPCo+A7NYrMR7OnMIaqN89N60aB1Vas3hlZIPWIZ4kobuvOlGj7mo8VqTtL
eWrMoXU8P61cxCmIVfNEi8FH1M3SNP8ReqAxhHT9u/LaQRn1T+X1XVx9+fpfxzZ/KWkRfPs9j1/+
57+Nbz/4XeYh/hCrjRcdI+i7bzX0d2m6+MNFsb4mNnp4Rn9QpkPmMwQqqrV7hDrL4Je+F9f8dswG
VuD1qmX/NwQeNO3+UljD7eEPUwcTyHfRo17/6ZypAJg3BdkUkE8BiqZzXOG/Y45JX9+jJWpYz2Mx
DGdCkOnq9vVzHlmrM9S5Mqo+x4W6xBAPcHOiPi9K9gP9CUJDxEg2JwiwkqO7XfD+Hht6u76cNWdH
a2ZkWO9c1egGAYUI8mvH5sUzizMgtrOpjYwY63Db0SdhskX8aT70Lnrc5K3X++SK9d32lVNThJcV
G60Gb36yjHEDie6i8vQbW7Rsj834Uk3jhI+e1UOC12u65K3N02xbmNEc0D2/csxpP9IZYtZevnlZ
eUZQfhdOVozEm3A8IzvDt72RKbGUEf8XfRPmWsnLXHfVtlLLq4XpJR/Ea+XYz2pud7hzcr8hyucD
MuYD6Ya0KwirC6o2XBBUu1eiM5+zIX9x6Ffu9Gi805vsvF6BroAgJbP8jdk9E2WK6Z2ZE4TB3Iz5
xrqUDuPwEJnj3erJ9l3KpGOTe68odb29iOWBWd5F1hvVcVllIdrYcmF03ZdWcjLWCd6UTQ82brqx
ls+xmZ2iKX9pVIrS1Loi3YQOoy3bQPKBRpm8Ea10I3Pu1Wx2O+XV9P7lqgaHmTERzcNaROeQrBSG
d3EDVZiA2w19sDhIsjVXRhtIp6xJD4i09VrGxUsviG7BrkQGGUcGf32tWvI/kD19M7b6TWeMewhB
F8KlpNQG/aJ2Ks0fsvjNREkXWCI5Z9l0YXBzDm7FsSJN+ISVnJ+WsMMS1dk5eyjJl6R/sqUkbrqN
kT5fNmTs4rF9aqQKOYVND4Vubae5HP0ybjomA8lLSZM1IDDv1a2Wi4GoYPJ1GiLolPOcTPpnV5nX
3kjmtk1E70xEymIxBYY7+bAo64DYhvNHYx4iVvwNyngK6W4gC6ZfLhASxME4cj85KJsn9EEewRkd
XmejMNEd6E9lJF493K1IYhp89OCshTM8qKZ/kFP+Vujp7MM5hmteTA9mKOJNlnQ11roKgYKtxT7x
5Ujt1+suShuLsnwGXpLuaEnjHpAOdip+js+J/ITSYzTtZyZgMzYnHkdNYDHAwfkpDUkOctJ43uKY
G25NBDfbfIpCrIz4SWevGw6KaLqTqqzh2Ba2u1J+tGtK7pzwlbq4LrV63ulk5Z2KmNAnQ8vN1060
n+ahsS+FS8eTp6ZKOEY2WKvTLYAmc+tky/gSOhV8IIzpub1PpSqfsjJ8KiYs5VuMH4T6ofHxpzi8
kmX2ianW4GdTzgHEnv3FTLY1MLhAQQ4iQ9y2cVYmqCJObgVTzXbUVa7FN2UFMBc+7lOlYXZk3olP
sLdepnIm9680SKwijjbIbfoFDiaRevHsXYFbbIt9MbzhFATDqOTxX1LjtRJVTQOs4PA+6MTcGWJn
OjjHeBfhpl94DBWO/e3EsPla6k6/nwweujlznh3NvuoNNR7DoXnTxuZC2tnph03nF7OGdZTwY7vO
XSMQPBedIGJCoC8/jRqS1JY9MEs83APZUAxhOoQT01ViqfMSCvs3vcmfRYHrq3lsaKBRdIxM9k/N
QU+OfWnP6GwJrasAYJFhl5sMTHFk/uaVfu6C8kp4uXBY0kU3UBX/9Eqj40xmihz/YEBI8kJWw3U5
TqFp+yTxtXhMGSDt/vla/rXVtO6IvCYWLdt08Wrxd671D+3gyCy92G1D0gWJpKEMGx6IF8p9zSSW
T7Nyf/28SM0umpbV7Z9f+m8jo/fX9ohIWIcHgrb4X1+b4cW4pLNbHtqiIUgIN9XNDHBmXS4uCFDJ
Dro3vY4tYWGgfoZTOpB23IDuB001v8awzyOYcH1E655q+OAhffTTnowGdyS3jOWbbi+Rrxw2VJWe
S7tByTLcTUX0pFsx45BJXpHrpPlTVXl7y6rqjxGWVl+6LA///El/8QjBqaSlKGzImobx04018sQr
KkPSfDMIyqv0G91bbvCBqd9c0TUC5OdvBi9ERgjWO4h+P2NMvFG4E7/Is+qhK20RWc74WwM9ZxEu
bS/dMvA6d5EobvNhvnE6vbjlYANkfYne1MC6vJYqWDYyBHTTRaRB0ffG/kHz7CuzGfaxy3Jv1UmB
Bw/EtpqM6TmyjHlfREZNw36G/603xM1n09PUsO33RiJP9BQLjkAdCrcyeQsT2kRllnMXJ7faE1X1
FlbLkxv1u6Vr2bxr80DH/YCmhqBPQlBX/ekFB+TcN/rlxpmhiDKKFzu4ap8ai5aOI6ix/vmG/WKF
YXBEH5bztkMn+KcbtuCSVRLB22EZ0RVRTkysbFZt4AAczcM/vxYV9t/umUV6F3fLcdALrr/+wzew
MeaE+f9colQY7mSbnArMaL95iV+sLKixQJyvf/UIZ/nrayQxrphc1/EKeEONyY8gLnw+r+tKz0ly
3ncNbjxDHjzNuBpDjxDsMj/B/fjQpulnAgPLjUEnlqNnah6GlE089lid6rk4Y3J6W+wRPHuYZIfc
tJdNyiF40yNovcwTO6CP/Oh2/Gebc95RznQnc0RsGxCKnY/nqd4ZDZQ0E2TaHgw0DRYjebOAWGxU
kp2HKTtlVjSvvjgKVDFS/YraL0v6RoPe3VWlEQd0v795bf4l3FX+4hvLvWBsq7MOS2kZf71gpVF3
UzUX5UHkHBSGuEj8pAPubKDfOIuYK5BQbtGIda8Ky8Zx1zbkYojiukt5lsMMwQ+xI7sxBIvVMXHb
olJ4HtPaJL8Z5DaBEFdEvdPsCi1ykY0U8gUrUc3QfOuk85NujK9Lq29IXb9nUk5VpfjAjTbts1h/
minEiLaK672Zj3uvHu8iy+7hlfF8ypqFr7UHYv80eN1FmHt7w1qevLoZvh2T/+VF+sWXhD1j/UOA
3zV+nrGOkWICMQ7lYURwQYnDmH/k7UhscWEd/eaOCPETomndqVx2YZY1ROmrGeCvt0RJc2aa2RNL
hxkyEDbDBDdMTyE7lSe4PzhKgJ3MHJAGg2UqTakAoxx5BwUgkXs2WEiPMEz6koGHo3CTrHSTcnZJ
shKX+OCvc4+Wa+xR7U9lZcJObF+LdLmb8vmicNbNmMcsMrOXcFyrVMyT6aKfVQ9HcKoMn3I1wO7m
knBuXb0fLxc5mVtQRobvNaTQaPAh0nocdnXYdySHdfFxQmD8fggKS3JnR8zJpxJ5Y9JxkHThrfmL
4qhnLeND00WIgyQJHebwYGTiBq3qyTSp1gRh56gZZjrBtGkL/ks4rA9k3Q87IZs2WL9G7WTBAh8f
7Gg9QFiZxveJDLNcUS3heDxPsEC2EA/aoNGsZ5WSlluS1H7pWdNr00FTR0CDCiE5JyZnFm+iFGf+
+ZzGA1JmaWMVBSaK8Ucb0tMC2h4HIl/grstPHIr3RcjOkkQDDybfDnvszrmwPsXtWJ4yYUFMGbam
0cz+ejACB5TsRwCWF4Cqr/AuPhsMNH6zH9u/+HpT6+CSB/nPE/UzOJrGZqoQJBaH1plf6dHftTr7
3sAxi3TZdLvWX+9H7Wp1u3aAjLE48J0vYzjGI4F4KuXHVGFus65MA4+xlTs0pkOuX4Sy1nDLwJv6
+ZCLVuOAltEij2QSwDuNXjE1eGdEaDFJeOyLsBcYJlP9+otDpJHGGpN289NgUm7pjVn7cHt6f4pI
tM5dKuuIgyH7YWzScYeoDVs27R86NPMbplp3DfM6+u35eej7O2mhC69yewqSJoMkOwLQjUdMD5gf
C6EtNGrnV7td6l2D3MrhdMDczr4a2EQ4ZPYPpo1Yhmq+c77vr/8ZYP+mw4a2QLBu/Wsr1X3V/wsr
1Z8/+r3H5v5h8VvRd/tGeOcB/7PF5pp/gCWnoKCAYchNx+z7ANu0/mBuzUQZj5MtQcBRJfzZYzNp
v7HXWXwlwOoZKxji3+izgYxgLf7xhIaFSrd0SUnP+xDf+nA/1DQ9zICySZPqMEF3GwMPCitdCIil
+xgD4A5muOz9MkrdWy8xUZMYSZlcjTaL4JDHrrtlRo3WPUzMD0C25hu86uX90NrhJ+ImMMsgxqjR
Wi7WoW5WdYWn47aF7cnmmZXV5I9TZhfESk4QhGOm9uYldT72d1FxXsylZZ76ReUqUF4SkW46z1R5
GcO2abvA3ntrC2BRGI1mucu0Vl7HIp1usjiURGbTDwh0pZmnJpzLYsMtKEnFMGOAq8PUMk2oZvts
aE1Ys5xhPOkL0zyNi2seWTX1koxiNXzUC94UIICw+8qriGHTyJJRRdiTKAXxTGGXdoDCfPPJTCFH
F8h2XUWaBCb0Q6JTuAaIZ4u3hBt+sEL0+3ZpYcwQSxJ+WWyLFThDvvuhXlBxAkmd2g+yttoP5Qia
3st05lkTkNKxD8uHunWr6w6exXxBdk9kwSqiy0IgmgMCNi9yEfq6UFill7h2b4mfnAPF5sE6JcKw
2OhmwqhFppNDCPNSfxKR696EOZXMhrVcF9sQtUMJ1XWsdo5bANoA1TbVRX1NNKp3Y7XxiimUnnVo
uX67oVLeJbHvQHfieJWhQvCZ4qFA1WaV1T0acPdW4xzBKYXcLUZD1qEQ7EnsMdguqgznCki3k0ZQ
3XHqneo6axQau0UWc2A7qTjJlukVqsxesjcbVnsgTKTjM5PCZpaJ+kwOhvrY4J37UOuzNElaZ2Du
W6BKvgitcAOskLAX3HH2bqca4fTMrnzPHhXdkkuKbMmbAOX51mB+ooHXIjXLNQuhcayNLyRugwBr
hXdZ16YT7fpZj05ySsvkAHe1W45gLThMJWGvXRqIZkccQk6BsQJFKxpmUATdMbYyi/HhWPd3xNtY
cLbMCZW9qwlzI+gMPZZiluf4m57UfBeXkhq2Kk3td9lpBI8ZHYL2pyL1XZ46v0tV1apa1d4FrOCk
EbNm78JWlFOryhWxjLuLCC1A/RrSyepO3bssNn+XyBp1izgWXicxpuWqonXCSLsH7kaLLAvPTlEA
dFpVtzHy23DV4RK3jSQ3/abPNb6pdaNCd0isW1W8lqkDZFoQ+uqrxjdc1b76qvvtTB1Q7xKNT0ln
JFvNi6szriaF1qO7S1ftMJIH6mAnNQQx0jxDT7YNiPrA11t7KFf1cdUwM9owzC5qHMjok5NVqWyv
mmVqtBb5csl7OMx6gqx56I1+O3fTypnW0yOxZdZ29sq7anEvO1B2xxTsFsKXajqNCTG4DqkptJZJ
r1cVDXdNal/QXwSK6alPFtV+chnUzokhNnTWnStMUPeY7yK0BOMeoIr1JJoVfdL3PbVsX12Prn4n
TNNgJMBRWGupGyKJqmHIQ4bBaG13KPj8NrXKC72s26/p7FzpixF+hDY/MqtT+X1pU9ymQ9UCpyQL
W5L3dUPUpblTq5Z2TNATSHu5SpQ773Opd34ct/luFkAcgXu0vqAfQM5WU9UI2pePFdHKPsaK66Vu
zt0IpRrYJt1K7Jt7FZbNLoWscAa7Nl7bLYjKpK0+e6y2+zIRbpCEc7hDp5vCfrNaf01mPsDdxpUz
DNqacCguiJ/FculEn6rEaLeR4OSTOdgWDK+vKEyq5sOYqvGgF1H3SL+n48EYtX3UTG99Y+f7GW9E
0DUongdhhJ/MzCItCCGAPNqpLIig4JRxBEc/Zih/pHVRYg/deR6kTqJ7sEPVfSZPLpGO/qRpzm1f
xx7jVramtIC+3FkSFthgLw6J06rkbAi1MQ1clXTQvlT45CmLr6xVhOho+vgK5y50+SqrOJsQefRc
o/rfiZ7DdJgY7q7AvbWvlgFTL7lDH+C0aUE34CWuxnK5AnRaMagem0NhFu6tyS+cEYZp1xylnxwk
xLovPOw2UbvYV42BDn8DZy4TJ2tKo0svK1yPHhn627xLesfPDKrGjbIBd8oRdJ/VYdkZDGFemdAH
N6grp2aj1ciuSY920ds4GXHFML+bGjadAmv71NV6C3+0LdU26YEx6maz6ieqW5r9+pWZEqnkdlzp
PucxkNB6JqP1p3VoY6As2Qyt1I4N2MuvJlO0r7hC6MNhDcMP14UIQhqklKeSNokJ5llZW9tKxGMV
98NdDCfzywSrIKg95V6q0Pikef1bkpTRs23YBNbNZDK10nospaXhQWlBkJjZmg6B8n6ZVfgYNXJP
g/VTaPevrqGs/VLJDucqaCEzmZ/nYfa28O8N1E3Niyqg6Q+mfgRSlAWNMOqvEWlwGE61aosIMD0M
BiM530AnxIAiFDc5voEga8fsthT2VRlBLKfF1wdFZ4DTMyJQef4YNyORLqJYrlZFHyK+9guxqA+M
ISilqC/oxoBoMQecFPgmt0wXgSeSsIwXwVJrMaNcv+NUt5nY5QISD5IXI8seNMNmfjYq/VNsOMjA
E9f52ojmrh/EW8jpw20SzCSa87HEtwbDD+fmlOnOyZvD5bLWe3i4pvpYRZwFwAOdxjILWTvrOoDX
kG3daCDedZqLoznURwA0q5JGPCbjnF3mPPNQ9RAUiKal1ZB2BJvr6b4Z8vpUddO9XOJ2Ryx2yWQT
BUOcLl8wYEm/M/vqnrb94Ccw89DAFeZMP4VMR4sxEBa0ttiRwlhsGs19DWEx4f4KP+rKMq9x8ONk
cK1bJTqeK+u1MApxxNbLoI3Y0AsSMauLXhlfnWKEhSS+0PUkOJwszRqXejse3BpoTytrGSQKCs/g
2vGeisW5E9ocbeN8THc61eO1UTohSPLq1HDTSdfFKqlfxXMrfTwDPKJM8IhymxDriFRcmXX6OBFV
wVQ17vfoGCxi1IyyuuvjHlwXR0GHjEcLli9Cwcm91FRrA65ZnjqsoWuxSXj6deV0kS9Hj1Ne9WYl
EaqJAsixpl+HY3u95MmqUgGhg0YnrYtPzEWRbbTTw9j2N7XorjutPFOtIceyFzptHe4vkiIzakAk
gzOGdyR6OYGTlplYjKocaV2Wqete2oUqkew3G2N2QI/Q5lpujKbM/gOx+T9JK9bTG8et3x38/q5c
/vMH/79yGeUCThumNpaFTpnf889z37tymZGYiQdHOt/gGt+Vy8iTJZZx1zSJ93pHBX7XVhh/kA/A
FM028e9wSvq3Ug8Nc+3B/XDuI2ec0yMMD+YcjGKZ6fy1R+fpyIXCUGkXUorhFtxNESyysY5FvmSB
Q3DLVl8G487M7YEYD7kEgkX36AqXqiarxoeZc9uF2QJ7wUXs0o7QB2uDxLf08dGmEODKOEBlfxcx
JJAMnzehbFBaSAy+fXYz4lFG9BXhDwUhuhHQOGjMrk2zgqSZVmY6sXkyN+5JfGHKVBswY+hnXcn/
Ze88tuQ21mz9Kr3uHFrwZnAn6U15R1ZNsEokBe8i4AJP318kpRZJqamrOz6zc0QWsxKJDETsf+9v
T6N8gtLGHhvgzkYNovxsGgOZWueZOdRvTgu1HAjhvYoUm8zG9/bd5Ln1ysmH6iHLl+GEZZZCkCBF
eJy7qtjD68w2eVnPVwo04LFK5mqb50t/ckUc7Xo5sHqAIvTBs5nmjfANeyZsqOLNOHM2WgVzx4hR
mbU6LKS+tmbrss3yOu/KFOEB0ttDa1rBykGeuqZJ+1zHc4UMSVQvCcntFmmhViQp411PnHbNDdNs
w9oSFPcUWEeIqEF/Fms+rIpODpfyMs8IThWS6TpuONMNbtDuZjsBRTbXjgWPWnKyKcrlsfN48k8q
feHYaj/jV/GPsxuMr7XV2KtUdqT5ldPEN9DvbHNbNmkmqKkxUss8j3XsLI+1AA48bLOpCY1PwE0s
1HCCYsayG3CQsS2v6XRfYyglN0zVK7R0KPskhpw6vIkSsrw44UCKc2gfO5RFIqUHhL55H1Aog8hI
6uV2rur+wWC4xVMkM6q0X4WLdEY8B5l3FRQCHJjFVmxrFAunWAzDLLAgw4sbQ1EhZiCizlDA9s1X
a1nzu9Os+Go84x/SNrT2qyktiOteW9S0XU0sF+taJJtMO9kEG9V8uo/p59zXXRMGyS3o8nGcdlGc
msOyd9k/6z0jRz7/eTIHaT4ao/Ixw1HpXVYRVmX84/bOZHDEoQLIXuOZ8/WUEWjrdngMazo2StP6
QAZ9vp+AKlfw5GqivWQA8mZdGMm8ySh+i9cGrEKNRhiNl7TwMtpYloD9X+9X8zW8PnDbddRxTkm6
Ba+PHT/UgHupLgo8/JE5AdqXmALM6sbIlW2tq5YS7mWc/HGHbWaK10OXYg0gr1efVG6lh4bWpC1E
didZY2pVjwItIVnBEJ4/FFkZkbjrfOetS117UyZVctulqrv1uyxk69uieKbA9ff8Aub1YkpvWyWd
uZ0pCj5kqm7vfCnqF4y6HM6CztIHGgVYY2VFFrTIPI+PaUi4PGwDA+lc9gHGxZ7GVCgCPRkdQvB8
5Nif9ZiqV2AA6FpKTdmzVwrquy5sk33QufQtj95tRGfWU1yit7YcKj22wMnyNXv0HyX0n5RQl135
zx6Iz/17+q3HkDGC/oHfH4QUdgBtM7HzmX8Ilv/zINRdwER0oB6bJGVQIf9HAXWROYHoWhfn4R/S
Z6BjPaajn1ZIov/SYniZpH77BAzRQ6i5wcLouEQ+HD00+0b5bNh6pY0K1XUERIZ68ZDgr9rRuhq9
VJXrHIsZ8j8oTaAM0nPRlJRiL0770p3qanEQ0O711o+5EBHk7QXFlCrl3ZGYkSbVZuWcxSGmFxaM
EZBr5bvxxGKnCKavB7p/I/c5jeeoag9YxvEGJdPIs84sY+M2qtyxOrEqsVFfY8ZsQp5sNIIPhwk9
eR6PSTBYWXyMIXHnWLhCCL3tyEV+NOomsDGxgZna0qaH551r6Tq3IQydtcnLQrpoTR8app3oUcfC
Y1JULmilqcxu4qpK911gLyA5az9+qitIkUvfOLTOMRktsUz+Sl1v9gT1TZCertL8fm68m36mG2Bh
D7xLm3h4jyx42UICUlllhYC7a+KEj5oRKYKJ1MJO+5RzyPJYapaCGgbsaBAUzqDmdEMvWYH5Jk0K
enrJA2iGCuujejSUNVDpC5Mp19ju1rODvZ3p/fv4tQbYMpPYYvWtirEr5gfw4Jm4bkky1XwKFV6P
ajxebvP/rAj/tCJ4TCV+tiK8ZCJhDvD+3arw9Yf+mIow4XBhPDL1YFwMw425xJ9jET8ImEgwmtDl
nd8C5iKwdHqawirg+zZLy59zEZKCZIiZyftAs20b9ty/mIsE1l/8Oby8A0jS59Hp8Vz9wYcRjjAu
GpVYhzBUNUGNsQnXQvNVllp1hEgcnnPxm6pDICyD5rFQp8ZxUDNayOMON05D7o2SMWfnBbEVbwU+
oLtUE16EZr00NSErQibhsYv7pxj0R7hWQ/duOi3fmI3gAj/D4Khf7J4Fp60m4E4jw4rPXlzDqErp
FnXV7L3XJl0/a6Qb791paXtZEduNXnq/Mb4UczA/o/VV85cooAE4P2XSnW7SJtgKxudhMudnky0D
OOeR4QLTYfy9q8QYMFv1LDqgaBvjyXA9LAyIAuO2DUFtBaiVK1lp32RgO/ONJWZUpyIN38qiDMkg
UZLLZWls+4DZJ6EdyRrWRNr00oaotY0BWHs7qzPdFUmFX91qqc/JxBDHCxd344F1+yhyXAOeFbs0
SdK6VsbO9GLbbC2BxFkYUwj8seWr2js6R8xgfxEMWRSNV5rhCEjjpXpmm5DC6CeNT06B3NFLKxG1
OZXMBJUXwXwEJnMMoyGOtKmKwsrevu0YcMHCYe72JLrQfR9YRjHDlFP76iYuB28NXponR19lGOPJ
CoyW9RQVZKVBAqJiJuBGGMS0nmZqQcVkWqRhYhJReFgHvSTR4wCsrbahh+C5CtMIBIAhOthQUz00
Zwsyr155+Z+llfO5xq0v/BXGBf6eSit+xnNwbl61GiIFHpxZi9dXUPfcEFqSN/go3aOLPFqmCeSG
CyMwbAoQExz2ohc6KyGhiFCPDyINBrMtT5PvhpFBftCw0537CFCWRi21jL/k3u3Ro7B/yeUc1Zwj
VqoC1mcnELppaF94Q4G+KDDkiVj3xQI+ywgVv8BE+UqyDRK25OTLYiB9kwYUJvFIfYenoLdvQvgI
7iYMGBnexKNGdskei/6xb0cwDEmT958Zh9BWgmzL1hEZDWAdhZnlvsxz4Az0MeBHWCFh8wdUuPPP
z75+8yH1xcsKogRXUEwz/2XpIAdcoGLznPKxLLJvX/1kMNauAQAJYr1t3oUk1a4ur+gHAxSL0YDT
BmGFe7MbqXVd5xOAw0kU4Dw42ifEcid7XPZCWO67SW8V0KBkbs6+KdrXDprxuOq8WRySLPfc+wvy
rHDYfx9J7GPfQNsEGdfZeLVXiVPytlSFugN2wP/g9rkyXi6/ZchDNzmUitDPmvMdvyypQ+4ygxKC
m0iQwCOTJh3yV1i7IDnqMN8jWn9Dg22pP1JOrfqa5MqUNz3JVapqoNwpMPfyJlKatfGVz2c05PmL
RuP0sEIjLE8lK1SQg6YgemSpnaaU/LYsmtnH3EDfU5ZNVUziGWG1b4aR7VBgVfOwTttiBn5R9NOm
j2hARPImUqDBkSMI9VfcyZypzWZg6lOmdWWtIjdqr/qQ0tPWCxG7baMbV9LmIDRUzIHWBI8C3ZcS
n/NIRS98mH66AQZsPeAP56hQEt177d1BxjuGSfPjyF28z6ew2qHRUvUyJh4QoV5+yg1G4LgzoB6W
UTk/hr5RrQMbzXhli0nwZrgAVz5VxLy7qqBRYGk8hjb9JEpn40U1/UFcMrZzc+QFhwng8KeuzeEk
WnUTOlt2eMxpbMlsM0ly98iYkuur8Iq/iCBgBRm6BpC5XU23k+W5W3dMbA6RPS48TNlWtKqE2x6d
WTeRlWGaQulVCSJ1Wz+UI8xrRhhl3qwCGmOfo0tqeBLqixtUzikmR3LIicp+Lr3gYtKcgx3lcPkV
DLLsi9PN0xM+cwUvvKYgi9byNaffZ8Ij4oXNotwgH/cMbSIIg9QUkaOAUnll0ZfLf5vrnRkylq1h
hn8BU8ZwFJawPIfeFGhWS6BcyKex80qhlaQvjxkpAYDAoguXJAl7L4/06aRLKueebsksXoIrL+lQ
U0T1Be9PijAfokOjlXdMFfo5vKHn+gF6GelojgMoIEU4SuuqBGjR3S+uwwzfjPb96M+7BUjXRnZF
e439G8K9McR39ShYTVSA3m0wf7Xq+qOTTHjt+0guyX4cMueqLWrTfo5bp3mZ0lI8lpN7l3pjB4NH
E0cSSS8ER5THOoAGR2FUH952SP8HPKAUpya4BBN7ms9uHD4tie1/GNAH9g3VWmLvTXUT8f3gLHoY
xRxtMVUc5jZim93ad1KiK/tVm3rb0kxNSIwLbXRx15v3Mm2a7WwHCDK5sDBhOYKY/kg4dwsGvibz
GKfTW9zOVbm23MFD/a6GoTpQYFgOa8Nyyy3VOs06nM3+ya6L8DWzkfp4FJIfHXJ3AEVotMfRd7ir
QWy+zTzez9ThDTfMPt4mEXbXreRQAFJsbn1g7nF/hT6db0Z6zx8VTsWzmnPrvrD8/reRBOibipKm
e597sxzviQHHsEhIEB+TsqjhB4qPtlri+zS14k2BwW/FVnC+GnsLPDtSwBj44jRIx7gVove3wAoT
So2D6gt2xfmq0/M6Qqf2PSCv8TXM/HiTVKl/F7WRd0v9MMVNRU0MlFhz0N4ERlxcw4O06006mMa9
WzTeJnCHacvlClaj68+nVlb1GyX3zAWa9jkeWvNUmOKl55G4BYPlUUlnvloEqvMpl1eG8tyP05Q4
6HyFEmsrltY2NtL0LBNaYh36ja+HQBzCActZEdi4bU3mtSAX2tm9mtLe5R2GoB5S1yk3JEqGnoef
AaCWW4UylatqCskQlNaHOHdJ0Zc+QxSbHmBaqqn3nctyY3GuYy1kAJLONMcmThQveq6MM9vnEb5D
Tjah5dmtcx8mrn8XRqJ/bIQLKlwwXOH9pP26WGbypD2VWqLwVu2QPPtmhxbJJHVjOTPEL3qTd1Ff
VY9ZTqkZhpG83NlACsiNlDnDGnM2VkOPXWWlZJrekQyC6ueY6smk/eWspGN+MAQ/ODIzuWYFGuH0
0WG26avo3unNcd/WQ8r/td32zBCxe0i9qhzXzI6m7dDU2GjSqaEsws2H+yzz6YqN/SNTdnBvRaKe
getiC/Wq4SUdUjqZKwqXPYsGyGQek+eRQeMqkDMqcyedk99W82E2E2inJCZ2/uDzOfRIfCA3K/z8
6zAYiBioIvX4JlR9sW5nD55PNvB0LLGVrrqgKhkL0SfWRrzxsZ3FI6PTAJBCF+dbHodMpoA6b6jE
orsyjlfmLCzQVVAEVtDQ3M2iEnkmCObSAZ2q4TwLt9lBMZqZ5bOe4rMAWLAOWG8+593g/8akZyKm
5nvLIY368lMbBHBNRRRvS721YvoomMopIj/gBpo1JfQ+FqMO5EE9UkUyhMP11Fr2JgaOpws8RqgG
gX0GJjXeLJConWeebwQKagIx47qideEu72n7kYXH1KuaE/+hjCB9rj0jEivcsWwL6sn9tSABk+wi
6tH4ApnsBQvfKiBMz4809cxXdSHllqFVNDM1C+N7yTbgmpxzy8qrnIQ2m5G2zMXB3RW70WsyWM3D
EuOuXlVJuuuKQV150vNuujolAB11nbEZGm84OU3Zn2fgPvuwzuY7y+vlUzpVp27qzm24zJsusrvb
Sjbyk89quR/7TpzQAeO9SMIXNmrTjtbnzRgI9z5HdyhX3lgUROvJlJQnUPqk5rJooUUMbmCbr8mr
Nzm5Ln95GByz/XUuqpIetsgux1ULFXbl1AMXxGEGWwzCqD4pjFp3RqSWWyPFB7tNWmaIv4Z9+9QO
qi6ClcgGN7b3lcHidoxnIhjY2x4aq/zQQkRNz3XZBfGVU5vv/RS11zOq7Yp8YDccIUnFOtqlim1Y
5GnwEF2AnBloTtKjK0Ea7a5poXbqbg+B+cFrpw+LZnq6jgiT4I6ER3fH0+/Yf+V/fnOSv/sqkP1X
PVR3DT1O8v/+H33w/UY2oy4K6DqjrZCZEHGgH6NABZsl+jTNBgKTPjoBrGSbOCBvJ1/Vlf/VtM6A
7K8vBPaZJwKzMtvXf/6NPhcKNvNdyQuVKXhdzqkVHty6Y6/Gx6BhvBr8nkAl81cLC+5XtfdfvHpo
OmEU+XB8I5j1P6iDLXJTYCraR0Xe2k/+hM87gxPHVqIUh4YSYaKpfcB+0JgqdvA/v8bWjw76yEQN
tU3ybDDNaPv64b1PuK0Y7wiqZK2Wf32cksG9DooOtHcuOUG5luY2j64i0ZpotJwp6oEzQJ0E5SFx
Z+vp57+Qfrfff+hElBg8OkS+LZdp5vefBfgQ/G4Jh5lACPc4OcgPXgZveVHg5SNh/RP7zPvR9g27
ybGYdzIDNcl0/JjqYO6tUDplc6jpuLvCyNe+gq/hNjB6sBBkvD+lJWmQGyJlAylugQtOrSVVn9V1
7uUghy84Qr+rXXFbCY3bN3w4zwLC1MuYwmEeCwxNK3epY/bqlS8/m5BhI1QcGi4ebV8z+LsZIGQ2
gBHv29x7J2g69Y94Aj1J/snCtLmufbTlNwo16IbEIMEpPYk94N5OopnAPCaeqsAB91wq+Zl1ov4t
XMb60aFNkaLSTvL3oZy1mEzdeaYKaw4M/cA0OVVbRny/GHKQ9EFxWtyHCch9xV8Uty6gbn8vUgu7
uLRCQO/aMXWBSV8+9P/Im/8kb3LRucH/dwfAhy+y/6+/1Ti//uQfGmfwC9N9H1gdjag4tbWQ+YfG
af/ie4z5oU5G1u8QhT8sAOYvvmNiGA8BBjghbMo/Nc7gF5KfPuBGzTZjZhH9G43TD3/8klHQwoQF
zGFgaazej+ncRLmc8fMkPcoqGM5NWHtkDzGInh0w65vS1WpWQfPEA18slJ+EwplszjZMMqdDkQqD
zTnRqJ2gfu4xCvk7kVNGLxmo5D3gUuaIlx0VR6KOkbHeZ816ywV1IBC7IR9ivdtw2ZVFiKj01xWe
vxkjVWw8vYHrKHJFuR8Q0VQiGFiEyTOWIByxowf5KPJzALDTi3XZGbqxVM8L00IMOSVSxWiYm17v
JRO9q+wvG8xZ7zV73ILjejHi7sGDP49cRvPWRpgBO9TGuM/iNpebdM6ng+Acdb1Mql7NencLu2Q8
53rHG7fK2SFJpHd2JIloR4t+5wgxcmtXPvhbvXcmDc1uOKU16zFJPeBbepedS/4YTrt1jqzsGaeh
p00A43Xoql1I+9fa6Mxmk3AWSeAgu/1jgbZwFzeWcx9ftvnNZctP7xbpsTI0lk00xBEZ8RHOsD4n
+JwDN/zOxcaRHHHcJqJf1IAkFs/Oh6Eo2oPFoSPQpw9rSG9BG409mXLKWTcB09W1603uiujL4l7R
F61TQLXPTB7IPaav/hBNGjEjFZvDNlusrTHacNByxfFISEoc6SserpbQPvQcorDqehi5OFcVcf8S
18o8RZN4pnXdxQxu1m+6JOlkpWwV6XxLN+RDt4nVe5syT5IH6UKJZv8GnwhKNKn5yzEvopswWNF4
5t8mg/TvCseIN0aKqyEWsX0PPS/feomPlWNpv/SXwyTVav427rLkbuFEd5oj9ky5D4Van0NLfSIt
LY6VsPXie8vpPybMixBVg+KIxYrD7HQ52M6XQy5cO/lmTh1mxny07jnCe2eSPc5j4RPgM7x6YDcr
O3/dUx3Zr6a2Etcoi28T9Rs3BliDrT2ZX9y6eiN+h123wqJxHPWpvNTnc8ZjltxUQoWvDBSGp8XQ
ZrQxLrd+F3O8Xy5HffNy7I99Rve0Yk7TG1JvY24oHM7wK+JUg6aktYOFT3nrBTDJM2JTJr1QqAyF
1hvajtEHVk8V34/IEXRBvi4yejXFsBI8AxlVmAwlIz9ro7UbsDHfE+fmvKpFDqD/T1BHv5g0cmN+
1lKI0KKIhyk4vE1LGIK07GhYhW8TbWbt4F9gauDI9EbCcgr9aDrOVk26oPHddF4PiZzsa3mRZcIY
UsJ6EO1rdZFthFZwhCl3udZ0sNQ2K6F1HnVRfLT2MyACccZKKYvQwpC92GF1GGILTwZ2hvzMETUn
iyFR3Vez2XjXEl7VNnCa9JhWsbXtWl3RGFBabAGs/uCKSnmrfjnTSWUckl6m+yLkIBD7trHzYszO
kammXe1CwgdVUnyc0eM3FR7nc5gFOxeXDmlPBpWks91iBa7cu6e3pgDMir/VZ3S6DsfChcFUdae8
cPBwsL3Yj2SJ16NVJdfTSDZkPeQLlKzS9I4e+vs1Wo7xMuF2HEpC20WyqUoJ9DRLmnA7G061y9uz
r+aPpBj8TSOkfZyxym49/ta59Mzm2iqdLlt5roFpuMM1Ym48PPXBscBuzkolunsnEs4TSc507YN3
26QeIbq1ahe1j9mIMrUti+J10YBxdw6mMyM63NliZOYTUktPmydAmyASO5vhCWGS8aZcEvUb6BRw
XGMQ0OOZ0NgYZC34iVh+cmMfG3+AU3iV+rWlcZnDMa5UuW7Y9V5l5fCmM7c7UGPjoV66iW8pOOmF
gtdpAlhXZf0namOcchu4gbxyK5xaY2I9JoEf0gtf0T1majJOHeb7MsBUzhntICmjWVk8YLd10Cjs
pQboPFGbR1Pp5E1UpEd/giTIfNE8+z2Id57Y4U7C3LoaSHBQ0RZkiHPlQ6wNm4FMgv3URjKkrhIG
UEYGAOkqRAltWXsnayw3kWN3x47MK1HrpOg25uzcCavR4SQbfDtf0eu0TbKbDJPpuqBwYQ2LJtp4
2IJO9MXEu2noznNVdWAAZ/kZaXEmaN9CMi9LFHPHYYA+uOlRLNGvIfLNMfGoRI+SYTsU06+4GIat
aSlrOww8bmhxP4ZCJgdG/Q5x4/BmtOKHXtaYyiuoluEwevdgdqqdoKU+UfnDYErjfkrzu5nregJy
Y/NtLG+SoFp2s1/gZ52zxDOhmEsfdiUHbpcql5qzNnw8wcTmGYQ0R+yB6/rQDVninxYik+C/KTJo
tgywMLoxwweW15uOIqJDAw6lmX4dLuY2jaN2eawyMzI+TtKe1SZDQ1/IAsEeMMeixo82F1YJrTFg
O64OrZc9eoHwc7JhC1sZSSP8zQjmkdsKDXmF5Qjx3LTQnFVjzWDmyJbd2tTSppuWspgPTjvMH6rG
nE9Bn1v4kmu575QxgaCsAvhGlB2PJ9MvJpb+suYacJI4qMrEHFmxYoaF4b+rHMgPhpb8hEBNVSU2
heohXAZgAWYlmVp4W0zz007ZYfK5swdjL3vqSqUKux1+OeAtJC5ojKlZXovO4QKR6Zh3dHAmL7gO
W0LnFbWhbYFJOapIVGdicUfMmliYJ2Yq9JX6DlH2xm2ds2iHKt32tsCSgl14iMh45KO58zDAA91Q
aZivZTAwICuY3ClJMRg9AHIcjhfRqkwL42h0nc/GLzbJu+KmiW4taKb9uumXLtthdYcjFUYLvSfO
4G8KDGCv4CVh38y5md+HqegeqO6Y6JPyVUaIJPL2khjaDjC8f1isdEazK+aRzjUlAg4+QvUfSoLs
m1hG1lWVhxq0xYf/EbQORE7p7Z0+HjpIqP2gtEbl8PNZDLrTgfZK6g4zIhDerTMb2EWVzziLHVCH
Cx0A2tHNXPMDCYp8jQsmTtfJ4ITFrlVuzcCp6E3CM33/kcV7IRgifbhd1q9uAHkeq7VJgo79Vse8
DWGAASoszKkfcrUSg2eve8gJ7dr1U9BDnUT09Yt02IJquW69idjKVPVX0xB4Rz8NW7WuadG7l6UY
iq306nLvIuduIz400PMS+a6sXfV5jkOgiuy5n3EeBufYTWumJ8DqqXpha7aJEyuJroFH0fSjgo99
5cgPKkYO8BPPxfK3JGt79syjQITHRIpr9NVpXdJqKIIcbanV41liR9dlrtQX24iZj0DIfWc9zU7Z
ZFhQiV3/4ziCr4K2WgVQCUk8hpue3BJePeioqu6dB1Q9Z+v5E3X18Lm3hUt6FIVx2HrzOJ6XYJxI
4IAVk1g6KY+cEAthma4a7IrvZGYgedpN4+6srCGv11otR2+4AOuqmSmcifsOQgOIVHs0g892bc9X
DPOXmxDK02M7YW9as57nwMEs+RTVZvkxscwyQWfPIyBbSXxiYGOezDbudgH369nsEv/eWXoye2bb
HO2FUltjARwO96bdqjqw2Pub2P+9mIkkw5+Cpbmqd5Pfenua/urjbCK5t+Qkn8DQOzvDFNu+7fLb
LBH0JmvJNdfiK4vECH4A/b0JRnsjqfa5drQfKtXCbaElXHVRcwst7DZa4i0uYm/GHqWkWYINFFJw
elGFg4tArKXisW+mz/hB0Y9bLSWPF1V50gLzf87//y9wRaxF2u7zk/N/Jj81tczq7/xNX3/q97N/
6P/CAgZGCO2KwOWFTv772T+yf6Ek07cBnznhJfn9p+sRhyNSJ7kB/sTGfcSv8Y3/P0IMQ4m8CIP8
hv/C3/S9ngdRkfE0wUzkNf41jX/8Xs/DWZUWg5f6Z841WBkrotqehalxUQpnRy+wE31zgf5GNf67
F0QMoffcwgvqW1pV/kbMLXjXrd1W3tnxbFDIutGL+BJh6DLkNufJc/Pz1/te2vj6BgPX53rRFYPB
7AcESZT7HGlo/TgHTeq/5xEv4GjWtPTwuvz8pbT2+ac2enkpPmo+aw9QPWrlD29NpBN+r8Jyz0U1
0QsS5OLg9QuqrY9P5qZfluglKAgdCcLfDz9/6b95l18jJphr8Rr8KOBMHSuHaQj3LG3cBnXIBGjF
MRRoxJggLv78xX4QpS9vlDvQivQmHvqn/o58+xnO4NHZBmXueWp8XggICVaaKTeZAox9wIO2dqjc
OuHJxwqjRDrSlGE1FEXOEGDXJhv2f6jo+OvbRwsL4SqEFq4/BgXf/0IY2GPq0GL3HE4cqtcX24pp
FNn+//O1mPZDNuUW5sb54YZKkH5K7L0umRcqBgfXkJ85W9Nck9v/NHrQ1/H7G4p8j4su59F7C+oB
AfDb65z1rTD8ZnDPY5z+9tUGYwNM+/mn+XfXjkUIKhAvxir1w4dpIjsEPZVG50WXXubhyDzhQpqx
Ft3k+PMXs75PG+lbxzd1jYqNHs4l/JF2BojcGheC7+fchrGyIZmB2y02KEG8eHfCrvDeCZTyJc0i
SpCgnB+B0Dj/MFH6mzsY7w7Lnqm/qi50l++vbGwzu4r9wj3PZG9OTlGj3HUxjb2tIblDu4gRU1HY
zHbUAsJqc/ny4rmiDzIivvLzi/J3n4CrAbeR/qSDHxmCBZ0O1A+D3Je4Px+wvE5UBGP9c0HObP/9
SzGKCDHO82j5yzRlbkPRiKBzzpnH5Y0unkej1Pb2UJvBfv5i3y/1LN+aGmwGgHsZXv319m3TvgE1
0BqnWOlqRMNAz6kd+lSXiwWs1ka5n7+izud9843RL0lDTqA9wdxnYKd+eJxRCuXatLhFJ5Oj+B4v
IC4sKSiqJW4+P2QSXzv7eRqlOPDYT5d6qmqGcgexvp02+EpItmtP/2UFIWXFeEYtNq7DODXwUWZW
808XCW/y978zD36y0XiLkfKBvPBo/P5exOSeuzMHuBPFBtWO1oRl12Q+vHJLFsOqMSs1J+sSG1CD
Uytvlb+1+MfuBRPfi3+L3xEbBGtv7CX958Wp+s+zXXDrRunC98qGXpRuTJHDLPEuZcocFdz3LqWJ
FbAoFc85PyYIRxwDDE8Co4iN3VE3W/fIrmfMJJBTci4grNBc3SVZaYitT3bxBRCSkYPfijvrYEmP
44akuHraVBFFUutSZLGzSnBY+fuy7niNkCt9gcN0Hf20K3d0ifyhVuKMTYGur1rXal8VO+1lb8Sg
Tk8TniyMxEklNkpYtHFxOu0/F3nZvcJXtttTZelJLArunWH3Bn5ORqDZm6UiPrJgAVZewOinaLEr
mQvXfeG/F3BuGA6gSb8rK6IS+zJX9cfRe69UYX9qqUU+YBTuHoTfVxi4cLAFWUK0zZYRycYp8njC
oKXQzsZg4OzOeDXdGDyXM9NIe6liVq6d7WOH6nAhKVI1Gtt66i/FZhGOuAdsX8uLPUIn+Vq0fUma
WLOQnwugjPbKJyO4XWSMNSpUgsrvVvFpGrECSBPXXOUqVxZpDK6bizJDxat+otY8qXd00EBpVFUq
cj39papSBQF3tpv6rkJLUEtwSvXGhLbI+e5SaGZilHwoQODMmNAMmq85hFo3XdZx16CaUvzt66Zc
tP4W+aPBBL8ezTjwT61eL40xwB0s3bEr91Qx8stQ30NRheh5LvpNyvevMRPazypqBW9So6JBS12K
8OIm1PXQytUe6SLGS23V8NswERrRi8S9xayzhzqNsInv3Qp5FvWo8XTIUrRhr/qaSdu6dZLlegGQ
n6zpo/XeQdF4734KgYaJhYhKDn+WoJZtsQ/LgktsYye++1aPY/0ULpm6huxTblDKG2uVG6UVcvQ0
xSkrG5I1pbY5y3KGTVQvzbAxZew/wVXNIEX7lBSvAlKONyED/HPlprB3qyKiZcSTSOqMs7A0Leqp
AGeGr4lcPvYylbEzQg2gOlTW9z0UHwxW8VB9aTzR/xa6S3NEJRpu4K+Ck8BeR1RnKFiZ1kvJwsUp
Fd9Nb6j2o09FodxJT/mfiNFYG0mQ76qRpkh2mBkCSIJDi6Mrb+r92AzNTcSYAprTItO3xKHmJmh6
1HMO0/uuVvHZUn3Q7UM5+a+QQgGm1e3yRg6pOQH0x4g3T+7yhlGl4CxsL4zXRz7GMPZAiBRT/ZYz
neo39YivCw9dsNebURScuZPE7EVlbDv2gBrLUu2qEG8cCxMAgsaMHwbUq2NddO0xFzAHlDeoLzE9
hFsK0w2yu031MStGGs6RF/DfZBCMOkkpciHeif3y/cgWg5rPilKUUVi7imN8LkLjBuiyyfLvxPST
FsJBhfKD0mkwwOmRB9AKtN2k0Z98O12x0w0PuKiVt6kzKIxuDBeTuVoUb3DPoZVisiGWT5BgoUuV
2V4zPLcEGdr1WMvdoHmmdWp+KgPZfKT9015lkTXvpEHpylDye1BLWd3zVIIuvrC8X/luN8EtMflE
g8TOr5ogqu/MfmjhUTCrWhs+O7J3FZMYMOycr4TUrWTbpu3t/AwcWytZzozxndW2/5wIkwWJumLr
6Wuzt9mPES7jAdt9OCD6bGl2msFANx27dKQbzPC2ZzSvseXOd5eq+EBhZekZvYQMS7yY1IDtki0R
JV8A05pbuYeUyBLEaqyRCSTdjJlzlJQ5WzifwenT2Lp89YfU6w7uDFjq4FkFfJSW21ZrHnp8TJfF
K93ECfu5dIAl6jR2w3c+lSAR0AnD9jfVju5KjgGQjZKQxLbO3elLFVIItAZ/6H2I/Dg6ijSSByqx
0YjrOcmYmFl5+qsc+/e89RCf3CxJ1gBrOvmxZG5mPAK4IrYW2ikyN3yztV+SI06nqTvkOEF2sIzb
5yWCj74CejU9M1OuHvyk/c0ul4+z7Vq3RQ9VnXUVgIUdAQdxse5+Tvo0+bxk2X9zd27NiWJBHP8q
qXnXkosiDztVq7lNMsbJTGZmZ18sokROREAOCPrp9wdIRsxtKvCQWt4ipmmbPt3n9OXfybd5bPDm
WPFMRGEwjDnQ58CcgT8qsoZuVxoXIKIAfJkmLn3dkoISQmgxUbDzyEw7l/rK34xWkuBZD7CZ1iBc
LmLyt7yFe3Ju2dRtj77lk1SJ3FFKzc2YHgh3vKLm9+tS9Bk57iukUdYt94RArHYL9vz6EpgnwnLd
iSp6A9nXwOJh1CjR921CYfnKxVyYEyYuLfv6xSZZ306CVvItieaLayWOgQEilP/vIuktmFdFESS+
kvLPwYoqvisTLNhRSK7romUmZm/grOfSUkUSgLZJvtCj9O0SzILWZKBHAESfKZi8U0ahxAx9UVR1
MhA6nYqnjutpN4yapCbao788EM7kc2cTb68jp+Mzm2ye/IrdaEXOQkpdXKQiTbvDvt9pAeI1SfqL
q17aSYIz04nlOafc1ud7Y+t/p8uPKU8t5icBfdsyOgvaKfvJVYKHv1PWKzmKg2B9RmfI5pLaqaV7
HJjOhOyjwvHCwbidATutiGHAzqI1nK+N9fVcXRNV9u4nXYDVMXm/FmkEBvLG7X5OhYoZpQoA8MZV
sPaSY3UZxhMSsb46iozNtstwsBXgSX3X0DGISmL7KgDXpyYjBU7nAXPudX2lngCrQF9EbIivcqms
vjOHQP7o0+Rxsk7pRN3eE/hcGD0d9BEqp0mo3RvHWpAYggrkrTPrLCP8UNQBeR7sMeEe64jqy3rL
OYXeayOktnkixmqH/q9OmLRGXRGRKRLaSjvtt7SQ2szA656upNFNhr4qTHkWo7t3E9dJfwZ9LZom
3YkxS3oRw3A6QY8JoRIYUIab+q4BGlJf8++A+lrRpuaAfHVuRMFd10nnX+T9EiyErZDRhZakjj/w
fTAInFSsNgOdyjEQ1bxw3AK05UTt9CbRsTlnzz7fbtKUKlmfUQVdyq/6TIwAhqelG+t/wNT3aZ2a
b+/HtH8YHeBqPXfsmS4D9YgEt64dppkO8dlS0elRTdw0/pE6TKXUixPs/6YWavdDsjGLJ3mM8zq2
w81Xm3nwkSwDhdndvKzzxn/bl14mtBszU1RXTf3YizIO5sKvxEmBtt473T2wlPP7EgXXYi5OPLP/
+qCZ7W4nGwfJkS+/6N10mXm4u90yaThXqG3Kjtb5VTxwT0TPCeHl31dI8+XvVH6BNVsK7xh1D8U0
2o8V09JC52olwJyz9FgIByT2hGC0aZ3lwKuYhRAoId0XAonsNpsLYi56gfxcPPAdCUHVc1SaWlLQ
O20Cyl1in1mgl4vIwL4U+mqbO+Sx9N+qwgPfkRQUhcBYTV1QgZg1kQKhrSd1ASnofWQA2FlxnwXz
zqRAjRCvrq4uKGzMWPi7ZY/GV3TBZDpVv0chM6svv96bFDhs9FjG9aSgtilXJ7HDcNv8OjCORrdN
kSpg2lR85hdxqfelCxpAWsRKa0lBU9o68U4SaRlWANeBdcRFaEjIJA1bSKFQvj+yC3/wpQePO3SE
O8t9rbDlUy75uS+UXubx/Z2HyYe54UorX8xcb/Fs+yHR+bHiQnLTt3ezNIX5c3b/vvuBjx9deVb5
q8oPz4UdWuHUoQs0G2C3Y/PKWuKx/3atW2tJyrB4csY77wXN/M3JXx8qfO69/1cIy8UB3Sw1U5tu
KLa+VyVMmL4JwgvLk5YsKeWiAP+m/LvYPL1FFEPLZQJaeIC6Uew06oqD/ic/tGZ+yWXGNUB0mI76
lD3PnkZiGlc2SJRAsSLrEj+2XSuxQruklLHNVMEGhF1u6o78uyOEEy9vq2AndMo0oIWnSF3MqlpY
bBfqSubM9kFoqVLGK7BRrkv5HIkLUdLJ1VsD3L784O36/WlmORUFBCAuQ22py/AnJg8ykLi6Iovt
SG3S3oxBfVUpZ2g3DTDtJwdkzT7gWXUZvnxsm8jkKw0QhrN4utiUlHK96CHl8oO368VnPxbykZhN
9rr1aY8s4VWsByHhJtzLyCJadDiZlbEODbzCkSWlNSUEZkdRRadJeutNiERMHTG3qkd6DpsNrPCR
wBdIP6potsr5tYEFMxKSdnMpgqBimwC46TRE3Y/DQ9KNMO570YENydLqZn3lvrJvQ+tg90RJBE1l
te3Ilb22qn6Lo77WwPbpyk6Ozq1lIEEjrSxM6JsNrJ6M/oUdSntTCiGzVJzLMnzcutY1Iz6yUzGt
uDGIZwGAJoj/Ar6hpLTjOztP1iYNyL9zNLRCH09ZXZxaL6uxaeYBjxGVVeoiGtiSjB1RlXgReKrL
9XjhsiOpnmqIaZkNGNlxaM8Po6ac2OtL+ovteXLjrq2DYwIlfWoDfL82dfzhUPq20963V0cuNfKA
x4pIRCKrOaqrMTdI35bSrlgujXq0BizjjZ1WT5W7MEpdnp8Dd60p6R92uMSzlTLNrJWGK27AED7Z
l73DnqzJ9E8Lv8M4iOrSJKCoN7A0X20qr8v8S0XrdWlvfDId88rb7FFeXX7w3O7+qUjTQ3T+cfyp
TMA89W/V4Fr2jalrW+HH/wAAAP//</cx:binary>
              </cx:geoCache>
            </cx:geography>
          </cx:layoutPr>
          <cx:valueColors>
            <cx:maxColor>
              <a:srgbClr val="7B1290"/>
            </cx:maxColor>
          </cx:valueColors>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1983E965-251C-4229-86D9-E55B945DB8D5}">
          <cx:tx>
            <cx:txData>
              <cx:f>_xlchart.v5.10</cx:f>
              <cx:v>Total price</cx:v>
            </cx:txData>
          </cx:tx>
          <cx:dataId val="0"/>
          <cx:layoutPr>
            <cx:regionLabelLayout val="showAll"/>
            <cx:geography cultureLanguage="en-US" cultureRegion="ZW" attribution="Powered by Bing">
              <cx:geoCache provider="{E9337A44-BEBE-4D9F-B70C-5C5E7DAFC167}">
                <cx:binary>1Htrc9RItu1fIfh8RSuVD2VOTE/ElarKZRtswODu5ovCgNErpZRSmXr9+rOE6W5c9MDMuRM3Yohu
Cpcembmfa6+9/fcP898+6Ps7+2RudDv87cP889PCue5vP/00fCjum7vhWVN+sGYwn9yzD6b5yXz6
VH64/+mjvZvKNv8pCgn76UNxZ939/PQff8fb8nvz3Hy4c6VpX/l7u7y+H7x2w3eu/eWlJ3cfm7Ld
lYOz5QdHfn5qitI8fXLfutItb5bu/uenj+54+uSn0/d8s+YTjW05/xHPsvAZI5wTFYfq8x/59Ik2
bf7lciCjZ7hCY8ri8PMf+vvaV3cNnr/+wW4+7+Xu40d7Pww4yufP3596tG98eXz65IPxrdtklUNs
Pz9925bu/uOTG3fn7oenT8rBpA83pGbb/Nubz6f96bG0//H3ky9w/pNvvlLIqbB+dOkbfaR3uvxk
bFve/S6Z/3et0PhZxJkQiqgHqZPHWiFEPRMkjmLCyIPafl/7QSv/2p7+WjdfP3uiofT//ldq6JM2
tvz4H1RPJJ9xBadh9EE74Yl64DRMwmUi+eWGE6c5/HhDf62bPx48Uczh+X+lYt7cz3dw6/9ULKPk
GRNUMknIX3qNUs8opZGK4+iPWPew9oPX/HA7f62UL4+dqOTNr/+VKrm6n54sxtb/Oa2w6JmiKmKQ
/INW4AxfZ5iYPxO4wgVhD1oRv6/9oJVtR7/9YEd/rZg/nzzRzdVv/5W6KbUuW1P+Bz0G2Z9EjEgq
vshePdaNVM8Ik4JyyR90g+tfe8z5v7Cjv9bNn0+e6Ob8vyOUfR+ofB3RHt35b6Izqp7xkPKY0T/R
19e+g4gWbtqj6ov+2GP9nOCnf76tv1bSyeOPTvL/CZz9c+D2B6rd3bm7/Wc4/BV2+/7Vz8cFQD95
9HuZ6EF25x9/fhqFnCGG/QGzt5c88ooXd8Nw96Hww71zfzjrV0/e3w3u56eBUM9UJAUhMec0JqGC
8qb7z5diCr3D7XgkuWCMUwCM1lhXALBHz+SGLSQeC5mUEQD7YPznS+RZRKVSYQyTUISF4o9K5KXR
S27aP6Ty5ecnrW9emrJ1w89P+dMn3cNd21Y5Xk2A/GPKCf6N3UW4/uHuNYod3Ez+j6KLCOou6I6y
1J8Kk6uzQJosKWU4JV9J519cCRkAaCoWNCL0ZCXdspatM8FK0TolTdi961ozJ1NW+PTfXwlrKBqy
OGJMbmf+6ky5C7LVdnV3dFPt08yH18PYVIno19t/eyFJZcRCjuVCrPV4oTHWRBm7dsdlqD/Vuv6U
BeWnCp//m2W4ZCSGxr/RkRPFOhR87o5ZMKm9kn2fDIXQaT2X/wvRwVYVcK3iMRAWsvQj0XVhw0yB
E41ZY5/Poa+TzETyuW2rHxxqe9OJ4UkRRSqCnohg8kR28djIwKmpOxbTVCfCL6+XfL4lwXLbjaPc
fV+C8JZvF6NCiFhGQil+cqyAcAPfNN1R9YPcxUNjj5Xss8QE5V0o8yYtmaUJWTL375uiFIxyCji6
VXonRi+s8ZEu2u7Y9aW58banCVdBfRtU+Nf3z7gJ7BuB8hjViEAagVc/Vt3qK7+UpumOge/tsfHd
sq+iMLv5/ip/ES+k+GoVhKyvDURKxcbAa6yiZn4Z2fl2bKb2orX/O9F9tdKJ6Ka6KczYYqVC+2Un
5upuNYFO/wX3Cr89lEI9IWEZsWJRFJ+Yh8kaLhvTNcdujMyuC8egTpbOzS9X1ix7lYVmR5Qlhx7l
4jG0s9lVmqo97Vl7MfZciHQy8byXc+5Ta9rpQ1yUTRpXGT0HI0MOPq4/LZLR83wl44suHrLEdusg
kkiZPjEdblmKrNmH9RSlHhnjGM9982qxKvqljiNzzrMqezc247Kbmpkfs3itE7O06myqYM91PIs8
HRYfNEndznI39jk7d65o977W7d5FcXvjgopdhGqdPvQZojxxAnsXBKtUzFxOchirtIhlYfYL0+H7
qi6CtBywnyBS7K7JcOh6dN3BqLy7zqPV7BxnXKQjzbIqIV6rOempU2cis92hD7N5X/Ve7gLbBWkT
4nRrg8DVVLFLY9dGaRYjuBR52e6FQApo45kcXNEZl46K0AvWjOVZZVdzSUJndrLpyzOpmiCNdRj9
khcjv5xzUr3LpdG3YqrLs36g3W+9aKJfMpy9S+KJdL91DfMr9jRmOiniTrmU0gW+PgsWlEnArL4d
JskvZTA0r4KgdO8yiOayqPruWvjqU0igU1+J6JdGlp/mYcpunFjN+bSFxmIYzOWiI1MfrA7rHL6t
dPGyKsX8uppLdo6I7tJsbMqzMdc0AQwoi0RHvr0ocyppwnxeXuW0U9eVyNtPIlDkipgKQvSat7so
mKRMPpu9HnJ2sYaZfF4IiKwuIYTMF1W6smJJm77L38g1wpHyuKzfqXVGiu0ns8t4UTU77Uazpma1
Qp+VbRR2L4gfO7UTRTb+WmRdoPYRGQeZtqYu10SErX0emHL9RQYtfzO3dfMpigtzgTMuAGmInGEo
+yOriLo1kSBvaGtgP9yGvEwt42OdqKIYzcHPjXpu544mSkVQgcvmmidz1OUmCfI6SMNKqNuht3A7
Fq5BOjKkuHVR8szRbvQJ11NX3Lo2yMczL9vqTk1RcFAt/EjEhuRJqUZ9NozZ/Hqyavx1tWt9xjvv
9GEKbFQeqo7ydb9Wsu4TO+STT8Rck/er6oaP0QrfYkG2kJ2e+PB2jF33W14xfhkvGjF0Ntis9QG9
ECErlx2byiAlNTTBi7x+1+dRezFnebu38xClta0+RbJQzzMi6AU2Qg4kb5ZdsAz9tCsaUVzltZr3
PtfqrAqgIU+R+jxFVCuklTteqOymGq2vd0U3F/dtp/ixrcWYLKIQ63NG/K/dsIxntDGNTZSHIayT
bC8mVn4asrJP+sCF6UD0mbL5vfM23hXDfNP20dGZ8b0vlvKiaUW091knLpEK41eFh1OSFtsKiR5f
jM6qfV7Dz5l0WRJ1cf2LJN16Gar50KyxTvN17lzaTPVQJ3VZlQl1GkaNqDi/LHS37FpfqWsKUHno
A3h97fWyG8cuS+hQLfvVIro1kxvPyJZ3O4ZzR011Vw6BvJZTxe/0PMhXdHTkyuQTeVOxjF7MHhZV
I6C+8yrTaagXsxtbHJ8PK9yokb26dq2fPgyB1TbJB8ScgtXyFRG2T1io7zhHoLQW8UMUQfxqLec6
iaxddlnct1nCqZevMlPb52TyiGSfkZZXtj/TYeN31VIhiEXe7MSEpa0x9lgO0qURIdOHgrfnXavb
JFdDCAsOo70t9TXtnDkUE5VQQtNdD/2Gq01kLjXpYExTX/gyaQhL6xjSKTM17Rrhyf5z1J2K8jdX
S3IfTohW42YjPFzJVZ258qric34Yl6JCjAOSSILA8asq54eBVWs6GhulnK6IiM7M6bgK87acIaE1
ztrdHMY2ZcEwpR4arhIdWnvMkQ3ejF2epVK07UW2+ubV4BF7ghzRY1Jw+npsIHNl/IFWvE/ydiyv
aBaF7xXx7nIMOPCo8deyHvRxEOF4VhVGnTUqD16g53FNSzr+GlTVcL3MhXuRVesvZUinX2S9yJ1c
THnGVsKPqyrXfVv0zXUX2Oylrn+Le9vsSlp8MnmWp8yVb+HPt3YM82MkTbAv8qZPXUi7a7YMkUZa
zM8Q3N8H3PgkipH0aoVsGJSFvu1bRF7bIuKEjSRvypB0Jl2h0u4hyAo2dIcVOjig9pqSWsxxirzd
puOiZ39swObbs7ZQSUSKbkrcoKo2WbRGMKtQ5PUwkUo1KcnD+ryd+lAlsovLpK1tY3fL2K820R0t
m4TmvQsTnk19k3RN9HZoouZi6mlzYWIXdqmRvr+gevA7T5ol0rusn00sLpcpmpsVyUdbxL8mnrLX
fTSV0y6sqyI4Y+XYFBdTpeg4J1GTjfKCjd60SSY8mj8psLj1IlmVjT8NS1XIRI51c99xkSekzOPz
WcYdSadF2QHohof7fpgR1xcZ10uZOuvcy1bEeWIr5pVPB5lXe9cVlu1W6snYIPYM72Qd1i41s76Z
KjrrpCMiB0JYMlYmXbyMF62u6l3Zhe+Z9MeuqqokWGiTMB4Uh0jAvxA4xlecV8ELQtug2rm4mZGr
o+UMfhrRxFTDkngt3THqvdvPfXZXF7zex1NU76PQyJ2Je/Jr46L5yiNHk2TObbhrWeSDVGm6XsFd
8w+5jolPajIEiY5nBWgZBOflzEN5iPMG8Y0JhG+WA52gWmJTMjGl+a7DgY+1n5omlQsfz74PsOk3
YFSFhJOIchHHIXiDEzDazaUJJPP1sWgaduHHoflkaA8JTm4awibJGaCV1hpiKyrirkYBZEHqorvu
CGBVaZs7JK72Qka93C0R6oyh7Nom1Yvnlywq1fPWVvZ5LQa1d2NfdonzGT/mGXyQzihT9ixushvK
QnYHRnEdE4W/zmRA4ldLBp4qyZZZ34ZlWb37HAPbNlQyndY6Kn5Q0pAN4z+qadAYAw8ShorTiKIN
9rjaGNY1Z34I9bEHmNiJaBpfuNyHcSItMJMDzL5aaFAUSbQCY9XKmksEP37paJOXCVE/Klrjv9oP
2BISg61B4X9atOZRjniA/diG3PpwubQ18ssUl3et9q+zBSn/+9awKftEACREmczQAYzB+WyF7VdU
xsBG3uRTp49jD0DaZj5DsgY0advCXAZsMeffX4/8lfWFMVdSoh9MqTypIlsLsMdErRFc+ylIEDEN
utbt2O0qGJYLjNrXA2xNcDm9/JyCJ7MScVZEEzkURAdpVmt+Z9Z+PJsHYJwf7G9b/1QgHIgyDIVA
d06eCCT3U1Yhe9VHJyrg7WAwiZurPJ0o+7Uv4+AYADYmsiqiA7eKp7l1F9/fwjd1NvocQkYcbhpR
qOZkB24Rk+hKUh4V6u0zHuTmsmPTj8LAN4wFVgFREQkasyiOT6OAL/2YCbQJjoIBPIscgavthEv7
SKHOELWhyVKheChqgN7vHzD6VsaAKOCjJVGEYCTgJAItpGaj1VNxZMOUZ0fNjHoeZJl613hA48FM
fLlWAVe3LVtua7X0n4KOT3u3jDxPnWmLcou31iW99pLuc9cBTrLaHoG/1fMKBObHPiOZOw+yAYXr
591/YYhfPtjCA8P5wXSLLfPiy7jFHz/+441p8N/ncYA/v9ymNf786cXvYx7fvevs3mztqeH0pm03
f7wLm/myu40jfvTDN4T1P6GkH6ZG/snFR3z1I3b+9zbAZ9Z5C0b/nK0+Ifm/4rm3537nqsUzBDcK
fucPavkLV40phGdISghACnw1E5vffaGqY/KMcgZmkkaSRIgnX3hqItERjDBzoggmGBTGGP4dnprS
R46/rUiiUAnwxrFQiL0nbqdJZVsy1fxewnI86tWOdQDFYTeW6y3nvqvvWGD5cGj7ZVjYDrmfF3Ma
mCx8n7eWtUFqormOL1TBF7+rVdD2x0k1enihedMFS2LqmXfvee0qcB2BELqiaQ5aj9zHs1n8a13M
sb6TknfZB9rQXlzlouzhnQ1B9aJT1nHbXBegK6Z2l2tu6y6BrzTNcxIvPbacNw1ZLqOGgkwNhnFj
s75S6RfT/5rMf5ye2GdumIHdZGobKonC0/REmtIXopD32WTaqj+6hmkG/x0HGx/XIXfllK5lh0kX
HWZllP0gWZ2ka6wfx4CRaAJLhMhvmwlrRSWgvyg/VqSmNQCjATNabKV/0FcHO0+IxjtbuJwVgHPB
2rUvJ0YB21PCAMPpBajuFrjLmJ5acoXw3+Pa92X0OKNivglZDc1ORbdO9GaWjzPqXJRBVFgafBQB
iohol69xHvcHLZmjYdJaJ8S7moeITt9f90Q327pMoR8R8TBSkp6u2/nFxCag8mO+wOZEMoadHn4t
WBa1eTJVpS+R3jGr5pKiMFEkfpA40cL9Km9ux47R32ESZB2X31KcOR/LIJwL+jGIddzTlE+h4Hdw
pMCdm7WM9VUZEENe0Lpf/E09hOFaoMtQagjl+4L4dicyloIBIIQqREvzBGEUcZHpagntRyYmuNxh
IWIlNbL15Ae2L2XGxDvrIQJ0OQCRxTsTLiNYibE0YTf9QCuP4Q7EggyLBhEHp41UDpD52BqcKMNq
qdvsQ6bWltsz03dNtuxBXAxqOVuknWEi3z8/OYlkWFOhCxZtjoo+3jcQK1drxVXngvdFaeMmOM6u
2BwCoL3AZJyfKraytGyGJeqSGf0TCIKXYeFvmk5US9oGxLY3qika2+56Drz7GlRpO7z//jYfAxAW
I/OHDBifowNJ4C0nsQQ4S9qwX+f3s3UWRgC+M4R+wnmiPEhmS8fgpovqfnMaN5nto+xy/wP9fCMs
1D9onNBQgKGn4JNPtiH7aHDLIMz7VvMAMbxC9EL7cFxCt/BLmnHE/SH3tr5rKt4iotqusSASZFAF
4Iz6AtF2i/xLgafactXjJZvrzjQ/CCvk1KwxrIfGS7R1mKBhIU7y00wn0HXtSt8PWSSCZl+5odP+
Zb86VF/p1C89NhfEzYhrZukbs+xkvS7BzdR12fmgrAaKbdYVRUVT9C3It1aFAl0Vz8NAvxZgUtZm
q+A3qjEKqoW0F+GqNN5alyAS+h+4Kdlqqz+RNiKVIFIJJUKCUhRQ+wQFwjLbfgTwfxdzwyuedqHk
MMUs80rZlKxxgNCeLQ/RU3uGa/5zOOlIJnFpnhwV/cFP9Mc+xE6jOHAxwAgHPkUvHL57Yhb1XA9N
Vhj0kC28qN/ToZbsBWgZulzSwS8Qh8pGvd42xbwsceILC74tRcCfxOu8X7MAJRzIslsb+EFcyVJs
AGFmYwNutvZ8U48ZqIIJLWPMx9edrer1dtWiBmUbar0lrRLSh4JMqwp8ibYCkIhs5hm6o7xa8DGs
Ye7kruMDHQ4i9p9p4jkvATD6z8srmQfLlEgzV3iFAXjAzsug3bCB63hT382DaPvuoEZLxhtGzeqe
W1tnYJJ0Y6MmDfKsmY85Q3L9rZVtxm7HcCQwsljmwBlj3xpAlO/HhtOouVUlIYoSuRUHGFs4MQ2a
LW1OVKffraQZbA4+P4y7IZlMZfQ59f2EQPH9FU+jURQjFkUEeZsAZnyz4mDDoZgaOv1GV78Z4+TZ
Fv6iIa6RvMXWhHuXVXSFEU6Rd0P+AiVVDDv9/jY2OPvIKWgsRBQjV/AojBhQ8uN8sdLR94ESzW3D
2sbRxBnPg3vTFz2iUVEPLdnbLDblSzRTckScruAm3+fSRaNJZBxPekxclPeXOpPiZqZWyyUZJiLG
104GYZn2fJ3NJYwoLJIqZBnoGZaBJYKzFyHs0IwF0MV5VtVu8/wRPMV1hHzfLQmtLZ1/VIeexjW5
cQCAGzg1TgsK5iRd1yIrQGUO8dvRtyFALLc2Aogd181uGUAWOxZkmmG2c60oPnL0mrZQJ7rNpKmv
pii7yWaxfRn15Yree9lFdAuR/Tqg9dnrsRvKs5UvNbwum9DM2nrxsoF3xqSHG/1AiSeRTQIBSaRN
RDVoEFOkJ6G6p22zmqqN3kpXUPiW6/JtAy6gfnPdz36MSZYFe8uKeXNxxMotpNiuR6IJCgIYT2a+
fWV6NELutKpidiwnvcmhXyYjrsDY4q6yoNsRl7wRw6EOYksPnbQjHdIF+QLH/cHRTlAmjobeKIsI
XAXzS8B7j+3TobUVa2+WtzQft0jlbA/TWvVamg8ulHUEvtoZDMLEUbvlxyYwBAqZRaPR2VsbQVx+
UDTw01ugVAtxTHFFYX10XBFN2hJt//GMTbrboptH2DyWUTchGDogEixYuizET6ixCETR5AyicCDq
Apdy7Su4RKGiCj89yGcLhfXd94Vw4qMScAHoKo64RNkZftPNJ9PKxCL64M3YxOCBDw/wNirkPNYp
Kssib38UFk7S0bYkhjzCCNNc+B+o6bHYw8oAtXZz/GbwBBbiFoyMof2yOsiHVR0zfJ9NgZmHBGTt
AoHrMWsBWRD0IKXJztq9jMUgs+qQOSYRDOCQ42uLKUFkgCaA47u5RaL6ora8n1qIctayha/AizZ1
5PW8KSKoSoIPtVRqfB2axmAnvEZb97YWbqtTvy9tpujjmIjDb0kAQYKAoP22ogIcHII8nJc3RbEI
nYFOrmmXZlOYVVciWpld9n1hRScThXmgqkis7cv+ItSezhztj6IPLm3eBOxF1hToUqBtPecfwlKH
xynzTGC+oTX6I6v0al83RjT4ZZ2V6OmajSSc152sWsW7tAd+HPxhmrgcr2xfYGIhEU3YkOc0tETt
2tYqklaz8xaDP7PsVxDo7WjZnOZzPcIZxtVOi07mgFesOqiIeHYjtFtYnoYz8ZM/69RUkAz4Lcvd
uStiILM0XvW0rihrYYrd+VwvmU/6oavEYVRxTne8Ceb1zSRMVN56pvNsR5mLSLqgPjULqD20kXaq
jKY6zbnOj3FE3a434bReZqoNwzMyEbCZeTDIItx3tWnYW7Qd0Dx/q0w4z29mN1P3IhjQJH+NjBH7
j9wKYd+u8Zi3JumMIcXwSs2rrs+yEuzGYTUM8y6JAosYFWls16GX70lTyfZjEXVmnHcwlaW/V95N
U5jWehpIdXRZ23O5Qx3AtTjLmqAWV4rEQV2fjaKLBl3cF7KlDlKeCZWWvVipGWHSK7FDV7yiInQi
3Lct67r4HI1ctOSet3yu+3xfjbmbxucTz/KyPGSsmTx/nbUR7c9FxYpcHmArgtZJN64h0roeZDmp
JA+Y6N2uyOxaLedTPgRFeTaVDbJNWquJIcCOXen5rybwgg/nMI4pyEAWA7aQK98BdanELVTO4lqD
hsWHe/gyKEuNayDJGZZbzcD696vvVTReVMJ2eXQkcxDE6A9WvPbx2dxWpNEJx3QU8mLIgxLHySlH
Urmbs0WEaC+hv8/z62Xqpi5+WWVBNelDXNMg6s5rj5GH8VpUlJcq6ZXaOInYOl7Ut3GeZcF6yZge
IKlg6RGyXyBq9wW/DGhmY/2clH1J9MuqmiqZ7acKgSDfm5Kg35ciZG1bWsYAgzP7MMcQQL8Lu7pC
5711YcDbXyMMMmC9ptJKvfU5BgxTi9Ibko2kL5FBUoKuOV6C/QOyJH2vNkzPCjQRURgUpKXiUBXT
JjGqXY0PMxQuuGmbeAv5bHS5jFM1OQMDWFvgjTOnbIP7uoejFo6vEF9fxfiDXDJkWE0XBEVmS8pN
PaRjRcR/IXre5NwyVYFLCnxgoYqgrWXB7vseBU1/sGUJpJVOkixxn5ay4CDPYfK+97euajE1AXkF
xWrOCr8yMr+QVbxtuYSmu/VGwLKwAsWl/n0WzJuBCRtsmudLgO+0ajbRjCPBrUixaJRgD2M7YNn0
y3mspbR/D8KtwHcY3TTipuYsUzTFfAsIIDRCCwJZfLGebB0UXhlXwXa4zC2fheFhNTb9gnEVX/n2
Ex14/YKGpQ1uvog6eLj9dyE/3AemIKpfxFHXYAOkDYrxfV2ib2Ex/0MXHLqPVvyOZJJHNC/DGxTg
uVEJf1CUWUcHU0Pl7W1+3hK1ZHxrMY6LuFaNN5DSGDUat0QdODabgubIRpXU4bKB3rzhEb7UcR72
79WDBE0HD0JcezhTEZWo0dLOtGIix8XLrToPH1T7YB4CbSTIR7AST+x5rLfDz2IpYKc5sdsyBSsE
vlxMH8bF2zUomXcXOCndxPtgSKtfPHaJQ25vIaUd8Bw6HxTWNbhi2/qDQIN1Qlc8NZoaFu+DkLd1
db5GPJ67s3wjkcL9VHoDn1ZVvjEfwwT9lmMc9e/R3m5hPgNmCLfDW8wiiesBXPb2wmjcPtiYS3zo
NtzcoVn5tv/Wi7yY3nqd67w8tLnEe4uekpwe62GJibukD7ZSVoNy8dkXkStMCGE7c0lrvAQZwGDx
qitr5PmR9KsI3wK5VXLcdRgHass0HPIMi3MMZKBkcroDt6lBGICygZoKfx6bfHNnj/yK7+rFi0oe
aoDFebmgatCzOTpmQvS7tWK6GZNsyEEbonvkcX/h+gEfAI1cXzW9x99LM4G34+FEQBX14PL11Vi7
DKTAZCusTorcjLeizWZUAeiabrY/KYTy6jDTPkKEkRZTn3KvG6TYZj8HbaaGc66QqubfQsyCIt7k
2pi6Pn6hkyunC1sdfKFR735Y2IDfVMJsQQFxnNHPPtMbqSGwIZvqbL2lhTSTe9vTqZjE0T0cfVb5
ABHRbl5rnKjOp4HvxRoSRDln2SY+Mneb1YCv2kz8gT+VQz1BAsRH23ldWUb4sDBw3N+XYB+DpNQr
eGUMn9atSkBZLKJ5QTticYdAvw1GPXI/wK4eSBaMwmibHXzb2yw6z7N+xTsw07dRb1sLHqxhzxla
b2cZqVH6Ng1qpzZ1GAtAHdrUmBjHeArG1UDC57XE4MaOimxBzhsWRJrqgFpvE54v6UYVRF7W4OIr
3eZ43C4ap/xtAjzLgospG6wtrxStNpLSeKS7F3GdUeFeMdBYS7afsypYioOYOq6HHagLjHsnMUgg
8Y7llKAkRzJUUP4asBWnEm2zpY2GZ5u52cgSGN+DJCtnwETTMsS00MW08iaLX9Wrn4IbCzANVmHt
eiXeId7CvoKpWyGBioXbGbKuDf6HvS9bjhvHtv0i3uAATq8kM1OZklKTLVt6QViWiyRAkCBAgAC/
/qy0fLq7XB1Vcd7vix1VGpIDsLH3mozij/HyglIN0EdesIBSTKt8zUrfzdEbcUM2nLNslp7uSTzp
Jfhj7SPm6A4nWjKklR6Afwd1MUS5egYiufLlU9jOrG1rmvqkg8gQMtVkfi9tb+f4RdMC0MRBcWNF
CaXspvnzRkxMpsrgdHAY9qNoQk+Zg3I3kcEqF6yMa4v/GeQW8i0wU675dScf73KWDABxDTeJv9zW
z3IzDPZS/0rfXqoJuv/L5u21uHzH+BO9pwxKD0iKojDAd/jWX76RJkAnxA6T+4Xb6AcqsZVbdIv0
vC0+kjuGjXrZlaW4fOXXkkVPiUoExcvlSx8Q/KWcBm2tHKSzeRXFKizuTZe361St4QjAnviNlvFx
hZYOP9QG2wUO1OCJ8BdBW7Yc5y3E+iYh+IczcMvLlfMeTOPrrw8CW48jbcZSCZ4+JraxZ1vOKzZK
Qx74R8HiH0DjDCsLVkMwzBcQUqtMEdIIKMEgsevmzARPpk8l7nlZweLZUx+3lzauIw6fkdvhclnm
54YLJo5zpKKpuWxyGV9oxmZc3WVN5nSLeV+lnR6F2HVswG7cfzwQ4MCXosfhqsPvJToK2HUXJ0Ne
/APw9dtADywH9QErGHqDPIv+Ait3CzgE4NXxUzdNGa46b1uH3bBOKLMz5Mu4iMECeOkq28+Xa/+H
6e7Ps93l47MLVwMBThrh838bbJVxU7DqHFDVR2lkwIBxFZgDsJP+/qN+A9Cxm0IIffBZgKzwZ3YZ
6/9D6rJCoFtQtJL/u0ZC7qapniUl5C4vwVmhImfd5aWanuENT0QRvLJfxfHvr+XPEEIK0RFQoQgS
nwx0ONZ5/OdroTaJAd+y9qkEq5a99ml06cc1BLPJbpvQOv/Tc/7rB8KsDOAgK8oY4GL5G67IOwX5
LVTyj7MbcVC0HCf+MfccZe7Xzv77G4x+03jgDi9ZD2kexUUcgY767QPdwEg7LkP2+KtirB2EtB2E
xolP070jurCQTsNH9WDWxLNGmPFSzxOF0hDoDVq9f0Dloj+vdDxzjFJFicML1iOY4X5XHvkyDNbc
J/Pj8LGpVvR12OPOcIq63he2xyvoiPHYmWWCwwGtRdBdLgQS79lA9zpjst+nIpnSsHIoLb5GqZ/x
7dgfNDr3PsE8Wa8ffJb8KLN//1h/f414cSRMwhSMSRRFxe/KGZy78xK7wJ47zS+VafvZCEmdjubB
B4UhsMX+S8PxXwj///Z5KVxuPy3XsDf9Bs7mDt1IXITm/OvYc203syqEiD+doHbv2/8TtJaGgPwj
KMOwMRB5QP5SDpKVAom2PTt/HEtoki9vI+cD9sWo58uB8fc3eKkv/yahgM9CZYWFehGlgCnGf/95
I65+c73aUn6Vj4HiaZ0LkSevmcKG+act+NePwqsrQHsVF8FV/nupEzQW3rRZe/XRitgU6AjWUTwL
/PX3d/VLivEfNwasEB9VQiDzk5gvfqcLwxC8TN53+qC2OOz0Lk7dRY1gQmhUpz/0NoJDryfdAlst
K0E3TIvVkrZLJK5xWkOC09YTl0B+bmIC7CG8FzRt2+nKozdIpzN1PY+cr2kMyulFz7PAGKRYTMZ5
JwazxUsdTmGmRVOoFFDbTeKiKcnuyw8+j2cYRpI7OopodrccbpsSkhljsz4CJsIg1bjCoJH3cJYE
TOJV/GpQ8gA/1lX8o61Ahw4RapX9LGMfowaHbwaUZwehdFpjNLy0AauNAzS0sBliThhjg29Ai5WZ
/Jzo4dLMBR+9jQQ5it0eyiLa+orrRURbNWpVjn2TyXxgpvpfyGPGsQlPwkcj87ODArO24vluc3E5
xPPZAlnCbMFhhpDFhI8UHFOFPYVgK/q2HpzQmKeA5w9s+Jyg7S2Tc+aXksgjy8LgAgZoq4Cz+o85
rFy9Tuam40YAdgUCk4NlqFi3wE1bBwZWBkh35wTqofi+nEuZr7t2zkg6f0p9abfpE/iGC6OFHjCM
s/O0aJAInyCSzkjbQIQEOcG+U3MUsVpEaDr/8Bg9dXFKM7fGr1Hq/FKcAZtR+TCWJePxjo06CDEJ
Q0nplhquY3Dpu3HyeLfN6uJN+SoMgEzYGq1ZlBa1J56uN7zUi94q0NFrj2m6LBR40b4L9QG612V9
y0LBfddQgoZ7rEQ+CvV1BPISmKr4oNx+1aIZfHib3RQCdZvtx27IYphxP/osAN+XPtGPy+XQ+Vga
w89ucMwHjpFNlVDEyMqqMBPRxbcz5biMmPO4Wnlgy08o4lPxJMcyGPaiT9sUVrJ2fUp9n7LG9ys9
9MQmV/AYbEehnL0CkjE95iqLa1em3TnvlyEEZmzVJ4pFfUXadNIVdl/3xpQcvrZhPzWujOBZKoZk
OWDYBaQUj3CKyfB14tiO4yqzm2ztZZOTrsPbDQO1Z7kjOzb15m5jwxLu0JUvu8KHyYAVm4nvnTRP
cUTktSJBey2sXnapBgQN7Ut7ZSdTNl25Fg+57Gbw+rJ/7/VMm6GTbeXJODYpLecTnF5i7+kIFniU
KcGvLvxYEzbm+xW/8lhgHnuDTdEcoHug73PJhwN30bBVvmTpvmPh9CQJsPlqAESjqyCZ2s+r24pv
A/xeGOWN+LQWcb8L4yU8kbCEonMKguSGAKbbq0WPPzTL6QPAwx56pSUp3yNQPZhnIhk92ph1/V76
MdhFWiyP2hIADigFjfbOnBKtPK9SsRawAJa0K772Ni79EQoE813H8JTtJiMXjDm96HxlEVvxo1jS
XDQBDdRJlJAjNCRa2IOzCcecJKbrVC/RXFO4F7+FTMsbl5PwWmfRZYXS9MKhtnY9ObSzt2HO7RHo
d3DqedLFTYHq9x6tazJW21ZEHcZmGbyscl5/zEHg6riPtm9asymGokBCPrjBjF15WJ2GCoopZRq5
rdydMtPObQVHCSTpUY5CjJGqtmsyJCdShIM8KTerfSxNfJ0OsDMA6X1OV/89NJSeSYTtY7VZGkCL
IUx8Tti8Sf2UQIy/jGfZEfXipUNPFoLebnVlODQQvM77NpVVYBLyDcz0VCXxMB4mAAVVHIrlwUUj
f9CdX3jNl6X9PHd+/go7noir2RlX00hJVjFcHxjXApgbNp7rtpo4qLvLWHdDPW6WfWNCbvACheIZ
kuS5ktJGDyVIhKOMVVEbFdIT6UfyTReZu2HA+y1oB2LwoXSpqAlmTKSmvckKmAqrIeLlNxWgqWkK
9GesSpme76Gq5nsUephp4QHKr5Zo6u6h04G2Y+3U53ga5cEaFx2YtNk3ldDPK+bkz9sstuIwS+Ir
Nov2h8cDOXRLbswObaB/gp8thduWzGBsebtUYWftMSu5PMzoQyPYJXX5uRyX8i2BS/ETU3R6s5vd
fhgs8MbmU3xLICw4hDgpmtnNyxP6y6BK19HeBErz1y2cxkMyRBTKLMDJ586HBGeZQ0UKWV8AD0p5
dpWDmKmlHtmBp0Z9hrYrwfXb+BSFY7JnWaJfgMvN9+UIb0nkh/JJCLVdt5rNO5ej5GIMFv15JOFy
Uoas96Om6pMqCvI94TBuVfHs7Zl4gc0DTOsuShZz7VS+HvvVJRNwm2I80EyQBuMxFJaAPcrjBovV
DaWdetjgW/xcADp5mbdi+YQDv0XYgMpvtyhYoGHK+v1Q0vQGDHeU1Isoh6bY/Jhgvatxv7XBdM8B
wd+3bpJzDWVIuFcrm1/kYkiL4XrbblRJzDWEShzogJg+tclWCtRs4XZJzourCJxfbeVG7grbJkDm
VfAe0BgatBufkq0vay8cet0mN4C0ixueJnBr7kJECg1LNZSS3qyBbO+BsgxnGCPG52FR3/AzLYDe
PnrWAh0MMzk7u5JBfpnKqD+Vk4xfTUDNWg/dGt5C6mM+97G1M/wMQ0Lqsovya0InVezLUIzlSXSF
bMDjkq2C1WptinITecW2pbSVSOh4ngLw/dc+mHM86yxcF3UzlxZET+RUtB5HAmtb4kjwkI9lL+vM
KTiuu1KqR6j5rdiB8vXdtej51DeBGlOIECmNgkNutd4efTEq0x0urUfYlPCEDRPHU5vWlp84ZnI1
1FGOzqVOhaH2FmgJ0zWcWe2nNd8mX0/hkN1ArkejZo3QIl4vGMSX57TH9KdQR5Rc0gyNUwu/Lb2y
S5af0tiFI/u0JZ7GMKK6OSzNKUaxC48FASNwmAc/qqazOjVPJTy9MCrFcLiqSgW0HXgdkNI99QlU
M1XckeFh8lGwHVYMmqwO8zkOb9aSubGOFXD823xAOW0gkNuaCcjWicVLXyMkj5+WwDvN7gYfZOUG
S6QYQyca4DSCX1RaMk7F3bIQViyNz1g2xADYYf3aTQXozdpEPhY7Ap96dwOvFMsqMQLmrbfFzWOV
CA/iJzeMX409SaddC6LwlveASRsYud1V0iJfqcmKsMsBiTEVHXmLiJFKmjT3VbyC/c6WeDnDFeHy
WjBKdJUTngCKA2b3HMHN+G5LtCaJkj4+TBONYIywXWxg1cxcF0w1uHlI0dYq77JHH5ApR2NmCt8P
NSopjDd4eUHv+u8oQnOR7To5yCpt58jBkSPyKO92MnZTmt5Ggc3MZ5C5gl6xuSDfWmtft61rP7ed
fG1LmbIKY4J4WqHt2NGCqkOIwyNEkcgU6K98ux7gOTyrpDd726mylrPc4KeHTFNWQqTiSY1DBjdt
Bhde0RPUV7uI70tLt30+DaDxWkdvwTAWYR3BMj83Gw4bcl/qLnnKISBSTW+B9WA9YMHAK9Kv7wjn
4A9yHnWx03ne3uhpRF7GrJd2Z1xr6RGocZtXgXDlUUxsbuJxHvZ8punTyMNoVy4wRHGaBrcxd+Q6
liAtpxZ2XLg/26mJY2q/jSY3h83FcInCAjWIJiztrHfwJ05n6AfX5SjVSqtSr6GrZ96ymmTayqqM
BIWGFIJIc9QZbm7nAXI/bRR5hBS89ww3d2cbhU25Vpvn6oxTHod/Dx9VA4v08I5LoI84dXpEQZRZ
bUZ42lnfRq9A3tweop3yMIWl2OcyZ/cBC1VtYRf/Go7i88CgBGsxuO3zmLKXaY2XCXblaXpJQqpO
sENS2JWVY0XdAxw9URnjptsQCHfvbI1hN7ljGEtOdo3677xL8ldO2+grj5L1xoK5bVI5T8cEkPEz
wPeYX2qak1XCwvk2ozRB34rieFmE5Dvhl2HYj+JyartYv022CPrdkPUgQgEmT9lxTMd+qrXq3QKu
aUO+xZyvLKqTAXWkyoKepbeD1PFb13ULPNgDrqFiQ94VNcfvrQF/YU10XqZHuKHjvFmQUQBPd4Dj
+yTktHyRmNq6msskCV9x8K5wwgfFaq+ChWfNIllw1c9p/PmiG9hHm+Wm6n0g79LUsTdjC4njAZPn
fjIUaqiJpskNqDt1LeHeGyrVoqW5cdrINx4vrq81YEZb9XZw35fFY69gU2JOMxIo5rsFawV/JLN2
NzKbwMI7t5BM9W5DMw/Z6A8CCSndi7xbronH/FYFaEeWZqBzkO6CWUDzG242fV70MLzk0rqa60Q3
QxjM4dmsefQEdq0ooQpCD1dly9oNhxVNFWz84bjC+drBBD67Eq0nVBzBdE66NQpqQy9KPC/CVO6U
tHAYQJGCRVSTTnSMcLtvbQYqRfCacTRpancZY21N/dzH6KmTkW5fR21GfhdP0aobTBWUo6SV2bTJ
WkXIMPCHIIzZSBCTkdACNtq5T74NkI0G8EsHhWN0D8KMu/CWd1M2lTWmbUdkZbZOaFPnOHBT33Tg
r4qhMlBzE2QHWE8Fv/YFjRMEGRgMYPJ+sECHkNgBmXdp9sogSudr23Iytc2KrQIaBW6cZFSVdfOU
LfsWvdp4NJ0JxB/6YmBOdx30TwJpATO4ticaxuBeDhJCqWVslCdByO6ZkRzvgQSQSxkGJTM4AAuZ
O27/hwjKPMRz1Gz0TSk7l35NwTJ1Tx9gbSAvhMMylBdoNI6ok9ew9l2oe+gFLjwI9uGWv8O3G7rs
AF31hv02R7rsX4xcu6CrxgJAV4DJlrI1wxGBcrw8mw6AQnGzoKF055CVoSe1abWZ+WEDu4W3hSOP
TewtKcxoRZMOi/HjdWJwexuCBqCy0DVEL8nFzLukss92GYSqfXIKjZn9BB1Sv6DHwezQznspC4Z6
HCBqhUOFdBtDzIXWXZaomL7s0UQV5NAvufBeAoW1QFL7GpIqM6xk146O9MNOrlDclMAOxqm42dD6
FTsaDMheqRZLS2mqiMwl2eV+S8gBvJ94loUZPgdQ1yxVPMF8hkAU7J0d1CbiPYQRdQNLE3aK76ZM
l11jFXQqrtriGeTjhsyonyr7U9m39j6FOvYKOHB/M4U0qXmcmVsWeS92MhEQa9kSRLAMhidWujU/
zmjh8ioZpSeVG1c+HtQSQsXoCrmOMOdY/i4Rt4L4K0UERXZYQUyzJJt/1H2wOjQIwbBDB4oJkTKZ
pgeVkUU0VBTuLdio87KK2nWOHgve87RZ+3H8rhDEpirNLEaDcQssphHFom6HdkLpKwMHu31vA3dB
XNBRx2O98a7dw6dlabAXJiogzonncqxpSCbYtH2oryI95S+DHUik65zG7VQDUOxTTKi512dRZKFp
EHVnlq+QPkA2AQ0rVHY1NB2zRYMUxdAVAdw6t5i8YcGf0YffOhBuCGZLeL7LeTacghYuWw3hNcwV
0NZJAelG7I1uijEtQUkFS3eAbwEvJndtUCXQ1l3NcphZbQCYvW0QLGBt0PLBBOGE+9zkPouku/d4
2Q0paVHuGLQVPwKIlwAeMtneBCjD+hXD5do95EyoS9eVxP0VOpjspEie9m8okYk/JJawx2lN6C1k
ku17qyI8+WLdHORq1AAZ2RD1Uck+XD8XLjX3qxo63AJsbBfftphQTXMBswJPy8cI8GHelGxajxFA
i75ZoY35siYEPsKUa3I1EsYgT1TpEzKUpv0Sj+HXTOmoKnPoEDs1bFDo681XsBz5MzyVcd/ERluY
uoYRAvmyt6U9tkgFQ5kfN8hBW7o6XC5SgyCNwDRcyzH38R4MEXjWMIGxsGltYlF6A/gd+mqROeSF
SatnNAWj17eJkeamRXhP0YRpK/M9hBDy0+ryBarjZcRdQg2QvxLVFW0l0IDfzcGl49UIxBor9NS+
h5uYlpCj8LnvGhzoDMorwCX3mwACUG2ZlNmOWwjsmiQU/W6bHX6mTSGng2xEyMYm8o9VI2wqptrV
65L6lxzVwl67ZVSyGWZbPOpULQYfl6YzBoIeKJCIp9tkoPF10Q08h0yIelGpiJbXQdDFb37o+ckF
Ut9Dq8dqaMDib3DFmBE8Q176uk81U3WO5BvfmNUzXQ0KeSY70/XFgPqrkuGaRbFP90u2ps8BRaLO
GcgVTwAGTMIjiENEL30JxUMlIMQ4T1CYhEiQSD2GgjKGq2GmYSp2ImLdJ546tdY4N9HVoT9vukTN
xeW5ZXdrsgKGTuKJnotBJF9nqCzayprhJdFi+qqWaao6BL4+5lBUQijVWiz5Qb20wRq26K1cUAfo
PG6Vgb1HA3d5HVsTHBXDpm5Uz/O7xSzTaUlneD1Uzm+AC+RXAQ2LZyDGfY5l0GZvMt6SnSOhfrTK
x0eupyWumS3WS7cWCkhnRkA8udbFlU66MWu2MkDjJPrSHcY0tsMj3LJ9owBuNQpLndRzkpod2pfo
evRTB23gGiEpyruvJV2iSmoTwjqJzA1RDPQPyIrDhqRk+Vyg3T9EhEZvExToX0P8SFoFDg8Okv+v
8NwUtw4k/0HaBbuuMN8gUF7upQk9rYplCiPsg+0eqTFwuauIiAPOAzVizNBJU+QQp+Cnb9Y5Vl8Y
wI6mcBhUZmRfbpXrouk5KAbyxLqEiJoA1T9KOSL7r4LSkifJd2+A/qsdl8CD1BsOKC5sAw4cLqav
mGgRnveoiJ5IerewbkaV18i7gzZJzfA/QyTgPBMzuAYQjhPiZiCl8QckslzEU8kUuqU7hqYTbDtC
yO2Xz7R3a/o9HcnEr9hUiIXUlKhwCZrCpmRVKF4cahZwWtBHsDLqs7CB8C7a0DYWIQJXFM9U6I7G
O6CYVRa7dE/IuBavCOlZUFRmyQcErKx52oXIJbEjdApN4LO2haCFQGMFOTLaeKiqPLzQ2DSQsZMU
UtBOTj/COfC5bkBoQqi303L1HEEaW99yqIUQBXQRkWMNzqBBWtZu4fxgk2LBCNMnLlPqeSpWalkD
IrbA3AfLUO/YmbFJIzFCrxliJnehTIye3wzfbOQr/BbkHiEqj6AlqzbZoTJcUdgkWVkDsb7cCcna
sBwOXetsPn8xQbvFKZKRCo6vQQufZ+46WDQG5mvmNR2y2iF6JLf7f6Dn/mwQAfkHAzUyMNFjgpXO
IHz4M+s4hpg5mJPl95DBRfKL9Y4znoJ+UogWgdpzLSwyVUJBVJxXuRpgRKoG8Ci6XpLR5Z/ZT6Lr
76/rz2wvLgsJwRnsqghDAXkIrujPl9WnHtakts/f+SQv3ibxIfwQvBywEIMJdNk/EJV/5uQvnwgb
N57GxTsMyvf3vBOAhsUSwi/xA+mIl0+0H6qaJB0VqHmdd8RABGdDF8Dy0TOQlR+v4v+nOfzXfz3i
36kMcO5cbEn/0gL8JX3438naf/mhX2EORf7/8OKwTCJ4gjCYXZbLr+DhMkLwcJpB3FNCb4K0B2yA
fwcPI5MYrTbYfbx1aAv+FeiQIB0Cqu9LTmYWg5jP4v9LoAPqyO/cPnIhkvIi/EC/BtXHZfH9h+Cn
z3pYOiLdndwcISVrlVMKKsBn13LOAw2oMSLNpTd9knyeL9GBaU/r0Bapa1oNE9OVAi6DxLJpyE7b
lhO6G5ByCN1jGLoHTDWCHCKW++CBQyv+ZYZMLQVWmgDW8SgdIBdjbW+GFeFx1QBeMq6MCDeCvFuT
QeWLdEEY89R23KJtIdXIkHyzQeegdhaKwa5O1ometKZImyFFML+VzOffCzSXzYJDfoeCCUYJIN0C
qxdI37TBOEDimzJeukaXIrtdoYeqhDWPekCiYa6jBBTfYEMAMlnUPyEXyz+4LlzOULiLR4HAwHGH
IIqgqxmCRtNqTMMWPQiTj0MqEaeHaWMXAeS9atesPMVS9ddRVxxcH6ug6qZ+2qcj8jpB6nA8TCRl
RY1L6bwnSx5/GUowqz20/U9R7LJd2ZHX1nqAJpOHc2ZLknsTM3W0E5I1uii+RxyhblJkgcGP0GeV
w2B1n+QBtJvj+gjhLxDoYYCOF56o7ntGY3kg+ZTUKh/5dSQEYLHMzehVkJMAb27f3moQoOe1G8GT
LmYzN+G6m+MJQgapxB8MIuq95cTvddoXyPTJ9SNyfr+nlCKZFVEydRZ0EBpo/NGl25eSBCCNczHW
ckgBfMHtnaPVe2JKJ4+JK911AgL+vtc41CQH4xsn3bd0ytZma931cMElwNIgMTqmpIJzKXiwkxNP
g+KiHvmgz3HCu3rBE6lpyR/AlQP5dcia7pHr/5m7jVZEx+7sIdFspEvjXZTiShH52Dahpe2nrciR
1TqAkTc1Gydkxo2MKZyXMrpOujk8+dC8D/j+uxaWoYccObhd4x0tH3NU4AckU9kKUlpGK9lu25kE
yQJnvA0OHHLwwxaY8RE8YQzI1iw3MSfkklJaSZWQfYRlfzu5ZHuxCmPULkBW6omwLmok4cNcJZio
mpnz9WAYbffBbK4ziMBhP81urYXGBxPBCIh3KlhdMBdcJSMEiFC/S4tsQfTwhsLdl23LcwBqvgNp
UfQ+3FPwKBbBinoev/rVsHu00HfBMjxHSLltyoE8RnM47MZCftcyz4+CTc8Q3I5IS9WvAgfsnvfx
gqTTHvwp/If1eHlT/h08BVJWogUJfib8QpDdWFtf0iu52uB2RYz6jhrZNrDSvqAY6rtYCrcPNCaw
gbfp0QMHeCZZsNaOoRkSVIVgw2Nsq+CU0y6tEJPyYnM670wu1AHRGfGR6RNM/TeLQAc7L+DURxBz
VPfoXkpQKEQ0wjHIWlbZ7zmUIJgbmH4saDI8yCJtjxZC0spvHOHAZeYehBu2w7jwuJFSqsPGXXZL
lD1BarsegU5RDq5Grw8rASYUeSRcwWt8XknUjdhgMCat4dPIAjKUzRypmN1DxZGIGyhEz0IVb9MM
82GWbeUnlgC6IfGI3Nqip/dwPfV30LZ+gx+LHDFezGj+om+ZtCk4fbSpr1rhlkPRyQaKiPi6HUax
D0GzICG5HYBQk2E3gAi/9yi7VedQ7/Av4kCzmY/+dTMAjSxFfbYGa7D3zr+W3vUYQvtwfpoVYknD
DG5h0BR3k+hIWdlyMPK+TWl0TICL6YOEy1NWQ2pDoA9sOgKho1OFnPuhmaD8eFxY/oeEUa5uY2QH
r10xIC+2gBeqCrKlqCQoA4hvSC/AINQwakMgBBQsACjcbfsiXqCh6GaHLT5KOHfNcwdXf0SuvB1/
4qudwdkSzN95wODT6wgzcF10a5zdcQXJUMVgIkQOYMG2G0dU9uAw5T0limKL8BVL76gWm37VcJ2c
uk14XS1bkr4tWP19HcGW0tVRQHNSrRAvPc5DAIEEjUJ1muKwOM0emM+CfEkQsfNyBDzb3sESMTwh
2ALQAGSY+aHjiCmtEencvciC6J0FhHOFHMcOIUUIX0EsqgJe0fqFwImmoh6MlMwR/7gaerSywP5I
rAV66rbgQaK0/wHEDQwG/MXr7QK+8d5D/RY2eeadqrZoBM3MUrgCKuI28wUo2/xtVmH/gjO5HatV
mFudbOKOQqv+B7JmDCCRgSaP8BnbLwEftrMI82MeZcMPIZLsPYVts6/6DqAdYD477NqS9McUU4tA
ta11gfG9QQ5vIaC8wFOsGBIrn4316c2Q6eEdPAmjJ2GAc1ZwNq0PdCbZM86Rcgdmr90b72PQNjnS
VRHaC8/JEaSE+877viQoRi19Lvlo7x0UF1iVvgvue5ZpWcWJUC/MU35OBtliloclN6/jEsGbJdDX
d7LM/BEo4dOgB+Rj99tIjzzi4CJ5h80KimK+2+ZkprVeNez9se6Rg+uRZ3ErwaS8QPWx/oBWZX4t
CLF7BFyCLA3asi0rN/vgpCJm78cU9QaRuSr4TkKP1FQ1gllIggJAYe6lusphGngtWzdCuLVRc5TR
kqwN69nsAUcJ9mUGM0eqYkqWR0YuUFjgkvmcLXI4Ys/17GDiUHqovhwCgHmHOPNchS+0XCjZjT3U
1w3cd+nBDKR/BHobHgC35dA4mBGMQ0HYAeWZFXAcIPYz4XF+8z/sndly3MrVpV+lo+/hwDxc9E2h
UBNZnESK4rlBUBKFecxMTE/fH+TjbqmkXwz72hG2ww4fCUMBidx7r/WteZTdyUCxToVs6/BO6RCW
GDU260w3pK1pR51O/8dlphs5aR3YG0O094YSciscJ7gutUFVGy9u5Hby8vYoPJvSnyC//gW2svQ2
WaKEEULRaD4V0HEgm9vQ5zB7dcubywbqHOtju7VM9zPQzuDJS+vqlSFgs7PStZvCEh9XVL9Fo4Vj
ULAiIpvTjxmsi3Ow2N5fg9OXhzZt5yQ0E2fBK2/N1mdv7NMrycD2I0NGenB+ZU32pusHsanB+R4S
fB6CRqNCxpBb6UzLN+4G1Gqp8Uq/z6Sn5zB3tWN57wSS9m0OL+NFLWwgo0QfFc+SLlDP1Z7xNejM
jpls5SbayW/y+FMWyPppxkgudladTldKqHk/5PTItkvPXBs5bHHMk+JOX1T2qau9m2Qetk1aDSGj
uWj0Fc1edIv3tgyYKHmoCRP8i9kWBJF565bsDX3E7fvOZWOxcfrB/hx4C/gpu2mTFfDHeJvBnq1t
DM0y5tAQmb4PyiS5EdJcotFc4qNJr2qPJFxul9Yqd0rX1bWhpZGr+uotzU1qRFx83pubZz0+BVGn
q7+4f0ocL/7s2k28Gxodby+/5iJCmjPqnJpTcUzYZgmAMw5j56xPchuLu51/bRnb1htg3/Wm1dKS
pcUaz03cpc9lPJWPGRODvZ45EF6MWF33LYIPHnDXvwLDG4SJzh6xGhNEdJUGLa7v1MHPAvqptZkU
n5D4G/0mjcchpW3n0FFsW9ONunhZrgrNaE+jaxvXXGGJ8DbLvsRLJhEgSnmo2o6xWmDVx67E9m0W
y3M7T6MKDdPoXxOr8+4YymlvBt7Nf1KS/lslv1Ml46fTzT9VyecMlS7/atvsJ1biP//cvwpl/x84
IGAXmBbCfcOhrv2hUHa/B/OsIJi/K+QV2Iu+eo3isQjWom4FcYj8FsuP4/87FfHavvlBEk6jC0W4
RSQAKnsdhzKn8WM9rHTpp3LgM8VYcTnrVc90Ix9B+rO1g1CPc7v/Agi9+0K7On4Hakr77ZejE06A
Z4FR6gplcy6OnnkMzYtWFOvOezl7SbHsNFNQnyxVC5pepvpBdvhgNiaIEF6obi7szcCU6rrBZv/E
J4iJM4utmQBSRIiEaoIEurCIzemuz+xiSyXevixtwXyKGVimwBtk3qzo57dmZBlyOYNL0A9rhEKM
vhJK180An+HNy31LhV2WoTxNqUQ2OV2yh7V5GWImnfb+OBLU4XG+LYsvQik7PjXOxH1z66m+5jQd
ANjQVl4t+Fw7NkYFjHrNOs5qzo2Nm9oa+SzlDLys/2CAPmflZZtnbGaNX+krarTE3Y2Bp5kf19ot
iyqVTBSHBGQ4L6kewC7fBCOfhqtGWoVvsRHq2vGuMz2VYtfyx+SGZnvq75piNpKHMdHdnV4WVWfz
PatgTdOGkPpWS3XLORr2+k8mRhp4nyYAkvXe7XQXyRyODoT0jELRbAov2Rqjv1g++xrXSLJyU7mx
zpe2q5PP1TInt4M3N1GjLyWTW+CT6zCy8z8tapJaBEZzisa68/bKXbaS/4WLeOi/OHk33Hh+rouw
0DEhl+CAAOWTiDLGxET05T3dpHJf9ZV+NoRf7tEltD3zonAo3e4KO/+us7v2rkupZRwmVdjvFFoQ
jXrsfmAT+VS0zjoSQP7rlTUtFEche2I8+qbVU/7gC0mESDB1W1TdqN0x/h/ppVgvubMqFsEibjOv
r49U8vJkxyCKDaN8SIGJ3w+MmmoGkQkbFOYPmjG6JxRExymYH70aYQ66i0B8dhojfqiK1NtOlpUh
4XLJXBlldeXppaAFztQgXbLyqRncGnORke4RNAZf3KSg/9THfX434DFFT2U4MC7aWb8JZh9OoswN
7VSnLn9q1mv9HtwFg4EOzA563Mdca80X101adhV28SUzXeOj6/NS2YwWd3EZ28eEQQQz5qk6UvS9
xbHwXxdUQVFAeYMEOk3kK/KOKF8y1KHpaG+Kdrwa7NS5LVHn7IDzwE93QXgf+sQujk1guOe48YyX
CWsvg8gaWZOJvgljQIkGcQ5CZTfikVZ9cmuNTnMokFBcjek83ZS4pA9V0jr3cM5hZAxtzrYizV/4
Rcv9NCnrSjVLeVB13d4Ui11+aRPpxmHcJ94p663lrnPkcF1J6ONV1hq4xVvfe5hziS0fDTnLijVl
Z5/y9j5YdBe5IK/EoZz6WNu0fobpwE2sW+UrcU1/KHuehI4SA8c+2+diyM4yLbpHBX/9QwbQ4GQV
5G9oUxa8NPacEwzgyivpNIGGc8zLQeSxm9kZ0BJRCATxsV2mcS/Bsm2RVPi7vhucb85AzoNNmfM8
5eifkkA71kVbHaUTn0vkvVuCVvTNGDhTZNTJ0QzaqxltMb0fa9MWtvqKWMQEv1WXBz2ZJjpzLW0p
Rsj7PkOSb6b6hALO7T63tBmv9G5ETWsz3nFre7zPG6eD4uzPB7Tk1j3ci/mTInqF5pYx0DDI4ltE
tep58WYjJB0Fx46QctvQYziMJdvw1s6po6EyFE/gHco9PztvizZ2u8Ar2q8WtfB+AUsnNlOsMyR0
181r1QMcMgZ48UM1u2Fust3xhWN+W1ZN3gbwoOJRBsUPBeexBY9zJp/ojqFdcGM2ZvJp9ersF6b/
GPZnbdgwrdLPblbo50AWwY3WVOb9PA0oaQwxB9cgaMgkKafbslPo5g1e1JNSCbEBdgBWIB7ldMSw
lJxauFzbxHeZfSmrPqtOUsxYLDXEa1xprpOfzM42PrgziImQSRo1VufOX9J8pEQdNb/PNkrk+QGb
e/eZwXc06Xlx4ltCH6hrzL9yNWTHUjjlvmP39mj0dGYST3o39JaIGFDdghZpLronUavgZnK85TyI
VnttG4X9lLCPhzJrEFvx9njX9TjOX2etAcpZJB1RLbUzIpaohn0sjOFmgJt5Mkuz3vlZ130cmZjf
Tc4cb2d7WPaMy9J7vmztixuo5rMva+/bnBWyROUlEpi5yVdsBXlkZ0sAEaTdjYRCXCGBdbYeiGHA
xpwnFiqhHX2jYGavi3J4RRtt0Jox8R3Qg9PyU5na3ccYA3jUeG1z9J2KJrrj5sW3Gr7JTqCAfKZ6
d90IPVX12UoSf1/TFDkrDPxXg1+TjcAE9gh1DuB5gXQSHS3fk9KW5Y20dZKL/EqcC2OWEUPa5tQ1
GvEeUkM4axf0qUr0WdpQq2fYZSiA22AQaOpQuWyENar7NhFohbRgftMtRf+GUBs+1wH3+KocpQZT
ynFfCCVg6Sm0xqbfpeX1umi3NDKWOI6k7je3XlFbN5ke1yxLhGQVfjkbmzx2/L0nSY3mmRgz4i8C
jAiVkTYhYRr+a6EjRIE08GqjEz5rSe188BOsFYaOq25EucIyOJt3SJF1XMb1ef0BT11pGftFKrqM
2M6CvDPPypc5tQpE9j6tm7uGsuXJ8+WAcJ8OaEf/ba+5uNixL1uR7/JxLAt0Hczr2uOMK/6eoZ79
RSIfkRsamQt6hiH4YDh5C8tamDsEUMYjCWCpHVZaa99RXa7a2WEK7suk9vZExTThqFvXKHlpjCLy
18+dbpyl7U6nQJo+4BOteyNtxpQkbYzBIZadRwMhb0NRCnwL8Szu2qVs74q57Q6w883DxIwvXBzy
jsZxCRY4E733zF7AfJwsRh00bCzvm19p6qVqfGcXF+0npysZB+TBvWX2Iuf6dLqy7FPEwWTJo3fE
UP00tr2GlpeeSAj3FRKXp3XLl4wuP7wA7AFIy6et0/B5mws/4dG0BdqDwrmL2ZvujIyPtXKpAnej
33vIqfEr5OHEInxjJarbiq7/WOt9dTuMgw2EbNHtPd+7ejfYpCqV6F12GiKfg9mU/i2i6Ymvgpe9
sEFzBeQ0nw3IHB9Um8dhkhYBHXSjN4ojijgj5Mku78amHVIirqbc2Xh6w/Z1EHNUaMX4wFAcFc9C
19bV5/pWFt3Ie2K5PQ9HwNC2X9IIDL5Jk55lhQkvm2kE2xMyHFMfPwx6mTzpRVM+YULzd1ATwAAz
oOlu20IGV0vhsluhO3rUvZY2SaLnSHGLhi8YKS7xkcCAftlOiZWfchkgy8oGI0P6mgTNoerMRLxZ
ZK+JgBwl0A8+Al/EhbTqiu0k/f7klGl372rCOtsA226Crje26JXh+SfddAIBuUQJG/9PC3V0bruP
iUvqjDLpfGe4aPBKnKrCM/7KPNvc9ETihF3sBmzJKvcTGlzzCO4CWd2YWttOaWiureW1T+fPJDbc
+y06vyAd3G254L8SXaaHjazHvW5phCMRLDRRIlxlpVFFQHKf+Fksmns+9gyBqcMq2dxoZXaLYss6
C8d+MQSS9GlAcJQUKLBxpvRhW5XcmJU4VVarQsyyGBt45PfhmLZ2tfJ3jLnnk58Nt+lsmx8tJO5F
6E+MjnS37nermCtcILmRb6GsLXM2uWmQp3g+GRdLllsvs2ZO+zxDHluRXoZbxrud3LQIaUMX55rH
71UTXsQEP36spHAPLYon3BVCP6dVmW0HxoMhLgw+c2C3j1nr+btZyAXXUOzQpVPARBuZ3MA45suO
8frW0bm43C+jbJEVdULbM3dpPbH5oWL+jcf817IUIIGFN98GfupTH/5clqaxjRYLmf8xB5q2dhG9
+NQvPqu0owoXWkNNRcpequaTrRfv8Cd+ljw41MSu6eqmiTPbsVwjuDj4ktWYDJY2OxpT039ZAC9c
t1mZEjMVFA9/vs5L/zeHsvC4WcZa/SIlujgUBLUcI0bFoVqzqyPeEbgtNXm7b38+zgUl//s1YWkH
Bm/QyP8V6QHkdLb7wkuOqo3nXUpf9OiqyYzKOpN3AEaL4HoIUliws129tl5CRT0uSXqLhm0truOU
s/t+Sv/tH73TP6KpDIXkfxZZhK9EISBSz8Ak/H+ZxT//1N/NI8Ow/2FY7F2QQ5hw5B3+wr9VFoZp
/4NHSV+BoN/BxT+pLHQDBz/6irV5ZKzajH/1lMx/8Lb5tkcPCBYGRIx/p6d0QfFG5UEQg2nQ7vEs
ncGNvb5gP4gsGDnhyFNquqlHEksH0pZZ9yyAd6TOjQMrvjOf8mmoi0gntetFNvbwVNiCmYAI6u75
h7v3m6XkF8bHdz5GsOIVYKQSxbsKr344G7ue2yJI1XDDG2aQhsjoZKO8BjsHyzX8uWG01Ys3tDRv
+sqXXQjSBiEgeDzPRjvp1V8DKfVb/o4UWXNZGk9gQHxjP7tO/MZs1Jh2fz5j82JVWO+fDd8UmQzt
Od3/npXz4xlnGFPAR8kb+JNJsnWhaD4NNprBnaTF4gCin4ycvgQOiIUKMtvMhW7tK1SYBoagRn5N
J8HMIiMhZ4sRsUELX6U6TuneKVCJNHl6Vyh8hcjbxRZLbPAREcMVxE2KzUxo7pmW+VDt/3xVq7Lm
h04jF4WSTPf4IVyeDev7Rf9wUXTikK+36BjAzAcfm4RJ24aNCY9GW6vpjloK0U1slJ/+fNiLxRx6
yNraRPODsG79jwvBD1anxG5FUt/UPkmGzJzUDfgGCI1x+vHPR7r4Zn0/UqCbSNfWNOvv+qYfn7OW
Ld/S4ay8waxvvwKUpS6OpT+bNE7SSO9A3YWWPvtNmFvOWL330Fwomzg8D4rpmDYgIxJrVnnVj4cH
Z5Kxm8Cv63WF81rlynktGI2XeyCXIkL+3VBc89Pvx7Kjc9AVjfeGfwQ+aTDb15OLAwR9UY63M4ev
8IRn0LS2qT/Pb61GEpeuYToNHQzY/YGv5qLe+eJfhoCt54/wzzSArjBi51P18/nrrkIq5MTE76m4
es2QTZMPqBWytunDwH4/UXIUnxM/wGm/dKDfkHRmISJ075v0lqUJ55ROnN3kwxsdIXqoTpt673Ss
IQJdPMUezGUeIlKbgcLzdq5c4h+eYrf3M71PpXXO6TrGgb+VQbrsVxpusJOoDsCVdfo9/Q1HkamS
0i426r0w+3Zf2i1xrWVXPaAPwovvlWPyPOZVc2THJTet07VPuKR9YhfrOFRNTswpXhmK7DgX9c3Y
agIZPYrrJDEYLuH3QAtKC6U64KYtH8w8uUtwR0+bUnndjYy7R2lWmrV1Bz7gRjabrA3EEi8bffTz
6zJ1/JdYx7uXur5xjQRpCKjnUrqRvNTZka4GspqRTiNdX0fbLvn0pRU40RUwNSqOSnq7WHTqSJaM
+dilpCTtY09j3r+gEPgcgD/GwFZ32l+qgqLQtgKBOHb6o9EF5ddsaNHC4ZEpPmRBPHmbAeXwiWan
CmfuA1puM7jFLTpFKJa7nWFMxhCVgKWwa4+gYmk2pHFUCavHExfcpjGYAJpfjTzwqTHHEOSli7Lb
Kz9NlZ5emX3QfnDwI+1VkGvmTrjV8uq7TR/R5ssXVF4+oiMk1a8YK8dvAHBaJ1xMqatNnZhDsptk
3vByjGM0JwPb9p4NEYWdVR1q/lFqbJssYZesbGzZdILIi45HFLrUWcuGnkUcWlKrK+w6RZSsMKn7
0UJnmIkeVkrOkyR3lhwDsZ8sb7p2sY+UMQisTlZMjrPV6vw1ZR9mLi9iZCuMdSToWcqbL+Zc5dLq
cbIp1eo3spAQZbAmdcseeI6MoZBkgChys2w+6GRnHPPZYq6h+A0Yd+Cqxj6T4mzf1nHM91CWBXo+
t6A3GtIYMOJbZGFoEg/F7I2rFqwM5LUrpLXuDuMGgVCo+BbuEMLl8e3Aq0OyWkeXmQeOKWq1q8us
p/jp+HiBbMSbGmpxYASowWMIfmEjYhpxaUDuy46eTVlFImZXgGYwqZbQXxxWzBolmQqrtNdKprhz
Iu7wQkHGa5LM/6apwcv0rd6YEvSKT9vZwf8dn2qL9pqTh/UkumU+CJ3VDatyknrADcWwUMz0os52
c+lW80EXompDx6TkCD2aZSUt1I4mBD+r+ay11WJsMQOiteDfunaLORalqKL5/5xXVVAdrT6QZVQg
QnhYlLRAK2CkMq5S5ETUn15qpnIf90Nbf+BjbJ3QtZvFTrWcQdTIMlki35gW5Oj53I7nyoeeEmm8
Kj3KHEOdestxym0S02rYenCwGEt7gv1JTfLV8obFIHC3PidQbYG8p92RUa99QLBdILssiMrZog+M
t4uKiZXGftEGUKDH3A4t0H0LNpR80a70uESk18YoPD2mQG1kEF3THNPMGJOoCOyUOpB/bmMEzEF4
fBgshxO51MsGt6r2V49bY4Y3yntk3hgLiTcIFgYEgo8zYhV147YMrBiwdPLsKARk+wTlOn8gwEJp
7UByG/ULPtg6PXVgiqedGJ0FIalM5KONGP7VmWLscL7Bw7tTCN2tSLgLkeHY09accYs4hBBjQERA
YvdSjiM7izzJhw+I9sfPLQM8fLGECkY+GVs49FHFWTunbICSM6YxbnAeW/a9kI7xaEj8pYij4J6H
EpTzhL6pyrNDj4EbkILHqPE207yAfk+3Ppx53om9V4qULutsSz/Uu5HfJh1rTqyBuGFc8QULPmKt
4OmuWCX7LQmIU3OUIojNu7yHqfJg+uhSjpOdj+osJ7luPpmK3DmF5k5RM1YcumkWQlEns5ILWBBv
vfj11EfWJ84LW9ENE0euQnXwSzdp0RRLGBQ0oFCjJkV2X/cer3yv2BUk/H+sqaas09vOsBH5bKw2
1fm5yQRQ50pLcY1luuowiese3ft5WCWj/G+kH1wRCwgW2XWfLOvqI6bZ4AQnLyPXFzMhzwXsgdex
xgG6YWI5P1hy0sVVwjY3v0JBV+QffL4We1Hrxk0XJN2LrZvMEgBiZuap8ZNAXRGyg2Np7r2ONgd4
PkR53NYV3DB/KUr6cpMSmPo6MrqK59GtEnHALF99m4kmYg3JOoSr1AHEQGawiMSudavgWdPjaleN
bYJ50GaZm/sxfchgXl3hSM6drWP2JrTR0rH5HKVm8LHPtSGJaKXzmixabAVHu26M7q1iQaZpY/BI
RXBOeEZyB3vtDsPtEPGRGbsro1emy6imZChVphZaQq/v8r+QjwSP2sw2/bQEsje+AjVColcZhjfA
TDH5qyZaxaBwRphwx5afZQw17DrA84dBnqfZw0qKHnbje+JgV1haDsu4Iq6gEYhl35ZF05xrhi3X
ZLLbMD66uhquEujvaeg7okof2YmIrzr0MqToXiYGJsoIxpglDz4jUKzYH0rwDtkno2HSi96XHdj8
1EpIGvxl4F+i1MMlddLidvycJro2QNwWbsF8VDfuJ6HFy75XncjoDykeUrq/uXU3ocNDGOq2K6ah
HXS0pgaz9nBmdyOiEcE6ylW/pl2Lzaxi7RCijIzJmvrtUIJjYZTU8fQX9pR42zmeGRbTmXW7Z4xz
hLWnPc8aX7rgI896Je7qoCbbTdH2hzlcpeAtJvUCVH70jU1RDN6TA8dh3I6Q7WxAOyXRF10sAvzo
CU901GYWvyaFwzxdZ5Ysmmuvb1PrDiZJ6R5JeMBtjKZPS85Fr7XkpwvM3Rt2Y0qeyzLm/HsozjuR
+kUK9EzXEfzavPezC7yOYJ3UO38vPP7bSXmnk0KKzgpJ/Z9bKTvqm+zrT32Uv//Mv1Q4+j/4K3QH
8Crf8n96Uv5upOBkoUh1V30KrFKcrxSW/xLjGP/QdTp2gcUJELBhUb//3Uih++KYVDBIXSngsQM4
/04j5aLYwBBGyCniHLDL/Fd4vD8XGwkPz+IzBTyYsG8k4vF1bkmjPri21SpKAWtSk6lNuMCWVrb/
77VB+RTSLfEN7s/amDQvw0+hSixAAie5H5U5RN5cucx0iIWfQTAefvhZftOjuSjS/3mowHd0imf8
P5dgyt7KB8OoHLm3jR4AomkgCCbwOaLK7f6Dq+JWBpZLwemyI/35ni4GYOPZtiWYxSljw710216C
KpOT916O4Fqx/tDx+H5VBPToNiIaZF6X1rl1GEAsNTcwyGLaTLPJV1i53yaGDkkd5yHmFHCycUy7
nsX6vYic3x6cnu/6FLOlvrhOOaVgVFopsejZ7mZ1D6HBsbt/jwXLJTomzyX+LNvF9eVdHEUkviWG
Llb7HpI+TGqzhqrgTJ03RHlbUaD++Tm56CF9Pxx9S920VsIsKrmffzynAwGRGlLtk9nFL1D0b2CU
v/lJU20gGV+5UBHeaUusf+PPvyFsaRO/2hpkauiXsNs4ZcrtW0ANc91xGFoGJT9W0ER/vq71Nv1y
FGpafKMY0xAE/nxdtoph5nWFYkA/kKmmadck79zOBuMf3O7OO9f0u7to/nC0ix+NzjHUQIKx9j54
HqxnGOuHig5EvmYHB4HcMA74/OcLNNfu0+UVrhGsjkXnkgfyYimbU7SwI26SvZG69q3d2OXHBArh
EbSLf0ARVGxV9+ANsx92pS2+ukzYT9BuDirpm/2ggiFiWjFu+tFrv0yTpR1nF/eGyVD5wwJUFJRP
gi6tW95ZmIzf/P5YUD3dIDrWM3954nyRuGaD7XmfjTi3N7Y2Ft5mmpwhQla04vBBQLakOmwt7l5k
lpP9F+qf6Q5wRnvj0QkPkWAFt+xF/84cJ+Q7eWNgXzLkqf9Xrao7jORS/J//7fz21Fif1zecMdJl
QzUPyIWkRJZ0n1IwCKmzpW0LQ8p3ZURoj3girQPaGcY8rCvlUp9A9vbXlNxDgVlIDgBHavZUAmU9
dv2NRf23jWufTFUzma8SZfY3JnKO41KMJEcO6H/wfBN5Bd3wo6L4+yjhaYUBdSSjac3bWbAyNoPV
+5FqppMsesIZtVKFeCgxGZREFdrFE5swcYOpjiR5ayl2vaUgXmjytkEAfugyD2eTDTRgQqF2jWhP
f9aYNe/zutDWMIRvxWw9SAzhCHSS4kBys7zlb653f35af31BfMdhY8Bbzzf4F1Es0B9HOeP6o4v0
RitQs2e+fjSy6VEtcRspBR72PzgilQXoLQS5rDc/LwBBPw0QsAq57+MYDogdlUbyJajt696iT0IF
8OnPx/v1g+s7HqsNBNkVAX85YRAJQnZ+G7nPZ4huJhKvYwLQJPLN/r14wF8fU5/wZ9fU6Znq9EnW
//+HjmmCyyYfGUrsyZpyrvA2GcdmVN47N/C3RyGwnW0KPQPu4c9HgWKvVZLkDFQvvd5vOi/QDvQp
/Ls/37fL0RZfIK7GR7LMbpHx+6ViuaDnYdDOoFU3Gc2WFli+c6eKGY0g9cyOBaFcFg++7ln0M/1n
Ssp9YxfZe8vSz/F3PJycBlsYCMkEBjAOvGCwo+8BTzl48JEn9C8j/bwdTR25s0eJV9WyF/to1ED6
er15K5vReyBgftwnjj6cifu1TjQP3024/O05MWbA0gihw7nccSS2pjEttsQelkh91HsnCnQEBEst
u5tYtCpMwWi+lHQ1QiI05lu1ghnIwoas79cNva3yjQyY4abwUS4u41+KVi0SbNl+mMnP2rQycw4O
4UWneoa2qcv3Nhfmby8APR3pC6Q+A7r5+RlCbRRUsz9yU/HT4Pdtd2q0k6eUVSzEHp5vUdjpmF9c
yRerr070yF79zHskCiRY5+rx6jcaIlopwX2zeM2jby9vixMTZOmnwY7Ww7wdi1zjWyFLEsMg77zz
dF7MgP75WPxwBRdvwSgBYyXNLPazlieneAlqGC5Tvc01fSszbKaWAp+Y5/rRauYhXMXH77yH1u9v
oq+vVn/T8C5fd39mLWH4IVY8IVIsVfrOZ7ZVd54tsGoG+temHKZndEjpF8ZwUg1JCOYYc87qux0S
sTN10Wx7ly4MvNgRa5ap2jDlgPvJwVlo54nxNteGwVLpfcCIFDkkYW5dLXiGJoZSeXD0a80xysPS
NK/eoKPb5EAJFM6wpcfuvHPPf926gbPSSZxlh7DGVl/ccsf0CSbKWRC6vHyuY6wAebnVFviJzeJY
7+wTf7NsI0xBzcG+nr/4MkRWgCmvexadfZvU3wJmmHy1h3y1RgbvHMnnWf95v8ZlAVwwA5tRNDL+
n98FUFMK6pPDk9Qnj2Abk2eSMOGSVzPVBKG5dHJ0V/NPxAS/F7/wm6+vq9s4W9D/UJtfxi/IJOuA
TsJ+V978wgB1NUuuGZPfSk9+puR1t++8NetP9Mu1OmbAxJmC271c00HoiSnLeGQpw+sHZbHvmWNr
O9fpEKJyf6Nx+NhkJQSIuWVzY/tZOIik36Koe+ft+e3D5GDmAqGBWuHys5wpzLvgbcV+9PEj6qtx
1mbyQ5ZVk4ROmn/785X/5qPpMvrgZzaovX9RH7ko85MKZ+N+nvtpn7QwDRZi8d6pES+1R+uqxECa
vZS93l40XT8/S7kwkgb6vNhTIxPbN0xA9Wr4O27sa8eRIV6Y0KjeEjJZRmOcVDCkjJJxkXa1AAJ7
5339tSjnZKgKKcqRuziX7+s4K2chKIWTwQATMTKmU9cvUJjxXyYVGMtWVPU+9aSJpQjz9Z/v+OWU
+/u9YDfEzV6FbfblsyahypoWYtH9bNjp59brNWcDIk/eisxwGLi6DSxyYCBgOrCwIEkZ3K508A20
sDKqzkPbNyKnPQ+phTXXlFIZIUEE4uufz/M3Cw2xlSQ/8eqzz7mEEaUa/ARIG93eneJ+p2w627bo
gmjlobxzS35zKHrDthegAEB9dNn7yXL8uB2tfgwScfXNxu97v9QpPmTN1f+Dy2IPSrSVu7bUflnV
2rpdJK71bu+YWX8Pit3dNbMXXxHrSRfx/zUaf1Od/WYR40i0RdgiIma47FTgUE3yRnGkzML2Ecu6
/VAlZGHwdWMCP1U2an6CBv580N/eSuprEtDJQEdF9POLliQ6TPnU6fZMaYawclCJZnllbnsdt/qf
DwX+6ddVk52GHgSYEUk0v9xx+7BQVbIYPCJ2r3c7d56JT8hSe1xIH45rNOG9MLcue3J0udYwajsq
RzVFC/O76r7yHV4uAANLcIzFXH4024GpDexWn3CDErgv7J0ufW0QH5wLhJpil6QlHkCBQwvbLJdk
hZ7bMLsOBmeExID8Z75ytDTYZ0yOlgihCpjapEiNR1eZzHBLGyjKjsRcWDMWRFXzUwCduMIhTLMk
2YAwdtOrKYXyvyLw+vRJlI0xH0uwldD9M6Mi+01vjVO10PzfC1UM4sapUPGebSCo8T1m8LJeVb3a
yJwJTP+0UTZu/23NHC5Be429fouEvSExEtn6hwE6OarWWmsO5HcjSpuT3oQrnGYfK8CTIELxS+VH
Au+SNvQVwZO7ucjmJKqIueiv84FyEj9P0I7lXgi85VvmQfMETZHp+hU+41in71C1MD4qnO+bISOh
/tVjiDPjd5cTwl/SJT+06O29PXOwfL4bY2/4AIy8lxE0+cB7IMrbB4Y9D4k6somddp0/BdnOBv9H
vsXKgQmJqQj2dc8nKirjtf1HUA2C7044/hNAO4TUZQWFR8Btxx6BXOJQ+eqePu9OIdF5Bh1dfoJD
oT9Iclk3cZVPB23Oy8jqgltVzqsdYTelXv1AcMcG+xkDaSbMe1xtIxlbRbVL1HCyhnkMzVa85gU5
kHCV4q3KJ2vHgPmrbWljNDBo4xx6b++KUY+APrh7nN/Nhh3zQs5BkFwJu50+e5LJEBKNfFN7w+vS
uc5hgFUB5nfeOFn5EeFl5OLHu3OCqo8IUsjucIIvodIz48qvyvSMTASjj4d6B2vBxwn8xt7RjPss
Q+nGVDc+xoFdQH4pFJsK4YUlX4mtEN5yD1fv2ElbbrJlhkC3FLfwjZmz2/2pmCZyhPSCYAaJHjoH
T42WsiCXyUq3Gb/sXezbD4xucYuNfrpbln4JZ02qbWyCfl/Yuj4Axm//qn2hX9ep529n2bnbSZf9
N1fr6lCTiLx8GtZ7r2mcY18y5fIISz0S+2sexUzIIE2Kk4naEdO+sSuc+dP/Ze/MdiNHsi37K/0D
THAegEYDTZ9dLnfJpdAQL4SUEeI8Gmk08ut7UZlZFRnVNxP5Xi8FVFVILudgduycvdcuGRK/VGm0
9xz7IR2mFwb11WbUAXt2Q/RSAtXueANL/yAHDzuERqoMepHHPPDBWEUWEUpx7W/0DKc/4bBoZbIA
fgfnhitRw/KujTsonoNiX7TECRC2t/iCkDtqZMFgdNj7Vp/u4R2hwyl9+WEL5Pfk8MDfXuPa6+cJ
HVULSYqjual3KABq0AaPeU30b2jy8DyXiMDV2ms5R7CZskhk8TC+Nlz7czvylEHkqEI/Nw76EE+o
Mvoaiuzs47qFhat4ITYRmK1JnPxpjEfxilnWYzw7wXAa8/WM8OtVM6ytnsVoYjSm2M0OT2/9q/Lm
vNlbeWEOa4gp2JWmGu3uScM4h8vX87s4LCbpaEfaszo8grpFhNBxpcIey98ab518TOjq35lFZj5G
ZZWnh5GQ8I2D+udsjCbW31SOECpbmnEJ1Kl3V4+oJ+nvNhtv1oubhk321174sQtRB4ZvNjqpdVJK
oK+XefQR0NwfVlQBTDSbSOrrefLVF+ZM5UfXdIvttBTGV+QY3ZojmnMJKrN5RR8yrpFDTLueiuXR
n+zsVQp+z6QVaBl6sz3OWFpWqarsA1pG8UwXjjFIJsDjIKDjSUisoH0hfb39lYSVfJsrrX0BgZTu
yUnpi4OFQGIL3Uk8OzVyEVRW47h2I6fs18O8mAUgmzkMxHF/xy70tYyC64AsAjP4InjnVBp025xz
Uwk9AX0k2bmxfGqjcRHiOKnhh0E8RinJB4CjVyWjwUNDkNTyDGrjMQ6y5AE8ERAkjyE/Xra+0Z6Q
b/AVvUVnfBObM3+qm8snaaphvCVIPb6kPs7UWm/m27onSMRObH6r1aQ7W0/dB9mbzhxSibRHt0mS
C1Px5iutO3ND48y5xB2vKila5bydB5VjylOLCYTEgktRNJL8bwdTLi9Ry0vF3aUJ3x7zMrAvXpI0
752MO8jV+LlEyvVOs3wCr11NO59E7D3sqAn6rQmUzOmad3Jjqg4e/gxZK2+zdMeVTfeOKvm1GjJd
o7PbY2NkwWnGo/jeQ4V5kQnXdfa89tfaiDuITgO2MmzhZXQkg2BCdNeLb8EonIs9t9qIgT+ILypd
IpIQb5TTN5RMNi4olHsWuVLWSK7NyWBbbtakdMQr3Okt0Cb8wBUr1BAJQGC68dgYk3NJnTr60rhJ
fHYxdn91Yzdf99Ce8aqhkDRC6VNEwg8yN3Hvt/Ct9GgdIxvDOc6Xh2WovgA3Yl2Mo3RvNfx0o2vx
ZQhaF7yU71CBV3ALL7bVFocuX3RIfUATZ53mY3RMyp5/EMnADwkCK/p1NjdAmmbec9pYlXieJprW
wELFNy+2nVUUTcXB6PrlKR8S4OQN8qYHIqfkk133A2FfNX9kgcnmSn4y8IAscR+0YMYJ3lRjciHB
uTJCYVfdS9HO6s53xfCkY5W9psvtNrvIPzkZfvPWlnxQjvMs8LxF86TVycUmJebRz5LpTo+16UOf
63SnqYVUQNM+uiJ0sg+tnlQn1xr5jfWcXynZ1ZdAZyIzjwi6jnNHS3yjkZH14cEugAo+JOCx6LcI
YsFAmlVQ8WpUb3YG6QQFuhtd7YQjV9gMop0OpZREvSQDT9KsweNa00DiSWPNSnCVZ7WBVXKu7zSC
IEDrTwX3Whd+QnqSVWP2CUT/UfsaZyapl1Cxy7H9wAprPNkxQgw5CuO7KzNUuLx67T2rxfxRm1nT
rVyzwrjaQZL6jhBkBrGG+mWvNQ2XxWUnFzt9zGGwuJS8j7NZaNeg11nNPFd+V43f3vdRReO/NZtz
D6LwlaCB9t7o/fhCTmi664PBR87pI7AUySIk8Xm/ibPpn0FILN58EEqs8XVeOocardwHFbV3y5k4
2jZD1LGIuaZH37S3BgbClv91Fn5/jsom3klSDvc2/spDy7Z5sjo7Bzjmxemda4tmi+pcfOkaibZr
Tj76uOZ/EjDd1pFsrHcniKH3NijVGhsFnmkReeNIy90ZXK+Qiaa9zvuO9xAp63Q1yk7dUYSA5baz
6MksYntVaPUDrtRbcHQps0g95SxDlMqIkJYoYP8Ie1hicWs6PjZ3L/qIEg2VJeuGNTNe11PtVrkE
YVSTEz3AZKwPgUqHmEW3nEOjYtjYwk05OGl/lNMEopF381aPx+5Uxd5ilKtIDDQtSsCA8R8t1LfA
QeSYe5W65rW0vkGhP2Lewx874cmYLdFuKtdoVqq3b5TK7GfqbXjUIArfg3GZM9U9WXSaeWhhFTAt
SyhIJay1Zzx18VWvknHrqWbv1kW7DgChxGHa1nvg7m/0/8rXvPTmRdnLRTI10vMylxPOysNdBSIz
z8Uh13RygiINw0hpN1uB4u4mMQaI5dM43tl+TiJAlomHodVclrogvg5EpmJtjby7AWFWSGN6AqQf
2W+ILd0n5LbFPk29J5Xp5Y52KQwmnVIOpN1ExFY6JrepT+OmNsxDZM3Ge6JH4xYMk77rTWNe+ynO
wVHyMoom6Yl7oFUYTwBPKS7s58x2QHGresvrxAJcZ5xOY7cN8M0HwQcxJuazamzjHJTBjGqhtB9J
osD7Sg27dVi7bspIgFN0PO9+ktwlR+Li2XrUhWHXd3hNCIv9PjNqAkgV9+m5zXgM0qqIUzx9Fa78
ppmS0C5JjFINZEsGCGEwgxEfPJeC3o6JgZtUfozHao+3tSABxtZO9ZSp+1k3n3ukwFteRfDQc0ah
5mBgibzhXNpO9AUxHGUGsLOcJTAD89CnV1/Hr0qejH8jpnTJNEg2iVNgT7U651I2DiDBZAwMhhbF
fJimWt66Dt5vajQt54Vzq2MTK/KgQG7VIfrZRVMJJC0LiSTlNWKGJm9hlWcvpWm7O8egAU9rjZDH
dm5oaQyppu4CGHaniWY2pzpPkmED9TM/BmOqXx3PPnaZp/aR7FfSF/ltwV2+ERVqcmHX+OAZ8JAB
KfoTfd8pdEW2N5QWvATMTDnnvHV1tYilnZkMa8KIcHIkfoh00HhBntodatN7N2b3e9TV7Vcq1uJr
AS+eRUtoX7wCJbclh3jTe0N5P5E+sS7gyjP0DnCEkq6U4DLV1R5FrEyPxDeO9lp6usDVnRtIbmHd
1heNVDC0yZNXX2jf1Hpo+llMMH1RsAjV+Mu/lmVW3ZutX967KX1kcnJYQLNk7L8VwtTfK5El36Dg
Y2k1NX5hiwrg6HRZ/YBD1h9fOioe7lvKIQdpHxk90FGsQ9H47CiBal7ZLemdzYWBKjKmIXmooWk+
Uh9zMs1BPh7jXIlvZY5LCvwrTQQxDeVHbld0FcTcR191kRnvRP2y09c2KlwBmOCrmZPRs7KjVCOY
ao7EN81pgKmaswy8zZw7cPlaxcIgEjXWWy/uZb21g5GOxqASHo8EJArEmwodfuIOKLEDwpm+woXi
Z4JGFd3aywIiO+xK5zGqLIJ31lLwV6ItRS61rlBpeRxiFB+apXYlbtLZ6Tk36pU0ktXY4HXfUrzy
m2dicOqDPdJ+XEO4nLQd1CJKgJ4JKcY3VQanLNHtau12JUVrEbncJW1mqyOAdoi+yk6CZI8HKP0h
gvDywxwItQmH1sJdNtpW8PW3i+lILSYVgvFkupqFjjLNM2ZVh5wn6h0I5nhFnq7IV/SCuPT4HaoH
B/1YtSvSjHYPygLYkET15PvGoAt0MVtHGVuyPp2biQCDB2dEUcEtZN66GqOW75d7Dv2QrtHz7Eag
YpC7ckL4cRvIXn5Il95oOJi4fm5dKDqP+STNXQUx5rnErXWfewFwRBJn9EcEp2LaK9rw0cUe+NJ7
U+r8jVTl/NVpFXHzIAdVGvM/Iu9xk6S8u/T+k2lNX4arKAHC9ywSpviWcnpJiWakIp6EFN9TDCBg
R4YOYfgQLMhDHYisWhU67084cjvnfUX/7zjitFu89D0VnZPYTXbQ3Y4mCtmCRcbikpJewTvFgZtN
mP1rVQ5LNExF8A6+nxlP4CWRBBa1SwlZeBWchQJt4Bcj081NW9T6kZl0t4eQad2Xsa9OaJnSJyLZ
xi8jKN/f2ur/1aD+jQYVc+tiKP1Xa/g/mOmX7jtCnh+tvL//yL+8vO4vMHqhpcNjgIO2yCx/8PIi
7IGbysQP167LLOMPYrr7C5IKAgMCGvRMqhdU3O8SVNv4BXOavQziGZLarh78EwkqYsE/93kZwDG0
8ehiUGY5SO9+khrkYkAABFj3LiPRnqkNoliMul1MtUc2rW3f225L/VwXOsSC6Dd7z7hYfXLeo1Gd
W2QM5Pghbwuxv+S9dYWZSzPg2SHuO9dXbk7922D72cdzpY93fdHq30odPiWxhJh0fCx0jH9DczDq
mKlqYua+3NWBTSOU4Pkj24nxYXE6rAnRa/13zcypVF0/Pnq53YZ1HcMBxQp2dbCI7OK5ntdWUFCe
5Skx1JXlDtTcZkfaKTCSjvXTstkMde3dh6SwLtn+WY8D7+wmUHzSec5OkD/Sgyed4euYDebG1hti
JrvKTa6dt2i+Ra2mO4lUKFhzpKVNaDV845BzR0/QYFs060BPkps2yklE+6RdjO57Osr+i+B0lJ1J
v9TWAhjDhZG9PdLRUkm6KtzJWfWc6MkECRTRn0Lv0+nBc3oCxbgT00s01VWoAaqkCaai+MGzLXSn
ooYqu5r48w+pGyU386jUCxwiw6Fzr/RDXFlyE7hkA6107DTG1kNWFYdeajXP1C4M5+KW8oxSpTxq
uDaW056PmoN8eB8kwuixCdBabwkkTc0s9BT47TX0NNGt3YIJLr3x1r3jmxARSIBYqQBvJ2qNwQQb
j96RiallyQewbZtpXJrvRWoP2zEmBNNp02E91Il3385I/8MqyeO1OfX1fe6W3XGqIW7oZWvcE4A5
wkQp3WNk4zOmJHPcb2MTAJvnpTkjNpiX3mtdskPEE3PgbVtpzckGZzLd6tUA3OSIzWz0m1XgkAYJ
vCajeCfrIqmaOztvk/pAz9mwQ92iAQ9i309dqrlS2KcxyplIhIDjfJ9oTgM997qcuXr3g4iXbBMM
qg9lU0Eu8TQVNE9FR8xISPA3tNqECUDY6QnAD0upJRgFZkp9zOqoC04ufrVvjPymZkVUIbLDwp9K
7SSdNMb/wCZ/FozpToCjE5Sv1fhmUhA1pPuMw2ZqqnI6qHhKnJWAl8g0rXD1ZE9jHXgsB/rCCHvw
ScYKyoPW76HXeNsqTtO7VE3GvEpayfCk7qKSNzvyPYQGzZQSSsNQa1w1BBDIEyFXwG84BVmrOuFu
rhsMkMZKr7SOjrpGS/3OZesUq67EA3qr5nI8Q8HSd3AohnUC4nDiibOxkGQeYLpC81IYXshDtiC8
yaZCte9267Kg6DNTUXPIVm18tHVxRZSezffBoP2qIXHhnaJQVBhcssk59ySS0Elsac0wGZjqFxXR
yQv9aUgeydo26x0h8h151TpKEkIcybTZsxJND3T7qJtQWuJsSovCdHeFnmCu8rLIQi7TdB+jZn9x
BpdDeOqI+UHmpmz2IwOm+tARUrT2Gw2SvgCuMkeZeU9oDu8jWTNw2TOYu4wlFsHl1GbkgVr+MdP8
ieBLHJ3qpIyxvvEs8rmgjHf5zvcjsWgAI3oo3Kt6GzdztjZn27rXQADKrTUkxZoBvnlTuxUYZT/D
oaOlTZmsSQ6jOTYTJaZbSOlpGHOMeu8YSbxleq/h7C7k68K36zZdbdu8a2TjrLUMa3FpuFp/6OLl
4G8R47txE4QON/wDmyA9jcCF0DFdUMWh688lCH+hOWYJMwRhqB6iJbTh8Q84SU3hwrd23C62wko2
En58Z9WbqAeCC8OGpGD7FovjgGmsiopHY4qtJ7rVzzaPMPMPoThEBJVu7lENe/cule067qNp3Zsc
/r2gIhqx4pi4KTQnArOuRnWFhm+fi9IcCEUmhsG4HbG838797GY7v62tl7ZXL5xHZRD2bkqr30ix
/qyk1HvcnDJbrG+Lj26eDEHyRc1ptGb/iu/RpEUdjkK7mPCSlr9bS+1Po2krWDXOnOqN7WeR8N96
6m/qKWw1lDL/czn1f7t0riuG8f9Go/z2I3+UU3rwC4YLx6J1y5kCLf2/yymoKYj4XRS2BpKXJUrm
j3LK8nD08FM+bbfP/+ff5ZRl/EJNBqCVemoJtflHtF2UvD9VU5hc+LvwB2Gb4M/72X7Cci54uN3x
ZKRNoVpc6qBAi6V1wTEMf6T0eZ+yFuX4sMvNsij15x48krHJMXmKR7O0+7kLkZNT5Bdd1jUjPhJZ
tY3/kLrE/bn9asjYqhaxmyK/17ZGjgtVFUz7TBtHglxIXuMAfyBEs+S8EoKVq/rmtiom2hySSSJm
QL+pTrDf1LHWSqkfstSdbsmEiEhzaJtjpbkvmqjlbqylR5SsIkqDZsYJVFO6o400cJ5xmP0kvGUV
ioBhXJy+iy0WdWSwGQFSj+uim2kLuIWrrnMunTe9MZfDTS/kbUp+W7fBND0ORA4sLsLAivViVykJ
kE92BWTgoE4P+D5b78w8S2Yc4vV012psHyHLU7/ru5wqSKPOXCWlzRETSt02m9EFwH6r+MVLh5Mj
lYzkxUSh+dqPk3EdXdi/jMKzfp0IIeMwJjdbrUQ8zaHIy46yppUvPROTp2iuOTB3cduog6p9tWR2
OnxR8lYH8yUqsvY0IkIE/cBMzjZyuYHF2tK7NzpSMmqjWXu2N25QZ3EqZJbgHFzEw09Q7tTJ7BcW
QPrJBUg+GQFywQVo1kIOaGEImJ80AWsBC7ifjAH5Car/JA84bMJeyNEAIoE+ELzWwCXYtwuwgEhr
2AXmgjEYF6ABmWKwDSazh3NAewPmgbHgD+j06m8z1GVmvLyN2zxKSYmBbvLGQTowsc6XgBRq1TwY
FZB6qOrFS70AFyJdGhQHtL33BfhYfW123oX5DpCGBdcAGsXDLJGwrbHvL0SHOAYrhrZA4Srtgoty
QD+0CwRiWHAQyScZol4gEW5hLaD4ZCi+6ZjrDz3766EvAUu44Ny/8jZAm6gyI3jH3UA1Nole5ru4
bxmNwhE7jEt5YxbEKLKrROKBoMhfdZQlNGUBXESfrAvegPRQe0ApVtMnDSNewBilS385Txz/FYqX
uZMioWJj9zeMtbOANcQnY0NA23Dsoju3vj6/F32J/KCNp6eBDXkffZI6NApzmpALwEMuKI+pVtW5
RdFKdtQn68OUCyRzAYAYjFS+uDEY0lELqkNF1Oxz3xYwQwibLK65DUhEMD/eSRBsfe3zHNIuZipg
5/o93XGGrZ88kpruwcjKQlbRDY0PAobB6V5obAUQMPTiOy7Z6dAGAjQlB6lF4hCEVdT/mkEQACYw
jiuHOId9RiuYJG7zTY3Ts1N02KDyOKCMl6bX5evWglFUAAiglT64dyMe4JiPzR13mLrfVEf/3RX/
ZlfE7/bXXYbz9/F/vdZd/uO++PsP/b4xesYvvsO+5xGytgSzLX7W3/sMXvCLh9gXBx89QWY+P/YZ
nF90TAaYGLFL0lBYVF5/9Bl0ot4Ciy3R0hczAr/w//zvP7mXxE///U9upj/vi2TT0jlDFGlhgAl8
92efnYHMUep6XB+YXHB+z6vYuVgdY9S5GP/O2PpTR+Pzs5C8Ymv14eF9ctB+dKRIAcuo9Y3q4DFq
Ps9yMs4ZftqniStwAqD9D7XUy+dBHjNNWjW47kA98N1/cMB0ZDtxwNH5vJI8+XDUG1qImQJH1atl
TthHMFot5RuPo0uv+ofy6O+FiMuHI+11aSBx9yh/FqH3Dx/earpg/gDBfO76/hsFhXDDguTeE8c8
dVV4BEA46H/3lf8/l9jhaoGiwrn8n7ECdEezbvQ90OKlscwUk/4b0ZXLVp4yY4z16R9/IF4YSjge
InIEIaIsf9APXxMki2pM0QX7RIs4SS2k8wmlx6b0Le2rFUn39a8vq/GTwNPmBdItLA4YxLm45s+i
5gkryBxHSmIFUbS2BrZv8zLPrQ4ZdbSpuQiaNkjnRebiTblxhfldPUEL8sZVgm+vCmNPeNd+Ms2l
ynE4tYA+FyeDoLiXyfT/5ilg4PbzC+Y5DGF491E6QSn7WZBawQeNs7If9tSnsf2olZQ9NyIukG7G
9YJNb2NjPBqIUgt2tYWFwjs4XTVig/cmOWzu8XO+DccUgoiF5SVk+sKzJJjp3pSzb5xVmnAklLoJ
zeGTq4K4iusAjYzD1mAKxiBal0JXmczZ3zZ0+89a52kdKWd6fdNok7oavavuIpBQRTgDsnPefXKe
abp3s5LQW1oQIuBw1J3LKuGuU58s0n2mSw1zAtXCte3o43EWz1piwTwBca5mRJMYxnee0iUGzEjT
TMEoDqR9r6ppPFV6AvQHxDeqFJwQnPKWhQD0Fe+pYpZ5p0EJvwvytvMZerbN64Aq5XXudOvgypxO
gZKyefVLS95BEaKNE7Tz0n6E877JjM558ztdXVEZMR+j2GxeraRXVw3M/6PTL5qBOQVvEwCkOFRT
oF5dFFLDiskEI0MQrOo62B3fFOD7SCaR4ANBdzCaZ9RMVeWPzlsxcB39WXLdOtt4HAJuGriM4Ak9
nfOGVFFd6RcFmxbkvrUlNwJITaBgvIRCRur627OaZDGjoMTC5HqbLvMxJhBMNZCvN6/mJJHui1Ey
wNM68nqPARViechbrcU1TJfaHzY9k4fnRI7Bk9+wnq77fABmUjJzdENZufZbLfzmNYkJYI9bJlAB
AXzQOkpaMEzeeDJw5Wsrm+SDm45UZkRATY2JdoCItJbu0tHl7UZ2oTLmTL8BbOSwUBqDxEDdlSzD
17FZvutoBwUzqLrbf15/W/XOyhp8mouMgXGaaYlYtRWxRJ//hrz2alVOesa6MScIT2Vzj/Zfrsc4
CLaATHiAk+X1cPscvSFa1yi6MYTUm5Wkz4ZESvnBFeyh0VkhBzUq6b7w9eyMYktABvPL3FQP0HhR
HyLiU5Hcgo+awsjS+AHwWIZ+GI3ekyqMSw0AkqBHru0mfcjGdYtKJ7qSJu0UZGk6VMBVAtTrZM7B
BMDdHL9JVLpyNTK1T+9GWMDjs+DyJ8B1OMcIE4JyiGiUji2t9lXNIIrerXS4zuKxsaJko1Km7xGH
w20Au71NWnXgeGZvKRats0PeHO2RcR+RoXeDtEQ9uhD/V0kTEXNiahPIISBTBPIaL0I323WTTG4I
0t64aBhzryPAGIQe4J6/9jYQKZ4vMeKHDlJ1Iz0NVYsP/T0cdLjYoV7PZ78b4m+wY4wzkkPvyETW
PTd6FTC1nG0UYdVYcsMVZ89wzuJ0t6j5vwVpwnFSaEOcrnm4A0I6ehxvgS1FEMKGjJ4s5o/V2qB5
1ycx/bSufasMj9hoMjftfYtwXPIPLR66Tpc8UlOOnSIx+C8h67K6ss3xLJtRlaR7V4vYpVFB7Thi
NK+O0QdPpLgROUDoCkZ9R0oOtLAXnpY0lzPSieZ1QgkOuywf3zgoxk8ZJ/2bsjZzMjr07DnrZl6s
YHKsQ6RzgE6xRR38hgkBUs2oWrON1o8umfDwnqu14GvEW8NCPg89e9aD51k0xtey0zRCYxN78A8E
yYEDXxmNUFurQ1l+dE3Lep9j6bgb9PXHImiiEyjO+A5ienKAqPjIVKF9KvrubSrps/MIGk+iBHOd
kWZxJsqKdR7Nb3oM6sb8OmgRPWBC5cjGCEbvwXT93EOEPB4ca9Dk2hpbY8V7SfhmVHf+Fl1odVED
YsjtDOS6TPxmXSuB7FqWCWLrySS8UCtsh8adFQHq9DT7vTAs/n3DjtV9cZLABCnojynGXqiL9Xb2
8WOFZpwPmKNFrp2AWQ9cupJczrl34hfkyvWeOTm89cTS1xlfaecZdFYBWEXilRBFapGmd+jl4mRf
5YbktrYB0q20EDaLhV3E3bnzxXQAUuQTtDqxLZQ1VC8a6RCUCua9ToQZLczdmYemRdJ2FVCu1rHS
lkdpYCK1jpPaOFtEAKRhC0eAGKGA3yNN/hq3B+MiRm7NqihQOQIzg+MdegiJw5R4DSBiecUjqKyY
UUDRpOU6NgF7Mj7o9lMiWQelEwuxA/3hn4Km0IjorfnkjM2EcYKHIILEeN4lZ2wRdZNpuK87PtiK
ZvttnjIW/M8l0EtQoG2IsVke/VEvkrt+rPwqHJqR6cYw6PDNHOhLXa+JbxUZtPD1sTgTqzC3zptX
sD8KFOFwkNDHQzlqa1QPRe94VAwT55rdb3+WUZFzt2sTBFPHSNPYvjyEMTdt0XV7OaEH7OWi0/DH
gEDhAsCWSehlRWd2Km11a7gEHKz0LqhfR7NtEpo2NGU3KYOVcjXKmY+sunTyrnYLYpbdwu1toCBF
ErdITEZfl56HhMV2j0MuMhr8rTM9RFrtvLqJwcI6dVp2GptOpWFe0PhmyzDix9EDuc66WbgnGxwW
IDEc9Q9FrenHZki0j75DKUV/C6UEfzNVzicazlQjj4VfdOzkbdAbj1bXLtqgToE27DwbMlus0uWK
tkSuEDWKEn81kNLKhtmxVD1Eyx3NMovbNJQL4E5wGzWj5dRA/J3e6WuHeJB0g7U20p8MbbIdm+tE
afngWgjoHqSryJpeoQ2LE/9a5Fi92KqaYIY/78ftBPgQI3tsfMl8quV4p8Ye8J9BuUHyjLNJMVsS
+VSU6bofUTiNLhaCUguoQTxyZY45zpqzVfYSfWeCKj6Z2jUy0uBYIH+95fa3V4J6k0MuE+0FdRJi
oR6zGr0Ttp7JL/cxgBBGlJ62LYbR4XvgRKjQR4Tgg2/sSUQoO617JPPp2uriYWvoMfDS2SjDTqn2
UMue1lxfGNfKZokhWKYnp1MSuUEgZk93v8w/tNR2tr6soz0mjxIzUSvRP9YQK1kVPgjg+9CK6RIo
wAc81xQGQ6tf0HLrF6ckyxB56coVU7lXWHU21MbRg6Kfsc3YRNdZm4wbZSMK1nv7lrSj6p67zb5c
qeLIzlfu7DLXaDQSkOxDTYqD4nYAtAHYJZkuOqFfXxrNHV672rTOtWTWsKLBSQGp2l0RFChz5J1V
Glcqv2pjaqP+4aDCPloWYQNpWJpBxhyp8kY78veMbb47rcsNsQde4S2+N0idSEWKmkIbcC/Gjog2
70QGDSsI4kBEZKRy7Dw6gDcIWgnGsKa2uRV5wUNaJqw2zDZ5ImcJgyOMVJGQyUqkMKZXyu71Xx+j
7J9PJT7nKG8RGMCEhvP309GYkIYsYMdr9o3zWfRLhVKpWwrfv/6c/zj9IKLA2E8vg2M/1s+fjodB
lPRDVvdEriFSJpoF0+NjS85pgXfaqG9cezm6fC6Hf/25P9mobT4WCyVeeJeTKSyR5fv/cCzlSF5Y
RPY2e5UV7luvld2+FArE5egtTe66rKar6yasxa1cqty//vSfhg2fnx6YnIp5wfkjfnZxTgKB4mi4
9X6kB2iGBD3gyFhWXTI5WO37uOE/9abjWLJU3vDAWNw//4T/duz+rmOH55nb8T8Pss7f37s3kf9p
kmX+9kO/d+wC55dlgsXizRZOKbr8vj+UQbr9i+7wYLk+Dbgf2XS2xSTLMpdW3eLL/Lzn/2rY/ZMG
nenT6vvRJs97Q28O/QKSI8td3Nx/fpYZCGsczRJ5skrAcMntnHem6eahZbfZVJ0Q1NsTAWapjJLv
yaD5bZgz2HjE8+0eFmXlQ1H60YydwjJviRt2sSsI96QycOAcmjT0nqJIZGhanbat0Ba82Bi7qMG8
NltLMxi2Qe+nZ1P5FvksWKYRDc3mpjE40DmUz+c+LnFYeDQ0dDxKd3muV5Qy43ANKhdhCsKNnJP9
OB5trfMH4KRu9QKuNXoa9EQDiO7XwbVI/PLamT1Zefl8EIB5KRs9hAytM191o+iuhN1EW9KI3MvM
QWOjjVZ/XLZWfHpWzhJpwKxObAJRUuTKjwP9hjfPK1tcanXEYXemwUENK+7ABybPbZkPiCDqjADh
WDJaSagvPKdNro5ys43USYxG0VOpUxeP5slvxRcqXXY/Wj1eF9rSIpDMaubHCtTcMlR5xygIfsaS
udgD50xPbVplzNUaR3xNK0K7Q6CpizQ6K88+cbNbrU/mY1faLA/JZMXrQvreCtyS7xNlpaV3ZoDE
WCviC56XbOtlCldbAllZIE3b62M9nlRSDacK8vc5MUrXDxnxTw+UNAPOrQCuHtlTFxYdsafOr269
Vh9PoECmPSkl1ltmW8hdoMk+0GorGMgRarTBRwbhqUtM/1A25PJiMta3reFpAEqL6h60qfXQT3b/
Cu+/+JhMoT+azAnBM6vqUgpHO1upt40dvX/hWhE3TbZpcNcKv3yxulRuQXNhyu1NnUDKfN6NuqNt
NKtT39pRiIvRN/UpU/hjA0sS657x4CxCkSD41bIyYoVJKSK4l0EOHmd2x3yDLDy5r2gK5PhHWqyz
Ed6GUq/l1sfVFtKEfpOm9G8q9uAdarvmbHfMwIaKIkMzZxovIoa1a2gBuGEtyE6IN+x9ETf+XpcE
l5PHnt0hMqt4puL5kjNshekNKv9XgrYJKo9iYQRhO7oFEyKPtL8qdT3WryQ54mOml1JGGQiYwnnB
xKw/dyoDMh7k0A9sQb/HoxUXEtghsanE8yv6NBNSdNGoG6zB8SNuVefit3bY+YsdRXrVHY7E/moC
yd3kUNXJ5ZJzDoHPqDx0Te2AcapXDkik3kPzN1ZYvlLfjQ74HshtDozu4EyZoEvTGhwCI9WqISSV
q3xiGWnuJqT3+ypu9Y0cSopRrdFvaTEQzTTIpll5bYoTlZLzUsZlfOkSG5N561pfi7TAdsy7rZ4F
jFX6d/4wPbhuDnmtqQptM2dGsqeSKo/DLEnuLDVvjFaYUh3y0BHVXBD6GMZKc6q8hPr1/9g7syW7
kWvJfhHKgMD82ADOfHKemHyBJZkkZiAQmPH1vaCqMlGle6WW9aueSlYlMoeDYYdv9+Uc1V2DxTrZ
nCbG+922MU+SjKq0tWo+S0PXPVTfar4xYdYufDR2xmi4jNprQo39Jv8x0mDdTebIzAxmPBIKrdgz
wK74HT05P4hSN95UF2PZTyRg3nZfss7VOe1gVJg54JobnUPs1SiTrUR6WnA1Ui44dPoTmXmxOC+J
W8n+sTepNzk2bcXdfl5RyrQ17L28mmVkMVZMTyqfE++7lRRxWoNhKtl9vlRguVp350lbK/baMPT5
5+JKaWA+4iNSv/MQ/jsH/Js5wOQV/i8NLc8/5o/u17XdH3/izyHA/M3WfRja1FCR6GSI/GUIcDZE
LWslwDWbo4Th809CLZ5iH2SruxELWT35zMN/TAHC/o2ZwYbCwgX6N7PLfzIV8Pr/y1jAm8YmeOG7
7BZwK/C1/nEswFGmjW3ToGPion0bNYsURLl892ZR3oKPbnepZlADWjWkCSfvpkOh/EJIr32SjfbU
6qo7D5hTef266w1ICciOsenEh3FrqRkokPhgWMfaiz2mRTGMWeHbNi7J+9q1F/PBsjJsMoFWl4Z7
Wg0FgN63Vr0B3tAKZDmtWBvzQJmdlDeeVLoLERGj2TwHBbEBMBzgV3OLvHyiE9CTk1LtS+nVULMI
J1SlgQthdhgOROz3O5fcRLdPsdnLc29Rgcy+gFelrgNmX1hpZVW+Gme3WcSrRVMBa6G1MRpcu1Y8
ewdPuIt9opzY1mNsgJmbP8eLRt4N9bEY2wiJt/nI69j7TJwc0PUqupk0G7YJ3gIhAcJMf5pXxazQ
8y10h2JuxMXTzbULB4fgcZwbK2Jw78LKGPU8H3crLaFe5DU5pZIN6jldX2gitdnjBZo9gvqe/U7I
HHekmaRMKNlTQqCYD2vIb1pRN8dcTK95k5mHvJ9oVa385FhMCe+0tkrSt2zOQKAv2KIRm27gbVB5
MAxvXVLREVB2nGHJvmD/82GNJ873fo43LsD0vuIODgXh6mI2T8lcvELKJU3uG/kZoMq3JGuwTNN4
97R6Q0fPgUbujV+pZoLYs10JO95N3b1HlASi6uO4Zq9OKX42DEaXtWumAPr27Zq2LomJ/r2punM1
NvWx6DNMN5kZYUSlDHyRDqYI3aCNd71Pk6oJClG8Sl3LokFpza6oxh9OVjs3lbPG95PfsOrSZ5xM
BJCDDkZIsQzFwRotI5hXTEQ5huUR9TdMjLgMLWarazyU6sbrJ7GDj6Cf3CbL9vVM+JSTekpmBrN6
BlqZ4iY7++Yhvp9ntSw72draI2OLhaMl+RGbcXNna/2T3WfzE67e8sD+mFRyJrNjTT8joTLKuuG5
2RolwMO+J01w4rmQ7pUS/p6hmEbHVPMPozP9aOyCiuG0b6KYZ0dQEPMhBTdn3xoTAjErStoeE1YV
vl51UYP3Bt5Kv4T2SlgReGC5M7QOPruYnw0bZqgqi1etjE/ryqahguMT2L32Rt0spDl6ZM9pa/uh
Jq3spznY6uuwMlsafZAXEyxVwMGwOvA0FVfCPMPFQRJl5aO8NgJgqP1seqcmSsnB3iZs74HRUfkI
0gGNWjuKQh8eF2NEfy6tQt4jLlTUZ8cqu5Xwl/Zmw5gQu7HbhQaC3nPnVH3Y68aaYKxqxLkGLMuO
1iQUjrGKMZC29v77ULaojPE43ufEgVl+cFmAysQs7c3z8gmPQNd3iWst56HP6iNGrWXyD9SuZDON
4w4hHXwFdhGgM/U/DXxuoHWnWIKIHIb0J0OPz702sSMMLL2V0y2Ux+69s7laGL8tCAjGWOmXtPar
w5ThRk9bTRzYj/CTFTiRl9w5uClYu3yeBLpkou1sEnssy9btHN+au9hfEVnJspO7W7/MVBi9upmk
YDvXPril3mATwHclGYmm1Z97rbVuiQsVkSpZrdZa9hl3nooyIbPXSuVoSA4z4A1QUNgt1bDSQWlU
xj1K5EtbksNgRWH6V2mVzdnwKbFxzfHKJC4fOUVqT0heLqZ0O4uSwkdQqnwa7AcivUhTsxC7uKln
KlgWSpyJLsCW6jtcvn2PSzxtmP6yeo/UuhzUdtcWVuw8VOtIXwhBsZ1GxwPC9HhP1zBlA0t3nAzs
2pQWE/1vvdWjYsapHyZzea+Hxj5aY+V/V6J7cOetzaQrzPFoev0XZ8kryi50bSfM8YTV2ouKAUIk
7njZ/4zxR+9yrdcuYMNS9MTBQKjEIMJ2EpcZCuU+JkUWdN5ym01ecbdqEDaXDKdXvQwsRepZBHPH
8DeCMdy2pMkh9a050AF0hH6eQwAwYIFtnBTP7G9QId1wpe4qAMzHlcgm64R92w6ciWQKC/rHwVvp
E/OaYkcRKAe7ofGP7TwfgKf5J1ZWWxB4pm6CUPv3RTbjTt9UyMHQtIiAdhvRN4Wq53uie/az3I9M
r1ii1ir9iOXyiVMOHQya/AnB+4UdXLNb/WnY653MwmnhkKtZW6tEPaf7Yajms1a0n2Ox3pR9PFyM
GSjgOtltWAq3vsOCoF/FzAdb6wvVuVmvn1aMG0cNMm3Q0gTCZrjOWEKg0GOF5xhR5Cx1CD3eoWh+
XVf2pDWCO5vb/qtoiuJiw9gMDA4I7E+nJZBLbly5BthOZ8Svp6L4OTilv5/l+hVpqwzIOvMsIxUQ
U0xvxCIYoWHx4k++VRKnos7G6z4uRByCJupuJ8sbebkLGeBdfyer+lP67Q+rz8o9FPcZf5z1Vilg
wFXRsS3z+KtWZSnIBnP/Uw2WCIn+FRE8BfL83ZTekx3MH3zRyJPuifWKX4Bfg1vQiBXTWTRyd/GU
Gt+8peGF0ZtbtXwd4oYcMAd5PNedrPwmOKeGlVia02BVzj4fXaqTSS3s0faqqzDEtOsXOntHc/nW
pfESjMKBnOnzPUxpQcGi33qvbGdXMEUkgXibIjYFkFghAUyF5Nsf+yJ/57Yv+ptt8fPcuhuHjqK6
Jxg+J86UVJCUfvIw4A29t3Fevru584TiOdEUltxaiOpHFuyJiYswlzu7i/lFp4DAXny7mMKZEECw
EHyy1tiB59q5yXZgnJZobbdjkzP6Bht98WnXc21HC58zhd1GczcaK7kUaGFHOpm8r1PR6e+DPn/P
ZdzfrbqpoY+M6XjMZW8i2jsje6N8hjyhS9jWdrqEvhh91tu2zRWhV4+t59uPE+AYPeSpqTFiCIyU
ttWVPztFOeZ2oyZ8pshuVOW5yjlwGrK5ZWqnb46q8zmpD5Q/RIQVnmDXAnzp9SvW8fwLagjJ5QR0
x5TGpJ8aaOSUJH2yKrSfakxd340k16pwReQroDkO80lOtChzakzzIaJzav6ul14ZQQ/pntZJtaeY
hyeUP40sae3cr059gVfQu2wmRDMfDW3NuZyd0f2MOQOGqehc1hd29mZLZVGhl9mRqqZyB9JHhrKh
aDtSLe1XTW82j8q0FE2v/Cpu50J47F1iWiXdXg5JtCqvr6Jx7pa72suoaqKufh+7U08bMUAayfd1
6JWjHXI7j6tD65bZG0+z4o1X3PClpLLiqcj7+KjnbnbSbYzNQ9w657YeCdJlQMmKYHEm6O8iy5fL
qEHw8ddUnX2NkrIgBcNBAUvpn0WrRrzbM/lzfOySnUii71a9Uw898Z833VuHT7aO45H+d/+Cg7a/
s5JUvTSmrQruvwYTNwFkwv42ojbT1frqq54NLseHbnqmQ0/4IeekwY9WX5qANku5jLss5364+J5F
xZgXl87LFHur8yUptGyNRm/mzeoNls+NqOaetaEzJzursJxbh83oOzVTjsawMjzBW8cG06W1dlPW
c/YeV1DKwbNUWzpsLk8D6g89ynChAssqNIrpq6l60+M5fhj5vx7niserqvwnmvZqhrB2+FZXUJK1
1IU43a/JRdWMpGU9YhPuq7F6NugbC3CiiMOE6+SaNx3e6qpPoyYBwobxuOwCW0l7P6GlPLBuB+Nh
g1xkc5YVuzE3hmtVU+toiZxGe3dO7gUekeXRc3PV3M1JiqTjJ7OOAZ0wIP6P7LOSqb90yCCDENQK
MW5mHmyPwm0n66npYfGwJiaD5bmqO+Z+WvkEoJdxvYDJ19iv5cauXGWtIso+eI7OHgJWA/ru2KeO
/Sa8rBqiFfqde1QF9+I3rIZxpGt5nFwzogpwthZd5TvhJRCgBPJQWKDp8PTpVXMde00eh843Hue2
5yxgtNrGQYM92i/auZ2UPCmuyWjozewqczsLYzG4PysyUd/1ukCZUpnq8wPoo+eu8OPs3TC2Jjpi
/Tc99yMtReu6qVye96NBGjs6yFVUpPWpBrVaua9rDmiO6MRq7XzIvftOdOuHzmB9mTDRgakqb7Gb
6wfYqMN5FW3/IGUmv6SzVT1Ok2Gj5GQwMAgiRjYuJ9buaUX7Y0HyvNFjpgNqzw5zMRqhIpZ3a1kt
FXB8jy8dU+Sun2c/XGsj38F13YbzdtnNArDfULonTdZj1HBwf4S26+9VoYsP25qtY1UoGcQFT6ay
kR4h0CY9ZIk5RqrZvBJZ5fDxdun0rfS1kaIW686cU/+T6O8deXwDk4AO6UOI5dgaAFSKYUiuoA1h
H5DimXZcN+1e+rO9a5eC8w0XpU43SZbCfa3SnV/yGo9nrfjaMdPTReFWRy0DxUvrAqWOk1OTFyv7
LtR0bYEETY1bE4Owrn1Xu+vNdXmUU3oEkVXezAVwIptsKwA6+N0QztL0h5SOdRPHWcaDtk2OcaNx
73YbaFHm4VKmZbgqzIuq6EdeOtPykPa6fzvOSbEjU+McCyez6XjAmqN3TXPOdOPeA8QWdB0eW1b4
yQeFf3lU09O+RUFb77Yg9xbOlV7sjDK2Aqz05ntCFhzyy2Ytq7BMvmuye29NpNJ09A4WtkgdNXb8
hFjTHWkbhUNSIeIaHDyhweIaDOY6KcOlMFEf3MSJnLX8YEmU7kY+rYAl9BfMxhcAahF9tJ91Xn7p
8nG73ga92VFbiB9sNs2dQ9Y7KPFanvOsoyu2mynRSnRgC4Ae9FCrWVnuNg/DkJDuvTZOXnO1ALg3
6J8LhbKya5kkxT36g65HgzUPHskGfbzteubtXB9F1G7yz+x18uS3sH1XjBrHJPf0H1PNES3v8/FI
nmmIJq0VD0RYUAQkSLp07s8ghPJAx1h0RtcCCbhITFEOPgmhFWfhVuPDWqTJHlb0N85rjGJLnS2R
tebVqR7kWIAU7pa3sd8AUuN0Y6KBvzJKPWda24au6t1LCuWKzcDK4Nikp3ha2y5gbaWiehy++kZ7
Mxm0VKS5eCXwRCnuSFRSOvhA8VF6b2Qsq8BsFU4z3RtDMcT289qA37DXQlzqJb1mGqkiSU/b0qVP
yiGjzpN0Py1MR3VCF2TaCNygBkC7sbY+O4IVkZ4oUrRa9TrDh/opZaWt+6T2SESiejB8z7hOgtWp
Hr2lJ17ZJDlOS+nB7NChkWJYHRUCxTI9tgYUraD04hjZiR3Y3u6sJWP4rwzOOLN9KLC5PlI+YrNF
M+3G4ceDm0NAK+017oRq5+iFOgsE/WnNkpmjThzxUUn3hqo8eTcSL2IJVWibv7bIDOyAeHZ2o1ca
3Y51mrxl3e+d+B/8p6L2fopEPFp5w8PDyzCQgvA4LzYvV8OcvseFHNoDix+0bWewAtfF82KX8xkm
ScGtbrwqXklhyWIGvsemBco6CRefDgnXcDaTXs+Ut+XZoehZYdIJHgnOrHAuklY+umP7NfHWM0gA
PcTjoJ+KRLuJ/Y5Zp8TcQdgOoN3YQ5At3B21mSXFM8h/ra93JF3oPGQyFWFMd5JKxgfMcJ96Reno
EC80HMz1Q2tt66RqcU81fdbYPvr0wNkFAREE2h2sjbfMsLoL/BV4dgpka1KaEKZ1meyypjKwBnA4
U/bQkQRIdJSLvgn0wv6UU+w/sHNFhounDBvq8rVIDJSzfjH3boHdJe/Nb7E9Gk+TB97QmZdJhfnQ
TD/sbuO4mqRWISCqkJ0oPaItYhQJ/9CINeumVJ6GzpJlgo6Iojj6Tg3GtiRYvpqwuEU2+cPOTYyK
Rls9Lc4t70cDK80eAq386IymebeBnFVRoa3rd2q8SdMZS6F9NE6l7ly91I45LzwVmC44I6+geQYc
gwgpJclJomW0Y+Bk3IEdW74xZ3FrJZLW59zw7ughicntpsN3LXN+JspYJDZfrTu3yNAP62wRk8pc
SHMy06cXb7aHeyFSa71Vs9dgA3ar5oAKurXk9qakSoL+RKPJDJcFYTZHUmQQDkGsyn0mBfApqkNu
jUzZY2jzMjhm8fi8JPYLE4L9BAef7HW79Efug2XnqM7gcOW9Th6Lb5nW4olkogy71LzzjC7+qKDG
hHkVeyG8D5HBHGajeZkEQ821JJ4ZtP2YXpgh+nmfOKoBSZc5w9mqef4ETq/L/JDEE2u8CUgCYHCP
joiiwi1Vc7hhvJsaaW/YY/WqpNVe2tajpJFcna/jo0XjW2QeE1/LDZzks2/eTpmtPwNGMOiIZTH3
NkBjDriNY0QjBGo4P3Bxb8xBDleXq6cNdTlR+NbW2XWVUqqIFxZ5adyMTEzL1AfUhmKxgmDIJMRT
5r0qHPcrfjCPW3vI+yOQHAxZ2twytHoWNsJEK8fQ8sz5yR5kj/ikF9LBmoRTUgrNfy0JBnzaMJKS
CAYjyzI0teVxKca5CE1utN3azjTcux0H71nwimYEraCpmfLnxHi9Y0XwsMAADFYybWdJGjGy5UDX
SQahj8SjeMtzJvDItnhgr8o27ru2ISJIKTFsWRg7TLwqae7LVRvfNCsbziZhuCHA4+DdKBC6bzjT
9VudrfZBSLpbObx25kNHXdSjr8UcX5QR+xdNS8W3pcyKM0TV8UkIEzEUaxh3aVPzWA0q26sFM2MK
r9fuCJfj3+KNNUyogoGp/CS/ReHfUB6+MstLbojF3vfOZPNJVznJeZXk0Vx092vSWXngLFLsNpP8
s766yTm3eFTWJVjGkgz7e2x0DGqr05PrQGC6TX0yhEGSZ+3b4NjNftJ46yaNxcuMSyrisJPt9KTL
D1LDK4lVsbooarlP46T3O0LFxVUaNWbMwjX0a7M200uf1/3MUxZTWapNVugoK+Zx0msPsmjlrb1M
3rFKjWRH27I8TJ1uhaZkp0oEZOpvvLIyv6DearzEJvmsM99dQZJN+6Fn+kfOdFFptPRxSfMx9HzK
YGd2GWxJu+pm6P3v2mgYOx5O8dFJ7Z7mgNWAAsWtYeYi3WUt1K/U8O7r2cHQvtjj2dHcdQqcuIys
nlPHwMQYojerM7jG4YYYSnHFz/Ot9mZjN1Iwus+95SOhTzkUtPdA28iRFY24QitTy6uW4QFxwdLs
pCDPqXGhH1JSEuGoFmrOO0IcYVPUi0Bog2dszkbkGPC7erthltVX9Z6V1hJyVFiPIFYgjbpGN9x7
boMObPhlGRHSHsvH2U4zYky8bHIKe6DUATa+am4bTTbrGzRWg0mjSfdG4ZGswkFvFyv/Xo8fOnNe
7qa+Rgcei1e/E1/MhIe1rdW7zDJZYWNL8Wtsqn7CwmPCKIqFvtQjvNfNXhiFdZwsbIxJTpYEPmdj
UX7nDzpwQAwIZpqZAQnnN9m1+b2TDMdYExAe2v4wrtb4VZtZgwhT+4IfT9/rKxPy3GrZQY68qNnK
f1R+3j5MQ/swNKKE79h4vNqN7SCYltod7UILhDeRnloIEFdr1D6pFxtu/oYxUTz/g4w1GEKPb33p
J3sgOTFfsQbMQKvbt//a1+o+65d/s7YWljDxYv7v9rW7NGt+3Vr/8Qf+2Fp7+m84xXxdFxRdgMff
qpT+sK55FhAG1wAJ6ZnQVC0dK+afUCvIVYCmHJ82AYd/bOyGP7bWpvfb5jszGCnwBtPc+R9hGP7a
wmG58LaI7tlbppVQ3F/De/GkJaB9bPuE35TWO5GDuk1LGZ+xvdH5stjdm2/m615u+XdjmuMzx075
7rMBfLFrkkyWk3dvOsmSN15HYvfLb/J/iGz+1TTKdyd0fny+QeRE5299Kr+YRmHJqtiYaATnzNF8
2KmFZWzD8gLq3IIEWbkcmKC3+qaGQ/S//tpYBf/R5ser2KRVzHLwHLpgAsy/BEbjVJTSGTIUyASE
OzTacJiAAd4Uvmo4bErbvQrdqx1+TY57mS0/ezFylX2d13r9dIeuHSO5LuY5KZNuVzhDeehLWs53
uN2dB5fwxxLOg2tz4qqgWEpT7lFsLV7N7FVz6IRGSHSnukvFQsjKJZgR6uCfl2AizBMNw4po7GG+
bwOzdxDlc0e8Jx7LhIYwC0OAR/qTbAlom3J4TOuOHdJi1WOg9aw6GOV8Pw2xA+ehmVlbu6DSCBa6
zwOPFFT4tcUR6zqyvlUQp7C2axM+/YZl0QI9EXlpNeFcgbRCJp5GoNQxsBvmQJYCrDq+1PkWAtIQ
na4QAePIUUv/BnZsswPq5aQHupHOY8AH4Bw9s1j2U1o6B9C2GZsVQQ830JL2EbBR/kAWCOhNjg/q
HZafEzUwb+iOTyl1mwZsbHtqCTz0c24lUrweZ7S4bR0WMFbaPxtQs3Z1707Dyff8ktGKPcIj4F0v
DTlydTG6O49m4sixt0X+C9Ql25EGekiympd6VuCKkiTbcvy8IANCSpB9ZK5ZR6gHAlq/hao/2fYX
F4cBCFWnvi9qNe+7BBMInAEsApRIgGRNdKCOmBHUXvGsvl+Asx9WBLvPNhWQWfUMV+c4Rtyp/ol8
evW4kjdk+9YM+XlFH408u3c/iOTJ41rpKxKR7I9LphoYT6JPeHPm+KBwTxP0C8e27jjv5sYlBoJ5
BvRF+isXA/jedJKUhNrpD2vSxzuDJRkNC7Vb/RAEMrZTbGsGnHFYm/hG0rLbG2nvChy2AHnEvfdE
coxI3FBkA2kRhG9nejJUlc0yaN0ajhxr+pYmM/oP2BVjX0R3SeMMN6TKD0Jvpk+Kx2mNHIsUqBgw
bznqN13rq+xjBDYlj349WuKu61R8XtmznkrdzPHJcFCCK2mL5mNljzdQKT9AZHPRMvvvdTxQNaZ8
WFchGwrWoP2gam0Hr2u5IYRZL2Gnuz3Tzgje82nBIrAclxFbTKjRVg7etFY0F7LRSuRXVE1EpkKr
oYETRuOElEyFflzbJOVV0NdXlU74J1rdbD66xjVPhlpKLvVZb04LEaxHA9sJD0M4aIwpWX2Xr4N7
K4YGm4cmfL6a2n62JY3tJxWvxrRr2RShuIxWB8bXodgAaybf/ZxsRaDNvB4zRsN3QrBEfrD/gqWx
AUlF6cSNvOv0AS8G66Dhm56rQb/JOcDpt348YaWXQjYfqit9GzGlXMk28ij3+clTNEOAfT2xF3I+
NF6QWRbra9mB8GzCYqKRFEU1FnFJhw2Nb8uHjR9Bl2dvZEUsz2AvfIvraDESRvDGQND6UidzmXUB
TPL6Y1h6nBmLWrtLo1bntu0MvuOxGRttP+EYoKlNUyBOPFHebe1iDNBNRjVPR5HDw5AlgmLchhsr
i73yTtllC7kHmqod0ao3gplxe4Ga1afVtWJkzXkkrhPXLibZE4V43nhrgVTnJGTa8RDVnXK/amPN
opRfTuGHJXxFIwIXsnBYTBdPBXhkJhadWnObOotfRZ4DeDSGRHlKBEj/Yuqab53Rv5jz5JxG38/t
A4HH6YEtq0nJHSv5kRKBzRtqoNVj3W5wPFrshfbGoBc3qTnGLb8ZzOFpOalnUQyzE5A3s7/bhIIh
jphGum/Y+OSiwbJYkkC6WkSPL7jM0+vgrliZ+9YrT3OLTXHnzQq+mlb2J18IjghcQHSJ8J5Z+ZF9
1D8f7GlATsoVRLq7bTHRCJzfS+/SdlCja/L0G51cbaIFfWqJbe3nmAd+V9GL8N/B8f9pcDQhZf0y
cvwTD3UjlRw/KtmlmfrxDxPk73/yjwnS1X9zuGQNyBmO+AVVIn5jaiMnof+J6vr79EhcQocCARJ1
i038beb8M/kgfmOcwuxomqTYPKGb/4nn8Z8ySyQrTNAPFsY+trt/LSyziNQnm1vxWNR2GporQCDh
JK+//FL+hxmQH/HXsAV4Cb4IIBTftolqEub+R1dl34yapC58PQ6FQEhwYWqm7lb1UVj9vxk3/ykl
xJey+LVsJjQXctpfvlRT4cAm/78eZypzggwN44J8gdGikbgFk6w/VobSDhjXLM6z+Dn+9U/6T79O
JnDsqD5nAoMP7a/kDlGunj0x9hzzenoWlfvmZV30r7/Elu76peCRHBRfwvYFMtiG7PhryowZb4Gd
bLRH25ieZ9t8ZUBjXyPYw+hr++NffzFk+3/+chYjMIkdC9qOr3P4+TX0ZSat5cx+1x0twvTwxivq
CBpfq86Fjfm8HK0XK57aKrCSFkFsKwSrgpa+JRWwfoMyRlIEwUuwomb94BWnYXJ90r7NiIkKjw1Q
C/zlzFaiNWhxqFI/UIRoTiKvzG9iq/kdqcmore0lt+3jXpfOJwaIYL6ptbV5m7Ysvc20MKMBmfp1
yWNF5o+asQBQjQIg2foVkfMyeSNRi9xeKfMBHdS+s1kePW5A/GC0gPYOSZ/cDiNvfOzpMW8WqP9E
iNo97Nv1hNhzM+QaqMqKWj+3fGwy67uzeg8sZ8nsWl51lvr8NRmJlfpV7uw0m7+z4l1NVHVlIbBJ
zoo3FmrZ9EOlPuDHPL2Ti6NFmY9F1BLVsCOB4txSCF+EPl0jZwFH0tUMdloMLZvZBLjaOP4wqYd9
nusONcXI89vVb5Pn3rHKcPCIzfhjErkNCdV5isfjmpXxLtfn9KamLJZ6E9wRhLIvNruxYjcpDT8k
VvzEP2GxH2jDQn19bl2ikSlxrJCttXuVTLz6paZQ08DxqZTzYqGsvKXFqO7qxuDvwU8onhu4cJdS
ZcMRpA1HBIVBgU/VxstbodaDVGbdWLcFdXI+l0iF2oLTeqGpqUamWqgfYnjUqY4BGsZ4gwcxzcTw
jiG03Rhri3HVEAefISSsuzprjCCmRyRKQVMUW7muf1o1YqtxnKoHudbqnvjxFdiD+d6uXv9sDWZx
bLXUuDFm0zlWNddCuzr0tvX1fKgr8z0tlL2Q8hqSfe6a89HqMv9Bd5L8oJlS3UCWbe6pcItENyw3
JAwl+BJZ6ns15e1748AN4xwiWSTNdnZQvjVcsniCpLemAIPdDpq0SYg77l1jm8q/5kORnvhjb/OY
nMGwkzqW04NcipfcgDShjbl2sKp6vPQolkGWEnulzmB60OLJOAgz04+GLssjpgjrZKNdXRb26KAn
Eru5qxbeG1zRggQTADP9gXl++ei0hp0RN811xL8DA8MRB3P2U8jGzHvs00h0F3HrMhe3fLWkMAEQ
+poGEVfM8T6GiHGeNS9+x12Fz9ZLfOT9eLrMOU3G7obSdZA5D0SH2L0WlRYIi72eFQ8koezCD0yn
nLAGpMYVMd/bx7njvzYNSmhVZMSE3RRTp/nmG+tCvVGvPwLv1YHZm19dPlfNK5OnogF+S4KNeztb
Ma1vSA/2+xwTtT6KJ4rScKxyfljzG61r5UPeopHW7fqZJR4DVKoXHLfjZDzF0P5x/+oP84LHeG4S
POT46xsfP/Za8NdyFG5flKG5eIa7Cbthq5r9IBrzoxtp2GhS6exAUrQyMZ9hmfgh+DmwVNTsdfeD
Js0PntveKasm88ApmWjVli9KgRPAnLXkehuXBeOvGcvlpTG88soDaT2BS4I8J2yy1JyeSUlohP3j
JkTLEVGnp1ekgUPKCwD6DpMzZ1pOImVl1LcdrXTlKF7ohIAtHht1mHjqbLEWY2OkxVGMKYfuruJH
DP8iZDm8cwdhfQy6Jb8BCRrvJPFEP6A8xIt4JDh32UKsyndY6DqVUJhLiQM10zp9gU7LHjnbCiVA
AC4LJG9uICILc/7TJ5b1Zkyt/hy7q/VAi4kTmSUaiAEbpwtwEJq4XNN+59RcX8bszJ8AFbW7osUE
2YHsLjgHvNopjqHFz/ARtqocQgMrR5hbPD2I1pcHbNfWtQTug2Yi8apXnacdDSabsG3d72hkSR+M
xK+jNrbzk5d77nPZzQbFMBlmCIFS7Y5LhuXaEjuDpMGRDENzaYjGH+mgsO8ceifg5yTJV8/eVUm2
HHBb8OunF+wFHauKBHQykoZL+Wx6CX21ukHzi9YX4smi2MyZquqtxw/ydQZ/fusoZ33rajNqigz/
NO1N6nbAjLsvqpwrb3Hzo1XQ+1E6XGS8PH+yo8X326pi7yRxd+L9OJ3G3OSZ0XJkci69US2ijETZ
Db/PFf8NNf0bdZhsG6rh/y4O/5/y49tH9Q/R5t//yJ/yMBowFjpExj9H/L/Lw95vFj5C5nTmtN+F
3j/lYRMWIXIyG2IdyptDvPnv8rD+mxDsO/CustDWWXz8/wz4/C2Q6/gudEGtyv9l78yW68axNf0u
fc8TJEEQZEd3R/SeNc9KyzcMWbI5zzOfvj9Yzkhpu47cdV8RWZUpa3uTBIGFhbX+QVBr/pC/JVZl
O61wjAORnHM+OEXScN9p79+Nyf9Hiq8vQ5KvxRhRUORM8/EyC5ZpVJkG49AuDmprJc0l0ZveVT4O
+K18fq3jDJhr4VwmoGdRRnc5HH28Fu8C7sEggsNslf6V6Tba2MgSp1ClkIlBbulPJu4k7nzl+6Sb
AxeqaqjyoTloCWr3Hy9Jq1LC2W2CA3a8MJ+DuuzOSxrJmFYZOaQoz0ctzPRguO0w1xwEkI8smfdu
OULsqWWI9eSgc0OQyrSOKGEc/FLXv2e/AWs7xc050qU+erFsqqNWZMqRKVnjWKotl6z8Jkszf58Z
TfeAqlxx6g9NtTOCPL4MZoyoaG2xgWvbiP1cm7DWw3be1l2b3yBov3z30eJ5jBA6ecTm7sLs53g7
qgxaE+nLYbFFeuE4pArrCBmdG9Kb/McilvJqEWPyYJsUepAzyXYQuYs1FsMDNqTFeDDLoNzUS23v
vQGIcVPP45Z6MAWlTrRnyurKy6by0IPNUvFsZqFxIMbVIHKN8VDjdENmMPkBVDDtIAqbOT93l3y6
ofEX9SuzHumuNp4DWt+mwZga2BRupqhR+JHS2w/H9km3HPAqxdQAKneBjDrGOszzNQYEZrUyRV58
6xtVPSV96P2FH5F964cm9fLRbP3XBBwXHDC/wd1PA9LBMSfxtGtwWIR84okI0yQUafDPcbIrEx55
hY5dWJ4r2gfQJ4rx0ZuXDFeQGL9QO2PuJbSyV06c4OIorNtoik3Af8l8G9U+qYJlNk85HdFdOZkd
1AvXkKsJdMlrk+fRnpL7y6y5cKHw5FmIBh0dxEVG+bZlcCKI4hco5iIoL2zjRhTxcm4uAdrW7Gvp
CZupaWzSOIGnZMBCdMD1Abg2ncMwFu1WzHF6jmVr/xq2bvcttbQd8RKC+dwaXeyfMgTtJgrclxpr
69Eam8siM+lxKtSJKZWBeHIoQNMeT9PwwW/pfNZBle0NsBG4M+UISk+gV0pyPToRMRWxqjtLjMYR
q6nDE4E0KHmWHinhYii0K3FWiEoX9CbgydtgzOxzVPmv5QRGdIX6iMPUZvVMdIwvhN6iEwvPwhxx
HclZ5SK1i+Ub+dqMSHAlv+EVmV5h0mpv0qXrbmv4Wuui827r2o+3+DR+MfpGXCKaiFX5vLSX9M2X
7ehT7kZDnCTP8gdQxc4NWmx/Kahp9iFOERJAwYGO2vwC1h0IVDD0fbnB5woI4Wr2KmpwCxjETRrm
qdyC1MWLcc5w2Dz3xmyeTjLfpNe+jmh2mCvEocLlERcLrX0AgqLlXLoYZb3BhbpN7p0m8dD+ATU6
ecN4r+YO3KgFq2AjMd8FLxakMSi8Gk4cehFFsQd06CpkiJzQ26HEacsTRKYw34hxVfKgUbQx9csw
79xdmGKGcTukkk/izTrgKVpTHV+VeVOM1yFuxp5YAUJsozM/MIYSh+dglE92FeHgtjKLwADH2tDN
eUzQPJe7eiJGvmKIwouKIN0ZpynaP31zl+KJldd7y2/TJ4zE0jt/wDGxwUxaX0xhSGh22aOCHdrQ
WLBhdYy9iwvaNGDVhbsx+uVSG53LTojT0Q5qZEMnebBzA5DBBLV0BmTuW/d2BERw1aIBC1QucIO7
ee7HF7wwddfHKui8pYjNlRnKnaveKWbwuplzUrVmcRpPCHF1UL6QR6zhyMLQwaGidhzwcNShrJ3l
tuWGs2uxJZfv1kVrAvI15ghJA0yAvk4N/1WjU34HPDQAdF8Y2gNxGPObSTjVd2onHoJJgbb1sh3k
P6k/L5veDbNoi0hHeeKZmX+Vydh9zqC1A33KBmuHRHp+A1gEsEvq5dyb4Vb8ThodNmVekz0Ks5uu
UbdwMT6Epn8X5hGqRihzIko/lXQjWbfZf7LAN3OFP2SBytUySv99Fgj9p2yeXz/ABN7+zq800DJt
vBqER9omXEvY3j8oAUvbOEiXLjTZg29Tu/2nzmshSW0je+PigPyrOvw3SsDF+kpz4V2ly6Z8yb+V
BmrxqXcZjAk9ngSNerLH5UCTHCVouDxXYAMX4wzZ9Trxd6jfYyPzpUEptmhOseNUUBAwZfWiZK/a
jk3kHGepfNxSDnOk6hDDmJ2KUoUfeKm4KAwwF+7MwQdt/AROCqsHjzjYMlOwBxcr4/hchnSV2SX4
0wBYTb1wrQdTDmMNwzPskYOIcH7M5bxQwfEUNsKeAT9rcL0iPxXKofuFHT2mkVBhg8F8wvkn6NYl
SKdqvkvqhRxx6zkhnip0kvvIv4rjbjt2vsMpO/dsKEqyLxDPzfpmMWbyBsLpmvoI/Ze3jPQ/Z6c/
rBrLdD4F1nB2OlKFevsbf68Z2wcko3WiPCW0sheT8g1ZA6D0v6BUMultaUNe0nJRv4A1aL9joM3H
FXLgAldJ1u2vJSP5FQITGvXB9ODA4/w7S0bjet4tGX07lm1JB7V6uoQkffoc8g664lEoyBGfc75H
GHgmP8jAAuQ3x9E26m7TdfTqHxPdUti1s8jyddvOUr5MQVYV5wgllOijVAaVvVVaewYZJtqvWhbQ
y1JKCY2JUxhpjFO5i0uPFHCnAe9xqDVkJ+tn2MlxgqXnFUCRCnWk0ATN+IDwG0JrGSktYEiHIgnt
lKXHCmYvWtgD5JQkoH6zhrlGoW5XDIkmu4LZD0Dyvgt/12+R473GvfUxoMDtwyxeA9/5nyTxPB4d
qE1W2bWL/F6144BMcR6qiNIYmR8HCqyafS45WYAQfqDoF8/3Dp6B3JpNfsHzFNYYTg+f35L92y3R
/AGL5aDxj9OgfywRB3oCZY62CV8tis3pBVT9MD1dHJSP431kuDHlWMJcZCUAQSqvX6XJVGFFlphg
j55RcZ1rThc9LYFTUmAKbtslCBdYW9nEq9h2sLE5RzVuYExbdFJr93JZUojaWyIk50Nqr20PG/jz
h3I+TkJlMsjEa+oEYM9c1sLHSYjP5RQbaVZ8N0dI+XeyiI3yNs+Ccrn+/EIfO2cOFwIrpWX9pOUx
eJ4e3HezHZ5EjS3yFLwK3jaRtcqC1KGaaLLCJ6ES54oOuhQRjEeZGd0ao1M13JKfFsmPz+/k42H7
551QnwZPKREjdn/TGaSEN5v+lLivA/x991JCje6AaecGlPxTTjEQ3/7dQWbPpp/xc5tFwFEHtffP
blihocpMiZesp9ALLnaujAFKt7cEKNh+/nQ6avyzEeunI3A5lk9Rxgb9qY5eKID9LK1iab9OVgjV
+7utbV/h7FQApU5Rr9dDnM1u3//JVeC3mcQxCxwc/6DEQNA9ygBwSmsbP0nbl8kElYerncq84TaA
+8jofv6MR/US/ZA4adA2dCXlUELF0YAmmAKlAF3y1xZuZq4OMLOKhwyp4FrbPgKNr64mfwnM/LyM
MZs0t3KI0uUxocdVCcThCYgUmIEm+TdJ4iqB3vZQ2Nl5OoSNNx/60XFQn/z8pn97MSAFJV6jyLJY
pvUzH3w/CSw/RQoElf+XYibDEKvG8NPkx2DNhvxSlrkL3BlDnrIL/jRYv78Yn7dChYVUEAvc47AV
GJiQYtZpfFukYdnoZysZ9+0a34eoMYG4wSrI4LQ4qXqeo4zWE7jtpqENmhuTPdzH+TKCII68aem+
hZAk/Z0oXHs+Q/zVaf8kcsq6OJrA3KDChUNnkcg0UQv9uFjI6qom75vyG8aRNksRdHm3XLeQlJhU
y8zpd9j7bdW6l4YIYlZTWzgOm0HhwnDlfIuD3/zCBMyTHy5sO74hDtARxrTAcsrkx1sAxteQ6CKn
PnS/tCCVSPyGXKXM1AHOJG+naDqXbbgQsJ2CVYQqHCHagJHABe15yrwbLIq76WmZdQqxghuHLADg
2ATHLhrlsVsnO9tBOXlcoYAb68Khk+Tf3bG3oIAJuHbLNcvfl1+KGEWVxwbMPvdoVYlfYB9Y9NYX
sPFVAmkDgeLlcemEGu6HpnaH2zbhT0ZsNBMiyCqKoK+g14ubNpfOAZyndD1FZbDQqeKUPAyOUwkE
wDkq3EKu2jGx+aSLpx8fQf6uzbFfH6aou+kgBLGZzTU8q27dNkhrz/gx+lzagOXEx6na6asZIZpA
l8JP4/qpJh0fDoEz1PFFhoz4vB+tdirOEGSZ+9N+6nHyXE8ePuozyuexNZ95yBuzWZpBp/fM2gts
VlvlUVKECwCBHY7VrweQCbj/EQFf09fgQo4YDKg0C6ZfO4U6iGU5/rP5tm4Dl38h0DfnKC5WkKj+
/o66qjHOEHEg42jNlMOocCWiRTIGPRalXHqqIoIjoD+eKXwbVSdNR0ZOu7fygXHs4HUVYHMxSbMi
X19RGIqsba4CbMmQ11A1j0eg19Ol9Dt2LZGWBZMmCdwkv0Ulq1RqBw1XT5dKJjZraih8n1kT2mgD
zWsBvpq/hYpHoHZd2KWeODUcbAde6hwnRnARE13bbC0JjFZw52Wmy5gsqvey8QQBlwHyBbA1nbsl
ugudbGZIHPohEh+7h4saa5ci3Jb0sbljhYcWd9csyDsgdWAHev42GBrwE7WbWgynfjuA3d6Uc+mw
FPoEIdWEN48DA3mYXXbcEsIx+kJjn+h7cfyIbsQacTaW4OzVqG5twPy41Aqp63N7SR57Om/juJXG
ly3HWXQWe4cfEJCcFbeVOCB6ac0NOSPYTyABKe1B9uCbMlJAHLY6SG0oVpqunqI6tR7uK6/g/2s6
nSxgldDSviR1XMgynDFmnc/NvOjgEUEMeU5q0egl7VAiLzeYBlu8CdmSNxawvSwx3CvqcowCVLGq
nQ/A3tskvxgy7JHEtgaayf1Rje31rIYU2HSbKvUXSx7g5MsJ4zvz3o9k7A8bIPpKR6Yoi0BVuiZl
RgRVKrHr0jl0TLTJtBh7iEPGci3neWL600hGj2rro0cxFyQKY4lcgpQDbeiIQleNB3SQiPiqtKIY
SCi5un7DRTzMyHMhZ9IOxkncmvpUOzV1V7agYNrWGM9S6kHcY2Dg0PdSOx7Sas9FaxU8TBEkc1je
+RSvnOKyRCNi8qisxg6aGARiws22E2Ey15CK0NCB1UXeDjQ7sFGhOgQIfWp0gpcSZt0XRG0MJ9LB
dtZIUkRQF6pOTTRFEfT2MuothZUT3QgmD6I6eibCYqurXToDYYAt3k8tcygQMfDyM/hTC7+rbRxM
sJ+SglDZ1gWjtMlT3kexmkzD6uvLVsOikh2ykSgSbQsL0FG0Led85Lv82tRRsGfwmblmjCjKsDO7
auSTHGFqftfBIiAupSaeyzd+h0JGxwwBEAFz0Zlcxq+LDKLDwCiyFmD2tUyooW4EajO8/XqWZ94c
MtO9DLu58CyajJ5LOxbGlfRSKNmy1yM7zy6fB5DuWkoLmd5ku66vmY4Tvq2lwabczMSH2YsM52oy
5wbEByEK742q7jDg2XplU4JIwLqV62su2PySezWnkV/nEKK+HpyxrEXp71N6JLW/DaNkFMZJnywL
kgWgBUPa12MRbB0TwZG7oJ54eAjxGdF+mEfFHasE3hv9hDxSLOykX0inYdj3egR/Tes8HvXvZgcX
YXu9QDTizt1SGzevWwAVy6NlMCvFVqjGb8YVmWhosj6NMGblIk8IkB3hHUvBgI4Ju5vWTzFOgAps
ze5XnCez5s7Mp+weBKsPX6HBGqA+xbhzoHtdDn31goNvbZw1uMEgVcCdAiUpqrj+SrPCxYsRsHn2
6iTZ0tzmmmr7PC5WNl4tPuwt7AKzjlKqkGOFPEVS+LJa145wWgy1Rwk+uKnh6SLqlZu5dS4yttVt
4HVQLGreUUOQn7x6SdiFh8ZByQ5xCZ3SL804I5SuAO/7qwowXffk21bvYMuIDC+o99pJQWP7mT2j
xl/5PH/APA3CDqk5drJsrdAhX5aNH2NZgkm8DWz5jDo1LFS3Sy9GE0DAbvBVSBOQBG25D6HxlWx8
bqdOW4rW3ko4nW2tZ0hHiBi5Ydf6G6O0tZqjUjZgddBqB2WLblOX5ricBZgHm3trtCIbFM5kFYik
qGyBRR0IaVxXdFudB7gqCGfszUrNVb31S3Oa7tH9RYfLwIbBuHUMp10eu4JZjXKK6zYPixpC1Muy
DmJAtYd6HC5oeQ2qcjf+tGTpPoi7ZNotMCtRjvPTUtjRWoEHR+rPyhOveI3Apg/TBprqXNNllKJH
YEFVpVrZopWdue+Copbepk9NCTUkyI3UvUQwwkhTBPwq0lrEtT0kHMGIlF4KvmZjSRSggFGIThjh
ZWPzMMn1r+zbnLPAtW5H9A1xHxmRm2JbqnKRV/IBYmRVOZsqGJtgIJ8yQ3KUeVCSbCwwRxZMA5yI
+Y+hN12SfSMwX2Vb8QkkLO4a9Bt7LRs4yyFyXB3hcmnqDDPGt8gKdvhBjyGKXqKtRu8MKoFBSiqj
GhWuCzp1CbtMV8jQXvazUnznrpelzv6Ap+mTg0os7aU1I91GJ7ev89j9gjs7KL69VRkqBUtldNQa
qr6WhEnZtmT2XkpLwN47tiQLHk1yNwNznbEiliUASwl6gTEGcF4FQtFIDFuFu4iD79gZKVEBGoCY
kve5yYOSl3jUm6TMGx0Q88xmjx5BDpCaIIbWMUBVofTO6dXjxJ02YaS4Nrh1VS53gyNrflcG/sSX
mXi6s5ZaWTbcP/BNHSdTYJF8xE4snzsqggp32Ge/8XW+6gcYbj3aUDrcbyOE7HLn2okqgD0lA9si
eqY6lyoqpVOWyMdEGCHCsnA760dvtHPqb0Zs/npQQlZB3YAmIxqksETNRjL8xHAITVtII5R73DbX
u9SvHQzvMcYR3JiuWLj+qO/eEoHBQFbQHvxyP8fIKP3IeoOBJcwk+g761kBu7PD3SCw1SwgLGbGQ
kaoi4htLWmygD1N4KV6GBGamp2JskgfcynwK5JcMUez09O01smFa1iPHv7679+pg4olFUli8o76l
+0THNUwHJNaWMTED/2lIlUzAIFVumI8nDunocL8oW2ex1lLp4lPTIL4dnWAnpZMKs6O/P65Ge9YH
ec+tmSw59TprwjTFbFS3QcmBLCW0A53ND3iyN/KAYkM7eNdIE9hlfO4GyuR+kPfR60CIxuRRh5Qk
E/SUo5cIgE1d8CqSmg8EcPlI1CyAg1/imuZ2AZYNmp29r22VkWfjG6R312gYQjZNVBxIVNdCVGSB
rmh0vtm5ej7iLZyQWZuMQPIjWFTBD/y5/jRZSbNcj5mn2C4tlMXYw6IItRMKqi7IC5J5Uem7fVse
aUfP+B4LlpKX2rQEvvxcTGIIvw7eGAK4kAjT4nKc18yFbB0jAMg6cxpHz92ssP3iIh+tcOg2YYZU
Psz5Ls8FSe1Y4i+z7o0h51oFInnDvVkNICqS1tKptT+UHPlC5cfN89D0sZYZTVEHILjMoyPOndHq
0gLlNpt5lpu2PgQmEA/5GgvNWZaR45NecvDkPXezXOYzMdqcnwANzdOwn2xRp89DZGH4sw7eMp82
NAdyjbb0MBHax0jTkxj8OhF7SwELbTeFocnpCx03wU8hZ5ZmOxuGMb0gsolKrGkMprnGsDniODJE
TdgaB8+tRH+PBI/ojbUxWow/nVl96FYu4g2URCZLH/KV3+hEPqzgEt4HbRDy1lDK15WJyTMWH1sy
1FfJUXxZ0v0mCSEGIHzPmfekVlUx4lo35EwnV3J5SnvBokNlRUx2D5WSE23wAm1LMhoLQCdHlRRl
x5e3pVcMmU6tMiPXuoDaoamtN90ATJyJUYy6fmQEYtZTUpneWFyZzjQVNQMC64z2qm90DCQETL3E
OS2H1QW66g7J6zwm4R5R8am/cSe1tCcedoQZmmw2Zwo2NvQiQw6BHeoyOxfZUb7Gd7qGWJXUhc5E
7cImiq/Ht1PjlIYpq7ROBosgRcLf4y9H5crOtogA6FPg28EiCxZ90+WCSBNKe7U70+XtvIUTrzN4
CROdQxI4mPUYFQWvFD90fet9MbETbidApV23NSb0Wi5URXGED6IHslzPdqoDVsdrxCkdCFMcFysM
Y9qFzkCETOyzAPbIF85vkcOfWp3owqPUs/Lz2tq/qBkBdENAlYYOJOrjAquHWRwCMNn4bQo6fc7U
WoCR3BjODFdg1fYNz/uHSx5X1ShTeRxP4Us42in4uM46V0XhmR2QF+mOunvzNjUyD6GwPz3d75fS
CD/thkvDSOPfPlbEbDiHy0B14lvsBDo+lTCRB5JCgjWx6/OR/FkNfF8/tigdK0tIuJwC9Mxx36U1
ta85oKpvk8h7DjJ9lOOGvJadE7EMIzxq2QsXtyRo9IUjAUz1Q1Z7qOZ1KLdcUoXQnQ2fI6+OPW+R
+Vfvo2hCfURAjLxlTwChM/LT57f/21AJysIkthawR9TWTf37d12GCWeEjo6tfMaWb+I+2KD0sZDN
lSPU55f6bc4JCsM+rSA6QdDij+vdpFGxjdpV9exHnujnQzB7yfhoLUovETcIxz9OueMWCshATfaH
nkPV1P4NBNnULZBg6vfPlRPpGNVNLLbrPiay34a2r/eswCffJ5mY+fk70rJmc0W0y+XJ589+PMx0
TaVEhUO3SaWFTdTHYR7RMxlGPxRfqUlwdEQvjiqVB0qOCPj5lY5H2Zb0+WnEwrZSdJCOi9cpiaEn
rMT62helSi+6KtNH8xgvFDb5yNZZ4+cX/EhIomkCWIKyM01e3LpJmo5mEHzXhWAyN18bLH2ZQQ0e
gIQ5guLMew2aOptAKMXhHPlrlSLGM28/v4Gf3kDvVyCplrBhX0mlQFX8xjHjlBhlVqWKr3VkzmGx
pZe1pFuqHpGf7N/SlqGJdGrsOuiEIQ77VhQ3ZKdLXjmIefaF8W1wcqCbjBGl/5lVXDq+4LSwoNrP
ltCmY+m1G090AJZgx6cd0VqNUm+WMGag4oIAMln4K5wVdP21Uz3FIwvcFmDzIaVEBzcnje3uJKa1
jHxLmRo6t2oBnxEsjMZWnGIAjentHPQRuY1qhd7ikUuquC31VqBvSe2JmmkKtZwajtf9zPhs+LPV
Okhy9MVXZgsok/JYmDRUJu1hwn0U8e+Usuznw//bhMP0GaSMZkDaKEAeT+2ek0WE7Mz8VEa1IGcN
q04fgfyl0xnAr5L155fUq+XDCyfU+j97NB5YAHXM6qNRNnc47oxPfggIXGxRkHDTC0iIdmpcmq3J
HaC4it51hfENhg8UYbEm5w8/v43jJ4en6ZhETo1+Zs39bH+/i52FWxcj7zJ6SkvKn6dxDsPqAUcU
uzm32+7y84sdRxCg3GCeqRS5qAXjlmV/jCAuNoVxVLXt16GukuVRJkpPiySpdGb1+aXsoyXNt6OV
CQPVVXTehDCPOkrhOJkZ4q/2A+a2SGkFlC875BApo3LSjZOR3QG/4SXnX4qCDfNykjhbc1iTjbfS
UquUYDjy6P59NYqMPNRaED+5N+OQE0qkCAIvER4cuqw1GboM4HWw1aOTwXN1mRgMI58eDEvwcEYq
2YvC0NCdIvBJOl5zIEgxa0QYK56zXYFavXPx+SAcjTdj4BNXTNapo9CSOR4DKcPOz91+esAlU+/M
WFnqJWeMJSfnzy/1U/Xk3XzW75Tg5QK4cNkWxfF8RneNmqrlBPeeU/68FjoQ7mU61DrV7wn1hKC3
3nsGSIdRQM1aV0l//dQMqJIi8jGaDK50lK5nchasiHR23gZUFIw06Y3lvGWp4oYSV3k67mfRc2Da
IqDK8TheCGrD7lfjj26RbiIZWWKzdhbPXPjdUOb6hS8y4SrGz+64eitNDBYVUISyZKTfJM7YIX9Z
DQT+ctNhyq5PRm8tNFYkczeh58G+FwRUOcRqtlA/K/+w33ofXx9mNg6dfNMGsARYz5THr6/mCcCO
V8FLNgj1JWnQvNrZtEcPbupVDjX+qNshPeqfzehQB5vKCYpDbqfZ4xDGwK0Lry9omoYCwt0MstuN
uvoh4PzaXmcT3KN15A2gk/3kBuai+TLA10LZvcGCc00vx70aZFCeRWbcXrAjRdrSJIINZ7SJ+Guh
jzycBtAU5aoCnOxsqBqmj0ABOw4HGYDedes31w67UrpzMkNcqLkZkOKc6y098ewxood/mmU2XYJE
uwyziYy08Dor+wpqQp7NE7JbuFrXprWBKanubfbn5wq3YLkKGjeihBFi7YvsZXE/KtE/xkJE4KBM
wylQO5PVU9r7uLQbVXPnOm1LWgRcMMG3ZUebYK6AdNNcXoPhjVHJcPLhNCswWBj9gYJNlCR/9Z7r
UjUP+nTTjU15vyAbuSH9NCKqfYazNl3zxulm85s9d+1XC27aA7INOJVNbn6WqjbeIl4Xn32+yD4G
ayYEbWWCmSRVcGwShaOYVlL+URA/ilfe13SN53ORbt2s7FC7a0z34fOLfdyg3i6mAMrpbZ4cThwF
a0yQSe0av3hFBikHIzSZ9yCi7XaV5+nF4AgtNxiW+Q0tQtDGn1/7t5n/8zHB6tCyIYgfn0d62foo
NzX5a40BQgW0uUqnXS7Qs/vDNvHzm/4JWz+f0rFtgAfgYtmQjw+RE24K9gBW5tUacREi52G7WJUc
eGKoIZm6Lew8uI3R0YD+kUkfG8IB9fX9EEt3M2UdsC/Aeu5V4zb+aWFgCsF+iwEMdcXuMc9JXuyu
yKuV3VnOjTkkxY+8F955QXn2ZrBn+y8/4ZyKkgDE2zUG01ci95nHcERdqjcpvTj4gRTWGn9+RR22
o5XQNzsrlOazOXVivfD+/pALHYHwGBKdBpAGMS6CPfo4JYCg2k4OVJRXp9eDH8Ui2kPBzw7TMmEM
72dPAiO+TW+HND1qPHgPIOPhCn0+BaSezB/ejNJgTY0HsQCO4fb4MVlAeSmnfRCp17CncUA5DdX6
yYP9tmnpknSbwcmng8o73CBio8rp9pT5oaRudTFULkxW6EDG1YIQzQHdawpnDaD7HKEeuW5S4yKe
C3U+C1RPRC7uqYFmV6XBS0MCETnN9dJNtF2QiA/WqvIRsrQ5fO8QpPwxu0l8KVQV71MqxYc4LKsr
VIKzblMGbY/CZdSDR7bTG6OA8oMApDXuhN3BSECTKrwfMx9prag2eQAkkn3cJUJaACqpExoh7Il3
jjS88ziaHU17LQI40yliu58P7kdYEq+YsXWoLig2KXCytl5/77I+tB5or5kqeK1jR14atUgeqxhX
lQ20WfPSGjXP4vMrWh+Brz8vSW7AEQdoOhC8Y6w4UPesydk6vydV4pxSNoPCF/SzcUahEtVnrEaI
9DJsXithZo9IKnfnceybN8bgi93n9/JTzuLj1CLVJHxi4YoAsnVsOtyMuWy9sCi+hxMNBs7tZfAV
PaJo2OC4IVc1hj9UOHJtFt9JaoWbJHLlARPKeEOdxPfXNDzzCMl3eDNxlw269EsJvTDa6AIJ9PZQ
CzFduuhGnYRShc4KBQQbT53ZQk43rMy8RxPVK9cwNGS1NxiWXZJ2xgWIfrSvKGUY524bzdfzNLKd
obxf7cKR3XuNLmt6ntPmJaMUOfSfrM4wahwwDdgOND0f5cDRlFykvetsrHGiPEPfvVHAZZiJtIvW
LlW/a+HHBS1XEHXYCUz0lToX1Yw1slXVxVghzLEqY5S8kWqwS+sEcMrY7FEtsP9CmSL+AlOt++HE
dqwdqhKYL5+/nd/jj0J+ENAc0DUEzX6r6wmbTmg6jel3WAymWsGCTL6B8pjpGvLKOFOp16XVziuF
8W3GoxFnNHdAieUPt/EvJqynIchsfRiQUhv4uEZASrV5u6jsO1pmc7/5+ULcpY+y8xh+Oqqdg3+P
vHm/w5wv2FZ+MD1FXjNUzJPFuv/DzfyLBYuyI7VlQgdYy2PE7pL341BOafI9VKZ7V7tWe2tnqGIr
Crtn7Iv9Jc5c3WnlFPlJNgnroisgXKxU1k0IRUQegORiHJBc78UPkPO1xFs0Tu/+cJe/pQwKOquA
0GqDmeZQeTRkQ47ar187/Xeq3nX4QGaBjx2VRPxsWnTvbXdI6Sm1i4vnXiPLH9FiKiwAsZkZ90KV
7aNEiu/cVGP6gHx+T4eEXWDXJE3GcIeJWuPgYPyab//hWdzP1ff//T+eX3OULuKWQ8pL915OCtVR
pvx/z076v00KFuij9ebb3/mbpO7/F0Rpl9KB71A987VQ6RvTwvAdxKlAWbs2pUKQ8z4bzD/Om/S4
qdij+0N+IRRJ7t/sJAFxyeLT6FBBYtd+nf/nf71M/zP8Xv4iD7RHP78nEwDv/pBB6BIl/3BwUugm
Se70aJcDOGI7ld2jZZJ53hoMPviOohv2SxBNp1lYywO0SRqG5TjOr7Js1blMnRpQk4WPWFn2qMC1
lfGcYQd7kYJcpVMZiHs3SZCKdiu32IStoy4j/LVuZzxi7mmYZxgHYPeYU9P5WlaBB69CJaeguzCh
autvlMiSAzQKRK8pQUwNXYpqeTGr1FjHAdop0HvRfKDKl576RYajkRKoUwj0r6euuCglMph+FuQb
I8mjU2tox5MiznNsMgxXbGwjVKd5DQN7FWTTFfYk2b7KPOQR23BIaLdN9g0tVP8SqJt5Yc2xeUEC
ZOAPUIp6RyTO9nS2wy+WH/uXlpFeo6bRXwS2db+YM9UPFzRKUTu+AZW6Ej9IFxBgz9GW9Cxw1GuE
mbprHwAKzFMF/seRU4v/YdzvZWZWr+PIRUQjgH7GTbbHly19qJ3ERbsrc9DVzqfk4LddtxmdMd+Y
arY4Ddr9X6UXB1ddH403XRkvL3TUURFtenETpoC2xZw0l65AHRAwdLymFBLvEOnoz8zJrb/lop82
wB/VrhqyYa+slMcIcSpz0iI7oPyHb2nq9K+GL9AWkqAx/erMLsITR3fEe6SDVqlZFpsWf7Q8xbrd
8IyTLFXpJqxLqNMgc/d1PcgfoY8uYJt08RmiSePeNX18nPMov6YzsOBabiTpKaXkAE8tDpJnFTC5
xxAXvCdVu/kWhfvqNKigEFfw2O79wIkvFg6YF2NrgriDbxz/FXROe570ZnbnlE61z8nu8AoCy3OQ
U4bSYZoJcbPMKr4IQ2fZgRfBaw5CNSeYGPOGVYFMIFEC+0GXxt81tm/qlPOEG6yTxcle+mmqLgPX
Rfxn6sWZS8l9n1du/NR7Kv5SV5EFoKCSNzkIr8MUzdMlvV5xZo8S46++DK8QzmnvE1QGMXNps5Pc
6E8qNPuDlV9I79KuK/upoPR+UYdOehJT2DmgOo8NBVZxGXl1JK+yajyzo9FhOtbNwUBXnfype6bp
gc3dPKXW1q4C9VwL3BvqKT8J52pY5cDkTkogjDsqEmg8qcJ+FE76Mo+iCtdG6NhPyivuy0EAIWyr
Gd+JwrwpIxd7oikKjFNp0Lla0YUzL6OB0/d6NNz6uQ2a5FqFGNSvoB75L+hNRvti4C+FqF89YDqD
3JgAYGxSED9LQl7i+P/YO6/ttrF0677KeQHUQA63IMAkUiJlyZZ8gyHJFsJGBjbS058Judxt1//3
6a77vvGoYAWSwMYX1prLMNIDMF9yBMy8+OQYXf9KYTG0fi+0B4Qnh1gf7WM1NjuWiEgRbIc8zjTP
xJWJdH5vRfneJkDgaEdLeTBFUQVdLYUvOSyf+8ojQ9Yqou2cGk3Aox2aLXic+7rDSrZMTbUxBA3E
ksxiFQKIJ1Rl06NDn3mt9aICf1pTAraJIHPG1uqLAop2zG0CElrWwRvP21p9VuyiblTPbECJyMyv
AwbJJ9BQFWIsQ7tmamzsS7S3HVYwnualOrRvRk+MB2CAYFQnh6CmcQoJA5VKmDiG+9Q7aDz9Wl3y
lNSJNehwmeM7ImjFTpn6BVTFbDmbdphsD2bDSJRoNIOeXyhAl0pKF9T/8BgvM4yRXNB7523ccMzR
//le3ao3cd3U57mM1FDTlKdMF0xu4a8bIflo+LxthLMeThAyxtMvmPBVoLGdGiKMb3w9E9Vrbico
4arEu1qFax+6zpqIQGDdfoXTLwLHISGJTIoXO3OmXYYl7qJ2a0wq+jD1dnBBX7kk2SPgcnM7RNjh
ffZ4atxCGE6+AJpIT8RxfmWJYO95Ii4bggwI/4nNlEtpzE5dRpohUVveqZBme+mzqDlnyMo+K1Ga
33aiqMMKbBeu2ookFj1ZowMb4wuDMn1PwJkRkpZWbZMp078DMZPnkfHEi2k068NFLuYTxX/6iChw
yH2gAxg4Mi8GdZSQjDnHeGK1KLloGp0eJG3LH+Jm+qRK3voysZZgnvsaGpXu3rimZxGskFfJHY6t
kQuNZEhPYUfHJyuRpsWG3JXp1K+S2Poxl9EuxdEQol4kU3EwzLAeEDsDGVWXDM1LafpWPG3tphpu
tSHWj5DLxFeysUUw4mdBRMzjNuUWv+koDPdsyRFkiqb1nsnyTYOiHNWnPAKbwsmExanXg1m3rcsi
M+WtxkV0rHtX2SIb7+5wCuYHy1SiLaCN7pqTufDIihb6qtqonxKYtfw4JyLQZ1ZIxEUIdNvOzWvZ
LfObukiOf4YzC4LryYx3kzFqwUJv6+udckO4r86QoWzTiVaxGpFlrgYONeVES9UrC/3VU5ll8YO0
KET8TDY5wZSG118b4ub2VcIt7U+1Q5rj0rU0MU7kNu9eW4vDkCe6b06jckr1IpxxLl+GoRT73pLP
VmtBOSG6jmEn3JBX0dvPWBxe1Ei+o998dqvpnigUIAPLyJTTaIpDWzozcPH0QW/i+lgnjvMw1EL/
LGid3iDUTF/Qyjy7AGcVLvUUo5I41shMVHmsm64Z+l1uT3DtzpRa0Hb9hWhhK0zxApjhuvA4TdjT
AzmSb3Vp+mbGXGNH7zKdDXefDyMfHNQDHT00LJ9NVKk7OVP17DCPV+cUm0b1XHOAUnut4nlws9sG
oXxxdBUB6ZGZe0CRJ260eC6PpIU4z9ZsNV8ZXsTZJWJGd+MkltY+yGRJol2+CIIFN1M3Lsg5497K
vuHj7pRHC42cBUxmiEq/UlJRIRoiNLdU1vhcryq3g919AZJBAPcU54E680n2sfllUvRxb6e1Q6py
L2/5m9PWyx3KyTw5pq15kh6wbkTZ5EMKGKGfFQdgEbXIY7kkeZjQ4R55giifEiWNTxBQyPIstfl2
gOVx2/JpHpceoE2Sji+m8OZj69kK6i1F7rRyIo1UruWWsegSurPR3qTpgY4I9dMMNTnqEZ5jY8ML
jGIS7BPODJMI4KQLskaJD4uJwFhGUXRsCz099mp8gr6Wb1RHq0/gWXqCOp3mqwSit0GqO+/SZkhJ
Heu8UInVKGzTvCJ3zqyZEkAy9Hv0lxvsU+5eqrXOnF8vdkS1q++mxEwAebUm8BwCqqF9w25vu1+A
UNOGvknTaYT1GDXmOsFkMZwW+Y9u/b9N3L9p4jAn02T/6yYO7Xv5/a1P3+Rvvd+PL/uzj8P8zt6b
YQvyb3uFTNBH/dnHOcYfaCPIczXgtGqAuFCn/MyiAE2BEEp30R392az97ONM9Q9aOBun7RogQWf4
92Bjf9FG8EMQgRD4gN4GRvoamfH7JMbSZ1pNlNn7qow1PG8p9xWCRORJ/dNsi1eXwbpfV0sfltjO
NsBNOp80cnF0NVFv1N59cAdXHNH+i/Mk89Pgmh1LX5uytCWnRVU4fLPB28zSJFiK+mNrGoUacFqC
JcRKsa09hcaLre6GOd61xsgE8p6DJDNdcgsbZyJ5mp/JTTNsMpYkG5XnS4At9mnIPR4AKVzQulqZ
29mrrdRqkBf8daFxHlaD0x7qoX3S3KRGsQHaP0O3ERaR85ll6D2Yvteh5ccja3zKq/SdWwgMUuWk
pFzpVw3jBxJBXo9dT32ots2TjVkTawsQqlHh5ZUxS4ipIEx1UJxD27qHuETbF3W8NTANwWIWLEQz
8Y7uANy6zVuJArQL1IZvmg+8BSaQJl4CbwP4ySLtuiBq+VuDyu/A0pBaL2IrJNH87jMThhihx3lg
N+S4DcK8jq4kIYmvzEygOqkHEnPR10J65i2oc6MPrV5brnGVX705H8K840dCLLduLLPh1x8NPZQN
v5BR2yJgDPQoOo+aEwdcwGn8PpdNxby1Jag4mikhxKzHOC3ityhXNN4H74G9eB8a5ZpChiWSyFws
Smbvuij6B9rWzOseIjcS0NLohhCokGqyqMt+dHn3DECpwWg5B1dTHj4ukrSZ6TPMpgswk6oBEYjX
YnDRtqvew0gnvNEFfxSqdR1Sfqk4E+aBTgE4CrpiomZJrXW8Xg+Her2Kev4uvPDbtNMAjVadHjoD
+wE7Irlj0bmwZF7gybWsW67ndzS5VB86v3o+pq+YwfnsF/4ti9gQDJpSBmPvYvJFjr0pCt4l8Pr4
U516OatN522QnD59fN4F1E9Mr1xW/cjrxSrkrQJcPvqGwkLabn5Utfidm5yrmrOcnShXp+twqcBp
xnHY9PNjnvCvKK5fSavh8588iqkah5/k7WLE+zAvfPJjw33iOGN0JHR3OSe0JHiRuycHWgKeQT5h
V3IxudyNH29GWXNTjAp/tRbFawHrLoxUh9xovbNCkyREaLMdMQk0k/dFl9UbZodw/gEFbgwk/1tM
UgT2Ic4PitbkLVUHfoc46W7cTpl2jFiw9TRRCnlpgd/vcFPSKp7SEVo0IwmuMohLrIVLcXZ1blRD
5SBwB57k1CR5qHKfQG5Lr0Ni3X7cXtCYl72qEZowmTmulArIE9Eclc+QvwtMlM7HOFHL3UQNs5op
uA0Jp2dvx2fL4H/VFZcne4jWI4RLoKyJgzBG3puPq3xxxLJFW+/taBtEOONh2CI7yAkE5XL+uADW
K5xb/JqaS7kzZo4xb+D+Nhdv2X98zL2Ertq3XEbMlvqQHOPoBVaAsrfI39gg46VMlJqyjzyD08tK
Xync+Ag08U7/i3YAYlSoArrYFEbvbfQSdrTayvLkpOp0axGV6Y7ZK/YuuD1kDp6IixchBRLD20VV
9rHFfVotlnaancTbOjYXGWTk8kQGDD8dUx9nb8EgksNBW2iIJ3OHjpSgF9THJ1J+yMbrDHvj9KoR
4DEgIFDv2sNoow9xSpjSU1qogAMtI1TgpmxIZORwG/noPgwwkdSvCSswlOLlvKt7DhP8AgQZNrzs
aOBXwJvNXYTBaA/ehz+c3PhxNukeCQ8fN+2Q2gOzBIVM7D65WC2XRGuZV31eaYwEqfgW/TmPnZGL
qZnqbUe9uBHAqSFJq+Vpss3pVjrinTaLt2bmDvh4r0HbC9K3+ZZS43M1S6jXhLR0gYI+0IdxgDEk
V6KLTjkfoL3Nd27UvDcO/7mQGRZjglbilPPEVPJ0q7XtG/IHiy0UaOuqcT4XlVmFQkkuyihvnVUl
YEBAPM7pBPNMybuc0DU5qyFqL6hp5aQA/1ry5auwcqIqbCoCOyQhplN8HIQZ4PRqCmjsPAiGqv5g
xSIP0K/V2XmOO3nEFsJHaKiEIvlRrJkSRHiDU65K+0sSm2hjMZ/njOLwUQyECYteDSdQlV1Iu1xr
G7tplGMdyRelr6pvsDjfzFStyC4zJvHuNoYC0gYfwNKhLJnGfV8CT/YKge8QqEJjbOqs5Z7PzEEJ
Yh5FAaLq6IxraFG2pImO3S0RnC4JpGBVij1+sF55wo5LgjpozfwUJZ6BZ6DNNZi/s2jSW2sAdxDG
ENiU+xIK+hFP5MMvpdifE+tfJ9S/r0s+6hr2r6gb2GMhKP6rwoKEaH0xIX7unXSmC1mSd1z8LkeQ
+4ADFws3xKyNmf5buffvy6Q/f67JpIZ2epXz/qWe8mZTx51Vy702fhx23INGSiDPyG4FeM37//0q
fxet/PnTWAyxC9Dg+/xVtEI8OaGRSyn3+cwFslYCnmAQGjN4Cz5+0n+bgH/TBKBu1HnX/3UX8PCd
LgCR0/df9z9/ftXPZY72B/JXtq3rmpFv9nORo/4BmwBiDm0BEzv+/EcDYNh/2JA6iPlAcc+q5Rdm
lmHSALA5RTfk0gVAMv47ixy0ir8vctZZ9gqzQw6CO8FjM/R7A4B2zFCS0SoPqBcpaXbMbOJsCDEq
MsHvC8gI/trdjKdehx5edA0+rm4CDB5Hzr4pzBSnVNQVIa2Odts1pv0wCRLH2YWzw4ltUgzGFg11
bE9PxTQ1TTCjwXrxaNQPFAGEIHgWSdicYqETOd9kWfeHATjWjjisOLBd0RAZLJi+Lr3czVigqKUM
s/IX3C9b7JwF4hVX5H42V09m3bgvZdsVB4l5aKum9lZ25Lap/aBuBjZLdxpjvX05pzl0SmNASoRX
bg2esKunRCMHWies6ggxHsh+rNv2a+Q6NamRRZ0DAmnj+Fy1c/8INM89Tdmi3sux1YMyR28kNe+s
wioJ3AIUeZ506+BbEOjgSNCjacPBnantrnXQEY4pcwWM7tcK6y0jJL3c2gqo+0UO2h3CsGNcisBi
JX0BCoaWINKxiDNfCwm1q3xJNsWnlvg/6j8grirC2RNUgO4gu4VKQ1m0oykS5Zh3ZR2S37JsYHEs
QZep1bmx0daG4M1I0RhH+aCltRnCs3JOcVRYO7PWiq3eGBbftVuu9aB3ZydV8GlJ/cGeigljl7RX
sSbqTEd0xKBD1xxnO9/akieYUk/zPUxd51WSyFyX81cydLudVhvZXjKO3CHTjz5T0VfbDEf5Nze1
xXyWs56dY6sQZIbXE8q3qS9Ct8iHIE1cd9/ZbbttmPoEM8vx0LUs3Y9dIKyYxr1XFzrqO4kY3pbt
A5SFJiqAguKTvZrz2OWnOasRD2rZI5PO+UWxmXf55WKpZwhvw42rqDrQU5UPOfUYAtcx57WtR8Rp
LMI9Rqpd3gGsqc75qD1CIKh7tCFms3fZsF2niqcqbujhDtqKd2M2KY1FzcKNgGc8Pc5eKgzqeCaT
nOp7EgDKZgHAcbSJdcxKffD8ZWqNbWLW7kbXyDrzm0ov9hjOs025eMwidVOqZI/rZKcYkFd1Rk+x
E3QaOV+TvhQXRbH2ntUIouPL5tza+kuVN050apBUJze1ln+x09ZBvWXtKKU05dCl0oz0HcjnTDj+
4OF8e1vwdKUh24Hlbhmm7tJJ3S3evBKbxskEnVO6vXy06sm4tEQftjJkSfdgRl0Weq0kCDcvveNY
OTrhdVFH3gYS4vq+nhRcBkh3hnjP4Fi0j3o+YtQPLFWUfRKUtlM5RzJOaB2CAniLygDc5n0vhnrZ
Angp7TYkFUV9XpJm7Ddqjbu8mRHbfGFVwGwh7KxZu5aTJ6NvDPeZnaWL53PC+YmGdT5UZfWJK9cS
vush8PC91tTEZhrIYPfVHtWLQ3wyDkpgzNXBqvJRoTWXKFLhYhDKxfBTmmf8et7nYq6tF6ExjKGp
JXztoCX9qgBG23wpe8f8NptGL3Z6NKFPYSnjlEwDUk9g5INFG5aW4EcuedzafjGp2oMRL0TQsJqj
UlRHtG6cffzEXkRIooiaQ/xEjEFm+AOk5OrOcWe9spmfNInR34h8tNSgIqDJj53JiUPiAe07bJjT
1jJH/pUOKvNbi/d4Y2vR/JCPrn7TMn1ufVG1LG2Wwht3uH3sM+VacxCpx30/WVFgidzsN7o0nJ1E
S7UjG8PdVVCNLyvIa4nhAKCssqrTlKwZMXXtkJ62elnydcjklwPz5kDS7vg9sZhH12l3JP6i4SQT
kfMrttOQqGtD2TLbUD85OWsMW0fOQ0tmKfgcy/KWdLbq3h0caDN2MzyT5abPOPgRYa+rgbxptUCs
64L+Y3OwfGwR0BGBX2GzwDNqXVeb9nZc1w6AkdhA6OsyIl7gAUxq5j5a66rCXJcW6rq+oGTu7qp1
pQGOWT0OcNPfGKBYFwgCQefY8YGjM9oXfKsn4SBbJXTDfR40oh0Y2LJAydZVCo775YzYk/1YM4mg
JlT7a4IG9GitaxiTfQwkYhO89rqj6Y1EI8NxXd1k6xLH9rIsTMAJdCS0g3io+sNsD0yo23LZWcBW
WW9o47hZOoXGcV0UIf5gZ9Su66PU4IhHPknUYItsbVzXTNO6cNLX1RP+8eRSr+uoYV1M4Z6PdzYv
YFt3gr2VxmaYo5FllvGx1xrWFdfg6v0ZxbX2fZB6xeKSVZggSGhvr+sx2sY61NeVWb0uz7K0rkNU
H/mtWFdrcl2ysdRpL1jdvBPYpZKlaZmdBHT1XWMkw60gNmVj6bm9z9neNesab14XetG62osizeOb
dDaVwLr5k+sSsFrXgd2UsBnEru9e8LVMO5wZ7YvLBrFZR0gGHLVr+7FfNNdVYwEL5yrW9aO2LiLH
LmabNhUqY4ZKPSRq/CVaF5daWRCvUzrOGhLIWvNjw6my65zWpSex7PUZKK5K5t+6E+XpT+IPyUKB
qSXsTCetf1R0iSlYdqjlAZRMobeuWbuPjWsDkG1DiDvh8WWsEwZFA+zYvipsLea7qXgZDZebusW/
TuCW9aJPLjWFCdbId+Do8XRrBbFL7MXnxPlk/Mkdj4s0Th46e67T63/r+/8kMhA2z/+p1Aq+5y/j
y+9hgT++5ueEn2AQ8MyYiE30rj/G+D8n/BbDf4dZ/Y+o6bWP+CnU8v6ghqckplZlBWCsa4GfQi0y
SHDaouOyOTIw3/6tuEC8xn+p71cbHMIv6nsYoejI/tKQioyZp0bm2H7mSnrqs76sA7s20ExPMMo3
k9MW/bZu5kteQcbZ5AlDU9UhIClSUc4OKSc46RLaU5TKAn9GKewN0uHx+9QThcb0LmNPj/Aoj/tL
SV3ptzL/StAorbZEWlvGXoeTSI1D0PTgp3kT0z2lpvUp6xloUeott3lmsaZzCXjfO1DnzNWh2B6p
1AQjP4Z3ChlEbPHaxmeh2t5McHOACBlIcCYr25GbypMZRkV9cJY0OkBj6+9LLzaPSL2+Zk6jPKV5
wXypKW3fbKZyx1YxptJjFF67XX23TAwBiqm7DgQDW4rgRYI+8oH3XOnlxdbzRBLMlqH4GdP9HaCa
d07bdPRVr4ebgvcptGpKOr3p4Wot/PRk0K828Dk/dfpzj6LYlzpDRM19iAZ51sAD+QlidLDaRGsx
5EGAQUa07o7rHxA25+JkuvUTzmsoUFo/Qe6PvzJAP6x7fX8VI4lZfG0snvROVX0CLbg8Q5xVgxqf
ToB/SW6lytAWfsCGS/BhMqIwcjLbF5G9/gqgCi2+tdesbdziUHoJRdn2gwBZ33n554plzWdtMph5
rpP9Jo6MLT7LCaETFqRELd67pb6otrkAKVTI9Zqbl8pkT1wDssDTEOnGxqjzkNKjvlCw7CN3cX2y
lJu7GXLFkyncB7tLq101kZyidTO700g44YLyde81thu2ufuYLzU526YxPsZmBMccUrDDCHINSfEi
+aaoCIQ3TqMa155Aj9sibRINlUMysXxIyJzLk/KToWhTiEeQXEGywO67vPe2nRuRvWIkwDm4c4in
HdIgwS67gVTWeLu2MZAJxLVGsGA6Vzx9LYKU3cGubnVtkjf4DHuIVq1iPTpwHm7Mwla/mrzwoCPa
ZVOkGZ0KeLmq2mpEqbfIC2f1BiCb1R8qdC6+BYJxfifreFF2bltV0fvsOeM511ssDTFUCCa8Kcpy
BnqIYTLth5D4v4OcfzPIoYtdT9l/Pcg5s12rEDn8Osf584t+znGIBVjF8w4lIIf3Pwc5nPMsJzFn
rtOdnztcdc2Q1RCUOx+n+K9HvE2WFJMdBnfouP/uCIeJ0e9HPDssR0fKjxgY8wcS8b+McFrNzhpJ
/3ikr0Uxg91g9eiYH9UzlNThWY0L51axrOo+refydhkRPjRuoWobYlWyUFsL8qwXBPm1+iTuko+K
nYo88z2q+MlLjWO/FvYUwtT4ljtRjYOWovaPxOhs57UhGPD0ntSPLqGiXwCFKy74Ut1dQYjPLmK4
syM5jQ4DuFwUdFLYH9b7g1hbEdnNEcl3XaJsID/0ZJGubYszVeNXgUOAKCGmUhsjkcMuU/QeeWkV
3VcEguCyV8bpINVXIZbqxRG5e14EuYR+O7lsataeaFy7IxFN9t0IhSoONdvLVVhsFIMaoo69aHXl
baQ5esd55N2BenIPVVS0OFhIN2GnWWsXrNVy18NZujc7czzSPTNHmEVGcAwZ79+ZrajsdyjeauiR
xE5DLryNoSTddPWivJV2vBrRWFPfKktTHua0eRq8qblnrWHvBF7RR9i3/SfP6xHJ5crSvoLkjJ9a
wGse4mpE/jbBltJnM79QF5eI7YST0t2k7SGxPOFsdB16V4OpRW50c/wCvZgMPFnmrzmQqb23QL3X
zDR9W1SW9CkUC0KoraNo+/qIQmm5qaN82JQWuZfOBEAnaBErwY4k5rP1ES6LJ4TLrC95lyTfrVC6
rd4Z+c2sOdGmBbbMCyWqkKVoJE/augHLLDXZTQQ6PlSlmXwRfZoISDu1oSM4rSqoClamBXToyNfo
lgQJpFx7h6Y15VmaHrsIWbHXw/47RNtkwbEKTBF95NiVSZAvhhaDBprGd85b2W4YT5SU2qAid3WW
lJfUZmtrMjA4xW1FnvoyS19v3eJc90p20hVDmzGRjyZdvzk7M2EZdfyZFESd4B4Zm6/NNJK1LmrL
JgGRAMcKY9F+qRfGL4NjxsTNlgCICsu7Mjgho8pVwjop2HjMQ2C31i0iyeGtdAxxUFtCa8YMJ3ow
dHLemWUy3TDNtLttBtX20auy6Ekp7Fg5Rg1oldArHe1bM6qd5FE7yvsBXmEUDrPQnnsE6kRFguS8
akx8vrazymO8HrUXxoktT7C5n+87ssLcvWmIEYm461X7VJ/Jry+MySTNFLCILyPN+GwApLpp1MR8
lWg5oayZXLQbcIH5vo5Ll8pJdVDm8/A6sBr3HhYeaYj5Mnoz30SXnwcAyaqtm5TFC1ZC77FNzVeF
gQbVZWucNWnP360ayR/XhFaVoB6j8olYq07b5G3WO3xYZfvM/AQHP7GK9YHkzD4olEEWGMMs75To
EyDYvr1qHR4ilO3czy0BvxvC483QzesF+ws91TKwDJ7MOl03wjJcxr45ikpzjpZKwbAYpBjzPiCD
R/XKicbc1dkoXq3uANCm90x8rV2VqoymFK+PzNB0WpJLROKFi8lhOuhqPW8gV6XErKDcRhptNLeE
zwO38yqjv2/d1OSNdYrsC5leDdknWm+MHGaRPETxVLqr+rb+Ojhz3e5NxcXApnrs8Sx17u7MrlXe
KsspcCto2XCZm1nhcFlIVa6UzGt9DyrCVnGT5qs9zuP3BgjQ82yW2tno0qjAVN25s29Y4DNJ8zKa
u2T2IhFQd7HVTMbokOgKm1MMsJ9i0dWBK7yRaVBLnZKLJrBL52jWM3bJskQignE8wN4eHTLBsVlp
ZsNqvXiIS0vukFFGfopJe/C7lqEi1IW53FD22GGjTss3qMdTEQ6a3QSVIYtQraiC0f+4GdRVLR/k
jUnmVgnPoWXm9WVRmBvuZ8cshfrkzsImuCtpDQ3VkZRzl93BkyeQ1svsOy0boy2c0fbeLnL1ntzG
+MKxOO0cVyyHIR4/W2ZZ3jesNu7ZN0c6QNos+jy2dvmEOITYiNIpRywCsfiMck7nkGL0fe+mdXmB
jVtcPEdttl1cQLpPhXnrxUWHdAgJQ2a1hJNqPO02UzEjvtA9uW1cp8kCoyuK28xT+XVtoWxBPCW8
MVjiudU9HZtG29mnRuPXX6ZeP1tWGS1+u/TRJ9Nt7UOWivEhlopLOT1EyXeDvJu7kpDbYtcrTXWa
1TlCD1nXn9BcOIeYF/4Gh3UB/dhau6lv5HYin+erMLMJwUOjLPsYqOI2M2d9HU3IEDKYDEVvcR7J
VFtu9H5xDkmaVJtiJMiZiB3fanTjLgLHZnLIiuh+XOie7Ew/twTsVoygTYSZTLov8eKku/X9fAC4
qbFsWNo9x4UDRq0lDVYMgxHq2BWuxIgn33BTpPt0Upiotmzs+TlqPx/nxZmvjFjGnTd73mHQZPe5
jSrUtxqsc+4nmkNEIpTLNXnjfEQx65kFAH3QZyXIA2l4zXVEMkLuWYYTYo10D4FCq/usyc07CRHk
TP8wHToejKlf6+Nt6blvapV6b1pn6JVvdVYDGztPvqpjJA5dpdQYlBMkBunAUcPll/CQNnO2H6x1
nW06ZOISeZQgNRqbQPSa/Qx60b3T55I7b5UfoO4Gs7Bb4NsuQB51vfpUzt4TGKuYEztBdXaDyFdq
8BJdWKwDSdrPDKXFJ+ZjXXOx6VC7PQrABhkATDtrQ7nfqCfd7lOeYx6KlgZpNyFiiDk83nk69PlT
28TBhKliRlRt477xbGcDaG51m8TjlWa4ym6A3LGJl72SPFm1YaUv2APLcgNhDnVxOy5tTDP4Q3is
kd6GDLn6IUrmktWRKDs/BMsN2mXK3umLIIX6LRsm/bPXS+eBZUV9bFA9N6v8uViF0HTu9YZdV0Gy
9HRvo5bmAMTJmrxkqKidVU5tfCirzVVk3aG2dnDu7FFC5JdGo1c0C+XEh6P77irTLkXfvBtI9laE
eIOOe2zINEZ7n+Z7sPf9FcwwQCQpzYThXuvF8QNkmDYsFn25JuhzUBj/EI7/d0z2n4zJSAdhcPSv
m6efJsj/qd7/h+g1WbymL782Uj++/ufIjKQ04gVYXbs/NLH/bKUc5w9NQzFL+cyOm6YGfcXPmZn7
B2ZINtQelCPmRDb/658zM3dNN+J/smjX2cz+nZ342pn9QkfAbKgChDHZzesmOTPs8n9fic9aKTCm
T+oe3P6miN8JQ72bZh6LrhuUIxyYVD2SKxgyhnjSBHMho/uhtvjNb/mremUVGv8/vwLaFQ1xLvhf
T/tLS1dZEFJcN1b3LJyZjJtPs1efukGEZUFSpL7usBoZeFRqnFjRua6JvQdFwE5YfzZRXi6s2FiZ
ndVF8dPK3fbso2oW9E1ig76yBpoRoFcDO0e1fjNpOoCV+7KEjiG+Zigl13+cqWsArTx2C8jSgvRS
JZwtb29WPY1ALHi+qUPJ1lrtkRIpbWcYgSrkZjbKz7NLoAHXxH7CdFIYuCp04yaWo4M1c4HtAgzH
zTl4XYVHI/WZQQZt2IkT2vwrcxsZTiXbTwqyq+09a4YSdrHzgnUJ7W5GtLZtbExOvaLxfDVJQllR
t0zFppXiflKih6wZ21CgSRj6+ivTPnWX5vISd84NAuLXhXBfNlKbxh7zHexU1x97tslGWb4Vk6nu
BPko/qyObyV1fmzL7lR2o0UpU29qu+OHLdtUGHdxkcWb/x4u/8nhgvJkFbj869Nlzwg+/W0w8+eX
/HmgaBaZ3gAN1+mHAcfH/qfKngHMHzp5nhqarB+j9n8cKLr+B1s4wBnsYswPl/U/DhSNs4ZRDyou
4Fl/W2Vv/X43g1khBpitHE23yslFDN7vBwoGtXzJYI1/wiZZS79eim5GU8zBt1nywjvVZtxekd63
b3iW9IckEcq97jUAVGjKUOWmJBvn3YSym2DnMUDFsOk9Bc8aK+fnTlX5PuTDos1ec2EvWYvQDH+q
RbpqMomtBEYT1ijX6XtBGyVeOZJVJ+ZdxXj7fsmMZe+xCGVxrsjv5cL0gaSG0bxTSGa9m8qcfVXS
9SOanXp+IVJkTlEB8rZtkphFt9+Kdtli426O1qzUr1JPsheQofOFDgFHAXTo57ldWvpUCEsbA3Xg
96GNNV9HKoFvU9WucWJftV6hbKMY1R8lCz3xbw7UD73fP7EkHx+BvSaeqxzuCCtXrdWvVJYClUym
RJ39aWkN72AZ0gprfWInv+Z6CyRADS0pljDvAqhDP2Ff5qXVtktWOI5ufO0JGBAgUtXBQ6ZzXiIr
ucX+Xn2DGqJ8gZrf3Scrp8RKs+wskd3jIUvI0c3zyN3FCdJ92RnVneu2jz0l5t6qxxOOKB0hkr5D
vfstazBV/3KT/H80kGsm/S9PEV60uUoQcfG5zBtN5IK/v+gamBwSihruTVVEz9r66cckfT1pujld
FFimJFgY7QGlBqMyGnndL4DabzuE15g5JvW1FhpvAwqt6W6dTKPzMKxP0cw/NQAovhMnoN3EuLju
Emkj/mb/fLHc6DPgNH3npWn+GcDzsLEFueUpT05C/Vplh2/RDuaq7cNFLbimDeQUN+pifCtteUJQ
pe1JTbT2tPlQNsyIYEX0+eFkIVdXay/ZWulzXnvAls1qfKOjQRlAx/1Wk8JzICai3bc9XWqUsMmq
B7klEmm656YUt7jHuJk6ke6F8Y1OImshErV2FwhsIXgx4wJSgDvJIE27Bq5M5u3UBZ+BnqKzdspy
uodLjakeHGh2LhKjOQGT17/MrNS+u3lDE1+O9H1M+Fm3TQs5xWXSdXtvqtMbgJ3qOaKquDA5Gs6W
aHhxuoEFIWySJdvPLT6B/2XvTJYjV84s/SptvW7IMDmGRW0AxMhgkAzO3MCYSSZmOGYH8PT9RUq3
Wvdat6q1r42khTIzBoQP5z/nOyGpMvNCv9t81w8GHyg1HlvQewQmxPW3qRUrgQjVv9opwAMfptXJ
tjs/1Mnd/xc4yb+sWUSBMAZe3VCWYXGyAnX152fHTIgoJ5OrXXC7rA+DD+9O45r7gsRIrZFLXgf0
Kc8O8tpPZXpr2LOrL6GtlvQrb+R8bvBRHdtBb1/d1iZfnJb6jibXNwwKZAdGp3qGp4C1e+oE9r2J
aVPJd3+SMZ2b+pCsOHySGVu+NC+z3hV2gFXxmiPSllv76q5nuVq29BwQ32tWWRw70QwGgRfN3BCv
JF2ez9N8Jq6wPvx+bJsc+3+WOctt12KZR42Nf8nSQ37Qqh5WmNG/1qizxEUyBowVcl7KmKjOftR6
sWtlp1UhOQwaua1xdHY2JbjupvBS787Taara/Ouf7u/c1f9Zr64fP0NhDygNnA+Efff60/4nipRq
8YYnaxdfzK5h0DrgPwqWrtUe89XnHXBNo7io7bWnfMngGom58Ztb2hLSeeeBFUQU4jeI5lm28dEr
puazmJxuCfxWkd1v8EG+d/bCmwEdZRzabNS2//4b4FDHy3IYYRN0+8vzU69F3xlp4l5KhwkpfKT5
3DZJgpMvLlG7ataZ+GqhEiaI82suWtsQhmkI2+rixlCkXPntERIyF/lpza4BW2HGKG42Y7xtSy9+
Kt0WZF1aJ5zg/vVr/0tj3u8P3yZFYxgmsJ3rJeAvH36FwrXaSlzkiHITqL6Pf/E04x3t+q4ESZ2t
tzgu57uSi/JuqDzegckV/OBR3H6UFQEN5ZvdoRSqO0hG0E+0T/g7X9lMCFHQ67vV6wF2m7x/VaEh
BEOv+l/MRhu+InRUqt3Hg76u3kQAdZ3vR1sV9c4lz4YXX6y4/5iGD+MYv5q0o+5BZ3hHqMDkefAj
bMveSrZNmc7vaDbrrlNTfEDN7zYrSpgXDqY5f4N4ZL0yK5vBZ9+Yxma1GmLssqAqptv34OYZtxdN
cyjtKX5Hye4OnAnm+98/vdjXkq+OxvlpA4mfl1cX8REzo3khSgTPqcpJufhmm37pTY/ZkUDfO0/e
9A294bqCXD8ahOTjmNU4p7ijZIFdsfI1WacHC9jAJ70x6Zy2Cbq9oaz+tGRFqDhJ5wP03D5EaiE0
YpfmiY6+PhJuOZ8xObCX/OsHgUMi3/SffoYYNDgzAM4Rv4+Dfzk2sFYTNSqm9gJBekAO0/mBBb/X
Zip7290St5DlYF1kARHpZMtRrPl00NrQYViT6OLusZC1LgPmvDy2WdmrYKn0rAgnLc8qgAr1dmiL
68/VcPUfC6i252u95w9T2dP3mLm2FhEGrTB9pp6EbcBx7Hai+m4DdWzhObBrfBClVcbltjSYaAXM
Zsa9l2hztKyNe5jt6nlW0rB4lf1ShhpyFRN27QEm5aKYEOnjF2VXLJEFY5VOkvebjbXf2fxq926Z
XY+c1++1Udnw2s/FHoPEtESzma0b31pejaZhmC6ZB/J6UnS7nB8E5gse1tzs7RDkv/sTYl0VdbQ5
HaWR6/vVp/4lcKy13a0tVUu35hzbfgiQI31hH8heei0HsLI2ymKUnyGs93ASaJAoWifZp5xbZvJS
rAZBTxvGl4YSeNEmdT3goFwedQ+Ph9ZXTtQxs8DdnRKVG3CQ6bzdgiWvpJBNR2Hs+N/xMPIzIEK/
xqHn9LbNaMmonxI6ng6xbrPrrEZu/UgpxlxCgqhNcaMNw/X44y8PyUDD2GZNWv1HVTJACgdsXtHC
yq6HWo25I0GkQvmUBdZAJeUN9QkIsIJb/5sh1wwDGJCHh5yiaRoq3Xy+dJwt97gFfSQy+vZ+mdBo
abVYtQ2SS0FIx4mZe+ndqjYkrVBBiUNh9OxiN8CRwFOYtZwygznpooEElBaIJtajzFrLX2iYF7wo
ZRYKjq1xoGjzAjZSVGfXrdJ7s3JVyGbg88n4y/rw+4f036aD/8J0YJgcvP9pzYk+h8//8f37Tnz+
rCCI7b5ll/xZKvvHn/nDc6D/7erdwnSgM+P37Csb+h/2Mk/8DT/z1UfgOlQncMr/z6utxQ3zD22M
lImARQnnGMcl3uh/RxpDVfvzggg1GeGOv0x3DJuiHucvV1nflDWDOq/c05zwrnB2snUVckMK643u
hscOQEPN6evNq4y3RSljO7rLllTacVhcb7NqrXmwAFsdemYFAaXi4uCPRblD5WoiV2uBtkx+92uJ
JyeSqUu80ev1E8Oi5gOfm37R4LruICGPkUWpW9h4WbalHQqgFCcN3GrevVozLFBDdQN7XfG3Maez
qPDZ9JoJzUTZ3VEfurCdqjvqByAsD/YQ5OV86Hp3fRB9LCLpKjckbzE+mdi4w2SZmaNhAAhszXhQ
qyV2/ZC8OnbFpq/QkNyqTG8HPTNuclz6uOfq7J7IercR4I7usWyAKy5fxhlSHzdbGnDgXVbu9CmJ
JQSTNamoAwPxI+NXf1Moe8XmttJkx7hsJ2AGbTq7c3eqXph92+W8wf/1Rc+btbVHM46ywrlOH8dP
c1rgzgzTMfeLaosbSkX5WjOcGKgo5VulGNCtL1Xbb4ffuEftLl5y6ii1dt43lq+C2ZXGxW/M8m2Y
RPOKu2yLVZyNbKguBdYT0IxeNwa5B1YlZPx52zVWojamR7imrdvibVxl9lBYKZnsHnA7Z+dZBU0y
dY+tpcWPRNjEjV0wCCKcK+gBwONNNrDJzh32+zeoqf0XGor/MlcW/UtSjopkpuud0smvyJyQ9W5H
aoJdBW29Li2W9tKcxH6wvObdJXTihLk7lS91UZNvL1Mub5xtz3YNCJFVvJQFHadNd3Jb04sgshp8
eL6JqyUdIab3ZlPjGIzJs6xSr4+M1PDJtVRwtICkCoZZhqwyctQs49cVfmsqN/9wGR/DKo4plYAf
F7/kZikfPYvJ7Fxl8hEmmnG2nFne2IwFT9zS8o+Gkhmu1HhuuNoVq7GtcmSDQbfm+0VMDBmHAlEX
D8K8YTp0HS5xHrMGhSVYUEoada1nf+J64xyVgcjuRtc6aJY15mHSD3yq11LgLp1mSvgohZrmJbv2
rpE7mKSoj0RgM4RiKDER7pTl3sSN/CJG0v170U+8+XZJlgtqDq+xkvp8obpL3tAj7xRIN3wPgO/4
CzElpu2m7LJ6s0wV54Ghat5Tfn+7DFQ+eChAJlFMm4oTuFcVpDHq7LxAPfhiiDntjNFqvml2ne/j
EcTv71eWx3njbclR8deXnMsfkhU3UAbFhSKyOPUe7KtD2taG6ldZpfaxFvX41Oe2CqWzOJhSr298
sKrlsiC/PLtzxf+xjHPzIKa/l3JwSdP9HgeRsvOP308axlP+NaINE/vvYtJdMCufHlFf3imUhjRI
Md2EYm3LF9tX5quqtQySeWW7D0yx7IPEVXQxOF+RnsZQaSYjfbrNxJfKYKo+krS/RjpITG9LVQ1f
g5tmoL2kc+cZznLTxoZ5iYklXFRLBVDKEwmvyBfxB3eHNgB7hFejjmf+osnjX3QXgO9lkmqPcm1R
pJxcPsI78ncSW+Pm97dVqYrYS7L0XtgXMdN2Y5i8UDK4ICJui5PR9nYMV4BpdeQkVyvItcKK4zNP
/cp/ZJ73jrtiCc1WZmGfr2fcNucJd/Co9U9Tm8hgEvKjzjjQ4MsKfe/WHMY7XSX3KQ3ECDHpnmrF
X0L5NxSjgPjVcBKb7mXura01pbvBWV8SNBJyQLN3wtTEQhcLxHqG/c0Ctdes5WVgH+PqakliEJnh
XOwmf8YeYZydiTW8MDyCgW5jhYZb22FWLWfA1JGa6TuN5dGq3fgeNXG+M2Yz33oyWYioeU66c2QB
DMGf7M0C/yBwG1B404TBdSBlmEZaZ3zVyRxOrfnd1tRBtQxeb/L12iJnVqB6TfGzM4Z97YkHtskS
5WK07uA+xe9or2+95v2k4gXGWd1XW/wxAwC9etpolQXjuAezjQGJa0vjOPJxtGybTq18/aomEZqk
JAIBWmjbDPNjnY/N0XeLnUVVNwWQK19w5hjbuR3jIFdLcSJE8Oxg/SEKSYBnXqoDYo61VyzCke6N
DdOTgmYVH8ZUssKGkvK91UcSKLXUT0uhu2glQ7bLF0ePBLc73ajaEGBCMBoL6MmGe5jnfmcmVm1b
tfqH62iwHYviaTD6/BOeF5Wb+YRhy2q9EAxRH8S9Pxxt4IoYZtaV9cCayn2S49Ki8Fu3w5XMuB8/
tlX/lS5DvGEevpznFCvIxmLQP1AZYEIipK0PA89k1idpOGcuS8UDjxUkQI699xasOsZb1BaF1cjo
uKgLwhjEYrDOmM13Dxd8g1vigGKEnts0nyOO9qj1KGvNjelNj4Ff6JLdnoup2BHI/6nb+jupqp2+
tPGzMrh7W1YxBcJSBcU+QrvtbMhKS43Sws8Qp3CdvCFn92HdWygyuncCwJJsOCR4X7Bap4srMuO5
wOrLGQLrf0gr6XJU1N2AgCNUSKntlD/nLuRBXITVd48p+3vouvLodxWGqKSPI5Jd05Y9XW25FR4J
oFkbFHP97Ma5fAD5OqO9t5ysLE0Equm8czM16qOmavVDmYZ1doBFhoITVoCDb41KfkWs5EM2Xk0C
mKfiovLIyc15cppm6InH3oyNGYF/Bdnj4yvxkpZczOAlL4Mza3cOBYJhYZlzy5eIyTHuEm0zURdy
ckVn88TUwAdkK2BW2atiG5xHeZYEno82SMVN3IoKHk4bv/htNlwU3dX5ZqV6ibm+X2vnIfHEgZNC
sTN02W6yuYy5lAhpb9Ju/oUibd4ZFLo8qy5Te/Bq7avTDnTgshZGyerjvHMRADTcX5C31kNRcQqr
pkk76pIFrDHMdi9jQMlNN+RhHi/xVuLD52WVXN7t8ofbox71XazuCkfTb7u47kAayG7HxXQKR1XE
RA+721lSPalpO2YsEA+99T3vOtlEOd2GAE1axjhGYQQZBqptZetDKNErdzRt3zJCgT4gNbaBERe9
KPvpfi044xUTTeLSmby7RbXlY5v3ak+ju/ZuDf4ZzFH/rVzQdq2zDFufZtHtWMYN4VMQul2XZdHY
rfzEucUH1Jhc2EHlHQ2MSKH+uAS9rsSL1cy7Wc1J1Fvr4+JY7nnOTMJ5npfvltrYwSqFNmkQs5xk
8g2Yf2fhDgwmCho3U5Yzg6WS+JhNBk7MvI8P0GZOWdJe7FiICKBefqD4d76Jc48C2CingdWgBni9
+AWrq3HjjnBNpk3eXLu3dngt8+SBpqUWi/6IuyfgDdtA1n0NmfMl4Q4ND9bXqfUOXVUu82Hm/Lue
UHeXAmNLVYgNtrCJvsoGB5eg3SfHgDeNNIdUEBjNAA4vxZNp4anJRlyIpblnN3ydK/tB0/1pW2F1
DhN7VI/YPNeNsaz9OckFSeRJ2LeDWN/a1co2a+NcMh+nY74OJDn82oxK8nZ3rduIHz0Z4jA36/WH
0RvDrapcbZsZ03eXLOZGCXO69fBCRYSC7COMQcXql/b3vkKoUq7TXhKOKhvKUqxo0dwPIO3XmtYx
/1RDsoSZ1tnEKCHKVVrmBElO3SdTgjqcpmwO48ZL2SpBx874q3a6B3tJg1QKVflmtThol2X+haA4
IZpV5CAJu5bS/pkiyEXxkPnHJUEf2+TG9dCfLN3wQ7fV8EXhWn5Squ45x/e0OTiZOEBtetSnESWg
5SyjRcU0FAf8jESjV8LCJzvrIJ+W1fpadnp526fVTy6gCYW+JoBkpukMUwCHyiir059tVbHra231
5U7Odc2i/HJL98W07Qy9e+f44uAds+bLEEPx5Ax0sbJcYMJekz4wCHYcSV9BZV1WfmnQ8V8crEQ3
bQPlZi0nj3TKMpR3Rd26IqSjKP1Rt71OfjfPKDUxUrYC3b/yurgaSs4Bpe99Yatg4ZgSYVyyMfFe
4Xk176tVYQ1IJW7kKbZsjSXf9etw1FX9VHPo3whj9eCZDnLbszBuPGNFU4W/1FDowAa9FucMg8O7
QWVc5LQ4fwNRp6i9eU4o0OQfv6OCer7LpUfdT535wxPZrw6fGKJMvSLacHoe1iWcM5LehBr7gSKD
tp9+pVgN9641ZPsO8R7Cdf1dzPibsMwT4bb6U9FhmW2SzsMgqU/3STo0F3ika1SQMAI/hslZJJJQ
TWxlUe578ZEX9szFL45cP5VbgNfeoWSA3P1dPv1v1ee/UH2QRUxGBv9vP8M9zBDU1umz/rP0848/
+IdNyv4bLHe2yuvc+kpsR3z+Q/rR/4ZFkGZRbPyIMb/zg7gFhvQ//qeNqwGFhokv0xef3jAUnD+k
IP9vnJzNq1TEUM9BTfp3tCDMC3/RgljGbMtyqRe5zkqAlfx5TFJWVk/Hm77shUsPdDQa7K2RKJV1
Jgwv/Y1v5gjPVZV11VZx2/cDs++YI3g08mzXloarkKEgNwRmoaWIUu5k8DmLZIw6/2czDfGdcrgn
VYuhR3ZGt2+wVp4ghqL1/XUls6PVKfFCaVZvaBuXEl1Gqim3qk2XpyvjSlO+dP3SHZe8Tc/4Q/SN
C+XoOTY1i4lDCQqj83Vy6KmsWgzS3Vzv9dYH5k3VKX6j3AIiXBgyhd2GAkfir/GLqBrnOBrTep+R
N/zWDCP5qZhg3M78mTexyBxfFhD/E4hg7tOG2+tjQO9pT6AZC8hGakrc+15S3kyWn9/huxpuGelq
OyPO1zDWY7sM5DCxwuBS3eYuMJZQ8KGAxSCzqTGuDsrf/DkfaRfOnLCevY6PmWohMCi4L/QjcZOR
PmbH3ptcTzYc63yMXLZxVKtf3Q+a5VBKslYPsKPlfT563V0aQ6KBOljUR/x1TUhnZxwWKEZb6jI4
z1yTE8QSEn2zuI5K8XxQLENcRH81XHc4jdJ+Y1o7PBp9X3uk2qgOhiWdJ01QgXfaXZnyL3NZmNt8
vCaCcKtxz1rj+JZacrgell6ElWQWJAS8f9eRHmwAJxZHC0zjr15j47Ir4+JO9wzLQMYrnOl2ot/b
45hJqlVMC6Z+P74bS5M8dyQd7igDECH9fBut94YQtggYlXSoCDTOnLbLLj75TV4/YE22bwvbfM2U
7USQ7Ypogdu1rbnVPaIjtBv2rGqvQJLr0hjCosjzSzy2+h33YReFw1aHxJF4xixvU9nk9NNRl1G8
ohVxOpHxPvdjsWXYDaFMqZ9kP7WttO1YBsgixoWHHKUfLM6hXw2ujqVvbZhF4Ta2TBt7vniQPG1c
dP0bqTMXr7zWibS0f1urTATrzPkjNQkxisXjVfapCJORbIGBinIs6Wx+s2mbOzAKbC+ibOB528I/
uh4F3JzXSHsZ8xSWdpeeranlueGxRQd0kFibJY2vfkA2DB0yILdWDDOeIebLooYr0DqDN7tDA10S
49mjEiHb9r6hrCZgn7SBneUqTVKUDWcunSYExO2Nj6ZZCPUoegf4Ke7zIjVeDJtnYaOLPLtxOt19
GLw0Tl9ne60oNjTy0trWHMbI/hBH4t9HHyNTb776VsMIp6RKcArZ1hht2oakdhBfdJ0flATozZhn
zXk3OYCc+noE76bHKcts9TgU2XjFuyVabp0LC8Dpe1EM3VpHbLy1uwapAOu5NA5b6NSbMyvbmCXJ
O71lSRnmqZHx/Wiy4vGka/5KWqMJi8BwNvP2abp1k6gkQ+ZtWqh+RbJfBs9+HyXNPj/dwjcKoNIE
skeSvOMgj7RmWWSV6rgYLP6LIOyBNBnkDNI/4xA/1QVJmlDHb+OE5tAh+ZrXUOt/z2f+v5yHbFz/
cqc+fH2m8p+NzMbf/8QfxkPDIP3PtRt/oUVi/zo//scWjY0ZeyEmYuy7bODMSf7YoEmR4kFjf6aG
WdhMQP9zg7YNLM7UJbN1X+fNGBr/nQ0aT/SfN2jaWXRL52VhQGS0Tc/CnzdowB0twNDYOYvU1g4J
rQbtDY59LivQgKgHSDASVIWFLIxdu3xcs0b4Pygg+k6hSj6C7SELYUhqWRyDDICrZTeEU4lKlED5
46ABQw30Z6VPMNJQZ4aLVpoJiZZEqfZZr1sSPFBhSovSRh8MFFpbnp9dM/URN7FwbLM+rQ/0GjGc
zsc2ZJ9Poroq7QiegdimGfaMTe6PDwW58i7IiW2cSoSdUz+aww5KSns0/U59oe1/2NWABuP3+jsx
VHenN1nz0VWFHqJCOAfH6j9BaDA6nb0UOdA1u/RmXdJ5rzfS3vJFaecae+BMLcG0TWGekafqwARM
Xeg2o1FNW0F2HE0SmOmdlqbm67TMJxsZO+JnD/w2S/XL0l+1y7GF/zPor6XI/OdZzAsWSnL2jem/
zrPnbCZ9CWNrqh7wI7Z7e+zMc1dVOPEYG4R6nmWnapLqIJw0u/W18tMfWsTQBvCKANJ701awYkqp
TT8IusSHJRbWtqiN8ptCAgweuWd8X41FLaPhTu59M/seiXBufJXNb8LwFHDgLE+42XlJ2Fal92Ga
Y7ERLkSv2ZOvVVa9tpTm3tZts2KuVtN7PAC+RKKRG7vI3FA0Lt0arqoRAGFZchyzMp9OjnW2nSDW
0+ZwfSKf26l3tp4Rw6FhVlTsmTm0mCQ4LfDqJxc4PDflnY4VEGJUeT3aOIWRXOzCKO6XpV/vYpUS
0l3t9pRa1FIEEFEF/4olGWa59o5CNuxMFQe5R+XA+RJVs5xSZI5bTiz5ltowda+6ttvWfT//ZAUu
iTjq1hCOhdb88vueNG2ibGNX0btwQkzJ9rOo+9MAq4ABuqOSr5QWsJBdU+xTgyFasIyNe2MwF5BB
Nrj6mZEczW+dD6oGhhugrtaB6QVBbHwh8w9zqrUWc1tYRcutDuhRZCYpNbmpKcJCqyCwycr0b6aK
dh5CLhRCIj3Lbuur+ZS1vCj6a5pjvy79c8INtqIf3Ex/SaZsG88rfcCWWPA7oX05xL5xOaQ55FGK
jgKrI/MH3QM7o9VYzdbNdf+V0VERTJ1L0JfxZOV5KaMEof+YAIduTVT2nwVpH0w8FeW1zpQ6BL64
riN4qzdf2hZu3hiSnkvBA7uWn4R1oZYbqTQS3R4T4aPnFGQ/K0xBG0LD670rIKSuLXdox5nraJgt
89ATALuUBNl3NECPLyIV8gFIRbpAWb6e0Pwku9EaizgumKKKjBdvyZHoJPjYfNrOXNUGazctG+je
OUIIjSYZJJ3naW5hNOOZ26ak47lILHwlgx3fpl7d3TtkEo3Y655w6joX3xr3XW2td4q7fShncqIj
P2tmwOZ8IFOJDKccjsWVqW0MBeow8BpveYTX1dxW/YRhl5DuR6YbLT5sZPZRdergLVkaH2qS+tA4
WjK5iHvW3Oi3KESI3VI9JHbbXWF0OTg3+nB6sqghA7k0JFlqsSi0fpRYSj+srfHFVNw5NzZBcQpG
zEPVjw5l8n0Vgl8CBciXvOMckEZx1jxpbrPEeKas4RE5dPmGZUdaTHOX/ZIjfcEj4ySKEW/Cy0gE
jWh2sXPHuYmymIVcN9fhJkvH+bkudXvbNnWCZWdybvWZEkMpWYj8JFVRXMC9sqSe7pdG4SKaS5+x
NP0qTDaE884muO6J7mjfRk6WbVapFS6OPf7KY02ebQDnl55qnLCxyfbKVv9M1irZEPviliCnaedN
vYazDTPVO7av4dRV5aVnfnlMfW5gVtfRHHUFzKw1ep2avfVeN0jq9zAGrja4eN3YidNR3ITmi5bk
RX3hkXt0U/s7uc5glDv/JFuGmY41kwYvbjZh5wjtlGpMLGQj1CvpdXiwRrNeHE/5DBKl8z56Kb8N
y2miVXjlAaf3fFuno8aCRZeFEpn9UZQTAG8Xpq0R1zUNSNL4VFViMxHlnjmypJtqMfdicihR1Em7
P2aZMUfU9oB798vLqhsHTg/4tjrLcDaFTkQvqE3hR242PaimSIBuiSrMRwI4i1On93nZ07iqtYl6
0ROnPfpW6x4TooYeK2js71k3Nby4+ql3NesCI+1+pEU3aEu9vAHfV3CZHEdco2Z1jBkN8JPAVkbU
8OSsSXrwPe1SMOdF1e4kuRwL7IJdJx6BTmfcJt5QbnrivaHuxaccoXcnnZ6cM0NMhjd6FqmmohKO
W+iWis9slwwg6U2k3M1Mmw9+qI7lW8XqM810yjkn3blZp979adCo9aOjEO4s+u6htyrxuHr2s77Y
sIX9uEWitCBlDtq680aXdKtwp2dIeeNRONVnvubDIeWqTLsJVJkJyXhPr63rBLOW9McMxRULRmJf
+qSW9yt+t8hj55qCPH8wksZ811StTuSnMdIyhJ1ejSzTroQycaqaLD+amdhKK2/xR+nMCewXwq12
oIOo3GRgEgMXyvETV/pmBw+svWu8waAlpbG2eht/e4zzQ2at6Y5JFOooM4J9T0f8KQVOcUOdVAIK
glZjt59k1KxlG9mOWH+JtnxKKzKbZpG7jwWIsO1gFLgqgPoFTm7dTqyqMAeMj7hH4INHnd5huz4B
MlxuZ2c+gbCzn8uWG31Ln/oGJNO0yzow4dlcxB/duMw7e866D/RExGZ/9JkDmNPBVfm4LZ3+Q8HG
wDhQGdSjTkFx1XfLMf3URoG/gBt74Hr5evT9JXALxIx5uHGlg4hA1GA626VMqEDXZZjqbvmcc4N/
5FBV3NStx1YvDKTLTBWEw6UcjJ3vJs25TOxt5VjNzsPufass2lnrWWi7NLerrZ6aycnFKbfpzHzc
J+i73EJV7twzepoPqV0yIPXGLlpyLv7U3H3Ass1D6eIK3yHEr3cNfo2wEJ1xlGtXb4Wn5s/Ri70y
6Nv1CjLpHVpmaC6sAwenAvzVdf5ZQ9L/cEAp6RxzP6vEjyNeyK9qrNptzkRBhkutdYel1z2yuwVI
9rUDkEUlS4X0QxPebTObOCcKcN9qqjCLanZCQhpqLL4UxZbmkDkW/tVoUeR3nHvJoOuUtpkO/Nq4
YQdVsXFcWQeYSHLaTIl67GNL0395rieCAZExGAcMCNIZIJtkmBk5ekDHLIsH4UJCYRa0MKSJ+6tJ
x8wPEFrGj2v11R7XZbxx67Ghy2fp8c/3Yx/iLuijVpVMiwGJum9tql/rFUZXBNmqP7gNGxLA1yQ/
G2owftKxVJJwJ3unT2aJTwOJJ67XsjYevTkGCBjFk5fKn7DDJnxKVV361ZM7p0VhH2PhZcXNMIOo
eFLLxKcmh68ZFh+1dpyUg7xzjJXoYGm4kElULiLhZ4UbLWlCDf0Q5wMyxDJ/Nw4mUOXzCjkjiDf+
jPzQEpgBizk1B0Z+VEEakzdHeu9lx3Hy2tu24f8te0e+W/zyrGLptvyL2m3hM2oYGebsMlc0VKY1
c43PWTdu6b72Dg60eH7BqK1nd3SeVnobgrYTzpddNn0cgIFsbmLhqw0z++7SVYC/cgeUmVY1iG0K
NpdjUQ8GnkqNe7scSB5iyo049ZmRBE2Gnay/eoKzYu90JUDkUpg3et2DMtNJKmVCt+BepEBUnYV6
CLTM5kYvGvk8Z5P9SssFOkKfNYyS0UOpX9Sp9tb55C4YaYkxlcPyrkR8l+QeH6te+sAilZ9EUw7z
IRyoFLhFPzPDfKCGpAMhiysKtt0Icr4h5cAujF0NF8Ih7zE3B31TV8e5yvOnxCuH94GjJ3emfjov
9Zo8VmLtt1TDtLfA1PIdUc4rsIXexrMWTwqmTD1jHh8b/UBzW/sYxxWt3YihOS1qvjgQHqgvQwIB
I2mN9oVoPqmlxmvfagmnBfPzyTbxJGO2oAfBMq+puhopNxgn/QZ+QPNIAXhfR3Hc1O7tOKf2Q522
n+7aYcNo1hm5Rkv1NfSUzrafrQm6l17Gzl1RLuVrjib87IGd2JGRAfi/jIa54yoE+bkb1dekIbc2
pg3cp0qaiFdUb/OOMU9E/gLKgwN1gdFNx1nnWpMaxalQP1ZOfZz4NUoWgCgs9y30CjK6fpldusTn
JAY5DvNETtlF72n0Mbqrf8Dzlh3Sdc1PgkK1Q2XRZlIKbg7u7PAw6dqP0pPrMwDZWASO4fDmsG9I
9LRioZSPeCNPvoL5mrvrnbYAwinHJt4N5lRe6us5yVp5rog6QLlo9eQIaJqhOSdfcjKAY+o8NsKc
axkmnfp6kDVEdxIWh+us1sV1BcNZuLTKTXns8qp9k4PyqjujyHuLLgaHy1hLiQ4qtcS+Ho6pw2A6
QBJZvzRcFere+I0AQH3nL5y05XWo52Z+WpWGRSvQBi68w/2o98RLNuPomm4DU7ub1Q0fSed5W5kQ
Zw4R/yWOiv9V2VOf2hh/zmsywzt226eyrOaXfxrU/F8ydb+T1/+cCPDIhuvU7jLE/d/sndly3MgV
bb8ICgCZQAIRN+5DjayBM0WJekFQlIUpMc/4+rtQ3X0tsW21+70f3A5HmwQLBWSePGfvtU26O4tx
9UdjTgkZiLakNdwA2Xc2hk/quGX3fCNLgimit/CLnYl9n9hHkTo7Q9Y7J7K2nsKk3eFpKghS6o29
Pyfkwcf7X/9xi/j2T38bfhsL9zOE+PfR85nVVyBsQV+UZX2jSmrF4Cru/8oZ9h8ugvZXKoQ7aPne
3wDodSOH3n64iW0Ih/zHNfQuV8VvBqJ/hod/MTy0JKO+H772P0nGD/m3+DV//bkpefmZ35uSnvxA
xju6Ykkf8afEAc/7gDAA3j9Tu4UFav/QlbQ+KAfsgqmUw+OzzAb//9hQgbejY8mPAV8AWvq3oqN5
UH5+gEgaA+DAb2NuSWfNJon6pzeos5sonoGpHwIxjxtRaf0K6RkZURebTPMiBGD9amomLIUdvo51
GmILdKM6u57dQI5rCz4DwUVx/03RmrudUUh+8c0EVmPopyGD8c7INiMJfmg+5vxL5uALRc5u36Ih
chF79+Cp6BliWUyTjLIW5KWLbtV7VHWqH+qx62/N/jUranzQTZQ+kx5QvzCn6o313GsMValZjq/0
A7NxFTfGNDOAhLUMlIU1FTcr2bbb0q3Sr5GRstGKOoP0Pdl1gEBiImOQZgWKOe1314u0XMDqDGbq
zdr25FYXnhJrLMpgDhIvEfvKx1i0xOlGZ5FA5N6Cr4pRUOcaCEJqpMVb2ZTlS4FJ8waKngkoRzcn
qKvDG2ec/AXHmaPXoE2nEwV3dT+VSfiK59iGxAAUBwsmmtuMuKgOQ+EYe8PN7IzFHat8gWTcA7aK
YWlQeyY86Y0nsvEeQg4pXkCjpqY44Crp6CaCfehzkEKunPaDHas7hKa+DRgjexvJwoGBmXl3rmNR
j0GgfRSg+SGKMMXFLiqughlU/Qp3K9PHFsJaQrrVyRsHSFRzY1XHftYROo7QwRYTO5U6e2Zm5+va
mPSzyMruEbY+/eHOGoDjpb31OVZp8Lk1OBiUAzO8PPeN8zCjG8K5664KhITrYQRvP4dW90mnU1mt
HT+rz0NQVydK7J6sUFZo6uIlqrbRnK16mettSTsrAQHic0ig/99fa2OsFx5Fl75WF2FNM6ItJDiI
Lc1OhuYLQcyEQg5BRVZvWonwLvf83LpiUY8fojIVn2yQzvf+7HA1Yar60ULetIP1Lk+WnfQm4vQi
ujJEixpmQnFmt311NcDEewiZL6/dLBlfjDysj5CR/H/RilL1zjVpQKwsMXgxERGV/wBFC7IvpoWC
IN9QuHeRjHO6gYRL5Cu/mdM3WRbCX2LmsKyZJCL5DkfYKsMJxfeYoo1sojs1Js11Y03RUaFj9bcW
ccskXeaSPtgUZhse1+LJE8xGgR2S9mVU/HurCOV11cuuWIbs5U3CRhE3RJvzlgPatpIlfjiEgcLt
gWhuonwFts5/FbkVtu1q9PspcWkG+aOpz7lJX4oZP/YCArgGWqxBP5sBM8leTEcolMlVNbh3lpeA
YZdqXpMbTd8Wi/TjiOGw3zZEFL5A5Z+gqwYg7FTHzGCdlja4q6xxHrvOQcE0xYx6F6otksnYvJHk
p59bGvJ7WSXOqikatL8geeG/AGTxBJ28mvflIWjo8gKT6vXHMRhEdna71kzuVIz419/Icu7MRzk3
6Pn1SjHbhSdbGVdDVz9LTQS7kXqoC0iEGA6i7o99mLvXEMBoa7UkS+tRg4Tqsum+Kjwb3z6JJIXn
hLQeG31PxAqN1YGpukwTHDHC11uS6YiNcP1VFnDIsVBAEM636rJ2sVfH5z45UkDzm4RR7TsVVFs/
tl9citWVkwChS+xVRwT6Ci0JyW2uMaxHxOPPEbOwQ8BsYW1xW3YIV5rb2JQvfleGG8wxtBGG3rhO
QO5zSme1njrzU261JacIBIzp9K1u+lM7cw+D1jwlsd1Oa8tPzZ3ZRB9HgRJaJ8WzpyZ1yLzyDT2p
3iJcfDBxf6Nk08+hqG/dIUnu2ir/TOHLsWk6kfJk7jKzYMQrCD4fVbsezImW25D2GzvXPWHfY+ld
qQhhHH00lBJ9U+ELidzrit7qsRbNiZTocDf5Xr+3Rc8UqiGsaiVtZaKTSqMjse4y5uOV8wuHi+ba
Hwe5cxH52TxGJ5dvG/5pDX7O6PIHQKzF3nByY3GK8zRRfN9A6UsCnh/oBF7slPfVNPkPlOAcBGjR
6fvUGIdb16+/qQIVRxqH1om0hgoNA2X1unRGa1lm8QqsPB6/J4V8bAMNpdhUo2Nv57jJ4NWE040e
0YZOvVV/nBHTrA2HLprtx/dObVS8EqTpYMZsbrI6hZmTEaje6yC4d+wA3k+H990h5wIBWn/yA5NR
ty2iVz0Gr1FjVvd2qYY7e/THUwzx58Elo+KxGwi0aIV7bBgNodLj0UkM85PTwOZyDP4RJYgY8LGi
Ak/V2zAi8vCwbS5xKFDMptnfdUArv7tNsMBpt003A4JoJdbWumvkDWuMcU7aWHGmjbJFykBKX4Xm
6CRUIcimtMs9cUDRm9Sad4vmOzmNaffAQ6ih6Jn6LnGWAxKhI9vYnRvmi+adQoK9ae2kPmSzEHca
Tu/G6Kby1hmsL05fwzW0jPQx89GWOq2yP7Uc0XfNQAQlT0aE1oa6gBQBqXKC420YobCk9lZZM8Lo
Xf/oNMOEVyAeD27LFjmms3swiECzfiOb/FMn/2Wd7HtUlv9dZHcohndF8uUHfi+SffOD5ShFtf1T
hewTvCVtjsq2svwL5/nfc3vxYXE9InoTZHPyc/+ukAnlxYC5GMSZ5kMm40z0f//PT7Cv5t3//hH+
JcU7kyUoM+FI8gEW77mthHjHH5iytu1zFXtHs8rGk5E0JdmrdvowCif9luU9HEgoi9DQtROGrKlB
eiNEVr8kiduw0KrGuLNChQw2Kqf+Too2eE5nXu9TFY/jW9QyAT4UFVmd6yBn/V9XDAt3HeKkbTBq
9Tw57XDfYe+jV0EsZnAEoaq/9f3knPuq854j5PA1YiVUYcjJLXuiB0ILsGXninw6FrTW9TaJRMVQ
N/cdTEyZIOyJ/sS/clMdQq1n2Jlj/6mNK/lAYF03b7q+DL63Ys5uQ6O/Tmk1g4WFswJGUFSvAOD7
T2NI2hcs2+g7frcS6XjoYNyrR3VXMnil5J9Ew5sejoAga+sS+TN9V5lh3Bd5Qg9b9Vl40xs2HH1Z
MhwIG8+KV0Mh5BlmUZowfZ8tn+kVbe4ZstqVdoNmi0EmQlgmcAYJL/P2jXKEAqeLXmKyouiWioH8
oK4Ir+JBh3tMCd4RsFy/N4uxFJs5y9zHLApnnHx5pNVqwmxOjKlldwiNmNwjeZCF/w2NIzoCmDeK
qfeCS2UfII0nSKtjF6QkUjaWO6/sosB/UI3+afG2s1GzlSFwLr0bSb3Oxt+r7qFXWXUV4jS/Sg2z
4RQSIIHzyQUv1nJ2y8dKD+3RUp6xLuyRm+NrvEpGmetbYM6MorxwRpfoTgV6eeYsn3WHNcftZOud
EFTT7InmaRzZz0kqQxQTtJsQdT/hwnl9y3iM9KuRIN8VczNmGcPIuBwgSXtskwzAvRuN4Z3Xlt8b
fkt3ZbZzFRPKKYrvA6GXEq/urIcVgavtW15TdlxB3dDPQTcmxMLl1Rb6SSIOSE/619LyOVQMdb8p
ytzZ+YYAS0sEm9hZhc/Ba4yt4XZumzB5rkycev39bBA9ppkeG227V6jJHlBrRXeM4SdLf+PbBbsA
77uOubegFeiFn4GQTAW+T1dlwU3YMKbNrIK2mmx7mqkDyI/Jsj+GHtfA5rJJ9PwomxHoeE7zaN1a
Vp9fBbm1uLAAJ+e8oeveJ7d+amW6a7I04/UW9Roc0ho+1rBSuVWvyBspto1ZZuuKEKldEhEOZyiC
jTG6oQoPRbbRqXWyW5/OtEku01jIB7o1V3ownfNcygCyQI0yzcynK3ckeofqZ2QC2Us467lX8wTK
vDJhwheTu2majsAGRJs76HztkTSzbBsnFGBi9IdzJ3BUD+hO9pXTdS2qhbk6uWBNj0xisgdoiZJo
2cJ19qR2oQHyiYWLeDHTIvmOIv+jZbAMaC/9RtiB3CSuC0U8Tpono7P1DRQNtW5ygILx6FiPxAqz
annMCTiXSOh+LiUtQ4UI41vorXubTmXfpXcMh559Wet1OPNiG4W4StrwwWU+ig/SStYBBqN1Epu9
s+L8CbZldhlppu5yt4vhCd9MtDH7yT+oQs5bW7vMoO3EfnBLWNIsT8QBy9o5oGHIti5KrXEVyqa7
hrRubqsxYbpGf/uT0FJ+VqSXbaKUumMsI85GXaue6LF0p3Jw9cgi1bCmUKawVsZOYLyZ81jQ5EjD
+ZY0IO5cHiZ3c8/amNJmvyoAlREc5yfnwTL8cRs25EcF9gyzMEeFOiCzXTMgqG6yDrct4S3eCX79
q+lypmHQ28MFzmYmSlW7Ra2AJRMNc3Q/cIDeBjNxHowiNXfbFgkvKkWY/xbHE5uIJ3rsRvHYjpDx
jfwc41y5TRqPdrcJmqfP05mDiG1uTQ/iRyJVt6sbL/vMacS7i9oQ9FPI1/85QbllOx2D3HTMb62+
Q96rQ/MJVY7+3kyyfUFGLB8VQSz35GGH24nO804jf7nu55Ykc1M2+EjpbGxhGWgW3SjuHmMpUJhE
jXgVDY+0ENVwHu0qv/asssES4Vi3TeOQ7wYVk7dqmB5DK1vQk4YV37S9T2XOYe3cODREzchJ1n3S
pMxcPJZMHd5C402uYnzZqFw65WHO8hS+fxFu8GDSKgGbPh9NXUa7jJYRjU8dfIyY3yHILZ3mC+Vf
jHPX6OOz3afNFZa6Cq+MNX7N2o7QP1HOT6IXNgqHRNU4dWJUvwBzPzLEt88zUqXzPBSYobRrInx2
qujBcTvrEf2ZvZuLpIRbQCj4Gi9Y9KmsygYvpAvIrymW4N9ltWdHH1+jlJmxiCQoP2hs45aZOfMf
W8744rv26NTtfXtha4e1WEDbZuUuxe3EEQYI93QhcqOHqeNPQLUW83BbuB07UbpAvOcLzztf0N6d
haCGHGt43+WC/vYWCHiw4MBxprEER6gle1xqAMPDaOr2qKefBjTOe6DXIaAG2jp8lZqsOKDjYukk
OXDIu9AoN9WCJr8Uff/Ux39VH9PRRI363+vjE8Hfr81PbeTffuSPCll+cADxKhRTjpS+bVGl/qFt
Ne0PaLRtyl26ufICyPpD3YrG9A+7CZhfH60kYybhUt0hjn1XBf+qKqYJ/XPfmKrYpwXmoYNxhAfj
952atQpaTyfh6J4yu/Ss9eJzgRBhDbwc664hm7NC2Al1elilmSiCmyKf2IJrxzToHMwtT+WjRnxk
ZMemcZkjbQ2QVTK48gKeaPqmPbM5VRE7dJNGyHbVLqt7NP03rZnGcE4mW1EdYDhm0r5rG525515W
zVsKdRtLHjkYlm2otYyAcmvEUGBPIHWXNshuw5uhAc0XkneF1gas96JSnPc2nHjznI+WdtZJY3KI
VPXCBNeV11V3KFLTx7oK/JeGwAtO7Wy6Fi9Zn5Qnl0wjGsrQxrFzyIJLTO68HS888pJ2PljFBVOO
+9e7TYm+eqlo1TKuAmfOsJgdhzPtrugm5sIX7nlyYaAXFx56W4BGT+dMHxJUU1/I8K0+2xeGOg4f
/62Aq67H6cYz64QI3RSaC/8IrvvOFbfxgmQnvNjatgmY9pG+JP+fBd7eXTju5gXpfqG7U4T72YrS
mSXxwn8fFhQ8DL7srrO65hlkU3Cw62nYzws83m/s6cjGuHSkiQoxVgEL9hVgrfgbz4Nzn1w49H1h
G7cIZ7z96LiAzBZgPYel/ClaIPbzgrNni1Xrnhkw9bDX2kQ39vYn48LBdxckfiFxIPkl5XKmlDr0
Cz5fM9Mlj7Yjet2y4RODPkMHgWJ4JwgguyL0FVQ0NLD5izFl5c6LtbFn+DsfJGipN9rVwPdRpDzO
C9gf611xLi60f7mA/8dudnsLAUsvW4hPqz/+m76f7KNrw1nm28QfZhdHcO/LvD4mZRMO+ZHeHqGQ
G9UGVeLv6ELQWEHly8h1wD4/Ew8aWObbPyvq/2QW4NDPmvOLFRWyU/eWTj+vqZcf+mM0h8CfEDP0
e0uTYBm//WHo8z84NCNYZpWPcMdapqq/r6jC/2BJdAaYBiCC29aCZPr3CgvklXWRkR2g4+Wn/tYK
+/MCSxS4SePDc2g/gP60L0zKH5iTwsVIg/ErPPYWFQ+dQkvdDxZJ2mIg+C6uOO/15tdkCVwqK9Rr
K8ysPt7zvr2qVdbvBVKNPb1ljMs/3Mb/MHR37HcdEf40Phw7EaYJOEHm+5nhSNqvk9qEeyrYRMWt
TyF+680uaz2LJCG/1hL3SyaF3MZ1sGpDphlG2aOv4sAUfPPy3LpvgGORG1xeQoTJlgtvpku0MCxV
6yWLopbEYd2TPkwxbngb7SyhxAwFPBKKpdsa3hU0gHkjfwswtn6LMy4u2cak/oRXcISXyGPf0dWD
d0lCphKjGc1Yyz9CTrKW8V+yHWv/idU9gnThD564my23IwSo1BDcqoygaI3UddUNSfU1AxWI3V5g
XO4l6pt1jD+ZDEV0PtauD+xIH9Gp6pSoiglgHt46ZC4VONshHHZ5HTwDJjL2dTzXxypMrH3XieYt
NqP61s+cceMmzQltx7FEw/mk8nhEjwEFQDVdi2As6o+j0RsbXI6suJoZ0k0lxXTOw2hngI/mDIPh
88GQ/ospkmZlxCh2N3Oqo8+QMku1MjtnuDaYOd3PHXEtAAinZjvE/XgO1fxodqG+raeOJOvZz1Es
DSSj7rzUkOhAEc/5ZdSsRgdhMTszSe4PppeWD8RRYigNvOzO6WeFoFfUVnrNsaYRH5OwZlAKr/h2
nqstB117V/l6eJoYGsEXFflhdEtnjyYk35WqJY3Kqt1u3dDCWMCY1tUoghIXKdloYjZRrOINOdCH
GNbEXbj33PXqhMi9xpOpzWOIw/boY4o9Rpapw02Qm/ozANrmqVAcfKvBwpCedgbtliaeb0Ruj2fR
m+pbqCJ3J4O22jJ7RZpt9+1aT329teOixUER9XI3V8AlV2VaRq8pjz0Q1Hpct6Ror2ZW/QdTob5A
/dGfnKEhj1vGPqOpSG/Rx+aIyBCUz3krIPdmNdPlmbz0mij1jYYyEuwGjijTeq6k+9nhl6wRc7OX
ekQnIV2zXu0widAyTtO/FrTNdQVraeONY30lS8kwvqWD8cJODNA7YJhysHs3qTfFIEjBmluVT3t2
YCatymka4perTNnMVitNEwhk4kaHOpxXNPqNJ2dsGJdJQ7cHnynqyS+dwgFdY+pDj1CrWWWWjs4h
Z+TTGOGJEBKh91r2Sy+sx70ArykhnDyQb+R4Dcjj9FCjHSrzs6/R8SHzqlIMpUkA1dRHh+3Fy9sV
eZVchdQb/Z4zt0CA3gI5U7kZO3uVFu4hbeuPfjTMX1U/j9tgaOTBh7S0oiFGj7G0ELSzEg4v0Ca8
elV6gHhWWTjnRFPHRPau2ZWHCXFhrb7kgfK7jVPVGDwKtJ39DdNqeQCwCRIAh4NCI9q3UXaeCpo7
K3/q+0OBndTZcFCl15nQ+rp1aPnV4AtC+5ZB9HDv1hA50L2B+KJB2uhbyNZIXG0PlzKHyMLgXG6V
/aak53HjshycsgiVGaFfOnumEKqAHoi22I6gYa4h8FZnA6JKs1HL5DZeZriKEkpvrC6WG3OZ8bo8
o+hul8lvPztIc+0ouovtIf1YLhNib5kVhxMZ9Vk5cGq/jJJxLKdvSQjKkl7eMmymOefeNfGkjc9g
4xhHj8tk2r4MqdVlYB2WtVvv5DLHrmdRHafMGl4QtqNeWObdkKyAajMCnw3XQBa4zMXNy4icOAp5
inx4dWro60dHYPxcBZYb3WOGtz8VfRY/qGnMrKumbsI7pE0lkIepTfXahor6BQ8n7hoJdMWBQwge
I1jm+RFGcIy1OGSvW5QUiEuwZRCKITxGPykncfj4izrA6Rsuhzuh/876zrDdiIZdpVBQu4bPJULf
nM+StXmXTCI51Kk9bqsBVQJrw3hIFqVCv2gW+pSHjnWelzxlRreazGKZUi4QNFTYyB2SRflgXUQQ
arIXQUSDNoIhJOfpnr7HqYUlffna4AFHp4zTBG0/wYfsLbVtIvctEYzzBk+WcEVG8cyUuzwkHBbu
fBFZXDV7sxn38yA65FuMRnkm0Jslx9HncPIClBzA7xWsCdcxQBlZGfm/Jr60spTJzeRgu5McHPiB
ebRvwTIjQhgWQQl2AHONzczeZNHEVLnmH7FnGl+SRZBSY9g4SaeSet2UEYIVh+S8fhGx4D5Umzor
xv1Sl3zVi9iFp9Qh/OOigZEXPQxG5ejc4CKJVmyn9Ul4i7zGERE6GquZldx2kwEqgLG7L3ZTDcFt
MzKKf3aTts231SLUkRfNznTR74Qg2ANsLYuup71ofLxIDZylvWUAf1EBITKtXzAvps+UcHxdqOJl
0t8a8GIfJtN9TMfA2ScXbZGA3TjDi4rEdXNRHzEAtG+DNGeI3kbFl2mRKbWLYAkFD98XTgp0TAYZ
lF+EU2X8TmRO9iJ4otHONF0tMiivaqxzw3LGW7TIpMKLYoq6C/WU9hDirpSy01cGXC+NYcFamyyB
4iXxy2OC5kPRZPcMWu2oj6I1XCGwTUZRZQ847tqbIkmme+laMZKJ3hQbt7HopdfaNkgwaB5Cf2Cz
Rh95jXkrQmbFK3aOmag5G0awDF4HSSo9Bi6JPmLBzAU0kt9QJlRfPb8q6QvNBhZ02WDBYQqGNTFL
QEVM1tzKVT3U88FLXFUwxO3cc5th3l6VpLfgZzNmxQE/SXpy1WYHHTbrSLKuc+wSa8qT+pOdqMm4
74XM5L5j07/nrZ3R9fIMkNVTaPfYJzU7ATGYeXWF3U2Om3EIIrTPSlJ/FVp4j+NoyU1RKRyHkunK
yatTFtoIw/neK1ydXNfRlI6kYyvy33JvfK7BKzwgtlFfKphI+GFQv6xSrGZv0gqMowf+O99XTc2A
zAgzUkMja2bLqFTUkapTWncw/qPsCDncvw07hTcxN2W81mZoHkovIak0hwm2akQHrW1EGSTak4sH
nkHQP8e6/+VYhwTG/uUg+dMErSEPfzzV/f4zv5/qLFPSDhO2cpFUmgi/0G/+0SlbDOJkbHscqX6f
NP/RKCM3noOM8FwJnZfm1g82cJPGGS0SkxAABJlMUP/OsW6hsLwXBeNO54xos7X5Cxr4R8Ey/TBM
f2z0N132LaTtGumvvz6dvdNzcihzUBz/+wLvFNH1KHRWjlyAN3cVMefo/FdUx7HPKO3bry/lcCd/
/jCW5znCwlgvfUeixP75w0xWQ6tMS+s6cfRkJvBFDCJ8yA70PTutnC9NMobeW1Qw8jRxgaMUm9eF
dqY4P2KVr8LsG4hzT4W8ajLCrrmHZ2fuJy/v/sWWRIl47mpafPJkuuV80I2fBPWTl5jTyZVM8J6m
qt0R8O0cmzax7pKqoAM2sU3SLbdzAnjYgRwEapwgB1Ru9L1obmt8P+lj9Zud3JV5r1DsFB6EC2pK
uyH20D7WVhl/nEbdnTSefZQxnOiGHXnLi3tetYyYnNGdbzw8HsMXozCJ72M1iVf0r+o1Im0pbglk
LOdT0voAQgf4rYSBiT4EOALgMkW0HSxJttjw/1k1/pdVA/SSJ354eP8k0z4XHXje90Lt337qj26Q
94G2OKl1KEouqpF/rxs+K8qisEds7VoC9BP/6o9+kPhA/8OGyOChUiF2nPfx936QzS/06TehXLF9
2kX+3+q4i3crh2VRFqBBQSdDf0khWvj5ZYuneuhAOtUH0ktBcSeJYT2YUTVDuYvLXVElHt61Uplf
G0MFT4QY4YTL8uBo1HFwbDg1IFAhuIOnNd/DPOyXSlQjXuOU/+SVGWeOqHRQ1Jmtv7bQiN1aOSk3
yZICM0ahfpaEMm3LJU2DHTJg0i3xPkGT7YEgMzMHR0ScaJsRfkr14j52eTf+hdfh3ciBOyAJBiM5
ycZaA5Tj3dKWcMSjvUUKBgfU8Q45iL/npOMDYmmXz8Xf/cMj8p8aXT8vb5frMeSA/spohQ3gnTQe
sos5hmlaHgaD7JMx1F+XAfeSSvT7WOwn0dGPIqN3i/ZyJSVsVB6gNGhIinefbGZCSNy6q1ES0TGy
Kfo4f+K2hEIRP+Llk/spSoKHv/3xFGhcuow8TBDK3m1FiWmjfuXMeuhcqqiVsYgNGxRQzqYbHXAO
f/9qDn1RT4L2ctXCWflx4wt9b4jzLMG4bQ5Oep3X2bzDuoIopNP+06+vZS0bzw+77HI/sRhyESVg
8iMr+/liIx7YCN5IfKiiUaOmiOgAbqoqKzZebaH0ATZy29EEPA/EiVxhTm7LLXjs5m9/ZvZEDwCG
SR9Zsaj8/Gdoq1FT1nHOrEjEpTxvpgbQcxA8+e5CTPr1h/7zM8TGv5yhPfDvpAG824xr2muird3k
UFrzfF94dbNpDd7gEmV7hCk2ZttSOXTcv7ju8pj8fK8dU7kWADzXpZFuvluX0jAZ4tAtk0M+VD1H
eb7NQXTDAFYRu/mvP+O7a1Fl8Pv9pfvO10uh9+5aMjYGq4/8+BDTBURoOykMhGY9nUIYvB9/fa3l
d/3wuS7XokrjVuItk4717stLspbOBie+wzzNg7UpOGMcdSz63yWj//Xdf99MXz4TYlRUjCwyPK72
zw9J5+qmdosxxrcP5Z8zEF2IlZxyhA69cB6jOKY2GRHx46+k7QyuOQuj619/1nfPzvJZkWex0Fku
Mkvz/bNDSyeNKyjUh6BvmJJaULdXIang14GYsmMRejTBXDH9xXp+uYXvbrHNEoT1kExG23yPLOxD
lzNhoHBVeoH4VGPPPbpCTjfA4KJ9LUpY1q1RjGQ+TWOo1sHQTf1hcPPxG+rFinxGhIZHyOqI25dB
cgAw5BjMiXH/67vzn/5Ohy+GU8CSeWu+n3WnjgiGWRnGFdla7tdp6mS97itNcybQ7uAyJaVxQ+Vp
KMXZfUiv8V/jyxTgYw9dWsiT3/rBAT+PuPENt1E7kC5FQqSGr/r9r//WPz+1nsndZNDvUJH8aSxv
+uBRGz3E8CxMWL1p6I0pHY+m3f76On9+EzEc8pXRu6ASJxnt56c2NmxuitHE6H6JdPPjJTUqTwvn
RIC58/jra71fznk8PVMppk5L8JPnvydnTV7jNHJMWM5BOW9CL+g36H+6NS6SFDnWkqE2wr+xulG9
GFke7mmEtH9xYy3z/XFn+TMEmgeiSCkK+HPefWZdl4bNmxFcqW6op4PSNotp6wOaO4RdOd8z+ze/
OksaXozFnsF4GZFKG8dpDQ0kI0gNKnJw9LtuukMFRR5cUyUl6SewrCClpNl8raMGfS825YdZi+B7
j93i2Zv0fI28F6qwX9XuItZKUQV6zqmvTRZcBFb2Awhm99GNSvOqxSJyjnLi5DZwtwyQNMN8P4WB
6FaaNvVtVpvtqw4Iq5gNyjiUGrTW/DEPvmee4ZTHPKuQrOUIgK+we8mGAUtENJNQ9VIjFKk0V3ll
y9fID6y3vMvExwH9b7Uagz4DdUJ41Hfdt3LYZECGIuzTSXSNyymDQM7SYtV9/LWLWLyLJnS+M4/y
bMw+lI00cUwoWEPshx2ACVfuB2lSDMHRbr55Cid2nlTqxauG2ntAVcjzxtsfpru08Lk81hzj3rMb
1k6z6dTLjBdlM6Z+eK2Wn21oj2Hwc2BvVPFA7pdCE/DkF2K6Zp/Rz1U1DbeX2xu4xG/aeWTel4KT
InwKpaMDQU+uONpmFl2noZ/BPCGClPnUZbUC1H+q25kVyrNG40tepDyRhTkSPKW1NV91ccm9myAs
EJZmmtETqA/5qatNiFZ2aOZ3IrXVIuPj9wxk21y7LfYdDDHx19r0gYQFdT2FuJQJrl0h/3Ee8Y0B
Gs372l4ZNvc2I5vyqw4ze2ch63ylOQ3jnJeGbL8gzuZ7Z6A9zsGTjA+zr8bbeELKsFHSir9ot2Vp
wpvxbE2m1FuxPIfZUARHr0PmuZ4ir40382hRwFgZcctQ1nmWVNbO1+EwQZ4LOHpNq7bpicN0DMbN
c0ad00VLAGXCB2B2lAwQTBsesC2+ovI1GkKytEePpxdi9nhXB4jYrzrIRzfYUownF4ntYjGU03Vo
6OSYenrrz7T3UQiNt/Dbq12bMCMMB/BbFSlBIC2LmgSwKD6YXp2fGLkuWRQ63rh2Y15bIp+PcELd
K6Gc4Cls1baQi0vQzdPriautg8BRt9ms9mk8Q7EmYGBvxol48TA+rgAloR+fkGWnwMJNY5wZVdj2
2kL2s/NH7DayzqE7cFftZz/ub+Mwn46J5e+iCP0zCvYCMBA4ysjAzwZ83V8Be0uOOvXqNfQNvZn6
BWe3pIG0jnypmVRf00+4rUeoFJDZxk0/eZK+qg20voo/uoGbAWAv7RPtFzIfUmddtvmwT33CAkix
WUThpotqBrR97EcPTTR9JUvotewMUL1kYMBVRSZs06k+GKb3uVq8PuiCSr2eRo9drSvtL5mQx1l4
FmEJ8U3kLphN6T71fXAqchV+btFSbSM5jcdIZyzAcqmRMnu6cWMhrrGUVfdWrJuj0QP4mWf3nKpq
8ohtyhKFi3FZRMLmX0jBy6vJAtMLc7MPqtUUiuRoFbKwVoERqnPnaP6gQgN8ZEpkzx+dWYrdOGgo
Qm0PsQ1Rd3VLoSSjzeAu43ZFah/JjeFHBh3D41Q41A9FA2FvBT99uk7VLLZBhixMplAKE3jI0O1d
qDWVn3FRquhrulAPnjMMD2qYpq2Yu2677D/Il4sSIFtcVtld0zJKULxp+oDQgVLATgswhRO1SOox
4k5zt1m7popZivIBxXLAjqBCX12VCUcftEvAiynzdv5s0iGHk1+u69LObhuzfVZ6hpLGeP5GVrNH
mBBO5GTTEu+Y7FBCIJwum3SXJ6lzZ3Zjs3NVF35qk3A4iW7ctHEwHBOIavS+wGd9+X/sndly3EqW
Zb8IZRgdwGuMiOAsjtILjJQozJPDMX59L7Cy26QgmzTVcz1kml3LmwFicvg5Z++1LdIxQwDoZpus
e9bJQ+nL+IhqFzumOXhtMPcFD2bK3oESIddu8km622KS8D0QEOsF6noSdLzfyh7RvovSgLtWOO7j
CMJ43utOomEsHDAhVB37MbiWQT3P/uWoNeJGQshaW1VVrzXVuAEVtE8Gr2GqVW108rU2QbPWQzoR
TmtduIWtX/ihhGpm+8Y50yeQz1HpYonM/RuacVB3Qyu0KP7T2KZNIY07DVT/2lC5f+SmYi118K/w
EcZFAdXQ/jnOenvjYj8+jE3ZbrwKBogneATQx2MuDSNnP7gwEwTC2S0mXfs+w0p9HanWwqtppIcw
bcwlXzTZWEVPVFlo7HvH4cH2ywtB+2AdFr55HTU5MdKNa537Ee5gWYPsDJ3G2BTeUO1zneSXfG69
546gjTULTbPuW6QBa09VEu4X+J193JcmxuuBgTLZI9FDqY/WZad71ZUOnHlL07oSq5o4RmKeIN7a
eMb7fJ8Dyf3ukJdxx6lFZ6ivPZDHcKsPYH6nV0U5fo4XqEMVqcHxIVcUIQ4qGL7ppCjJZZ7hXFKx
L6kQ6OvC3qiOuTER0tir+mJIi/y6Fo668gAjB1bTxsT2+l5QjLM8DB5cOuRJ3lnVjOFF2iH0s6O+
eFkSAOCn1X7zaOML2gmRglx2Csg2tYuQA08mvSSgkQ9uW/8o+OmtbCqGjr4zQy5qSYd51hlkYinW
WlipNRAxPq6wrxtyUzY2OUBnoLeIGanQ8Dhdss0K8+eg+ZD0YKrgxfEtgoKiaLpg6F+9uEbZQ1NM
mZH6fAMZ28z7ycF9wbheXRt6376kMmPNJpGxAEnnyyxS694GHeXcK0J13PYnTjUPzphdjvHvWMOO
rJI2j3mxVUmZpLTfjYjLi5HslctkcLp7LQr7F1sm3veo82W5Wnzv+WaENce4zMHJ5RJwXRZloAl7
OqLS8KNtIXoCrFHJ61kB0dDrceunzaJ3GDJjzS4KmZQ5uRuVN3Q1zCbE7JSPFn+VGgO7TPULe0hy
7CgD3wwG4OR35F1HHheLU0yqVkq8nBEuhiOJU3+jbLNiOZsgBHlWagLGdEz8U/7IZ8SgO8RzySyP
KLNZu0sIo9z5GcSUmo/C3tJrdaznpPtZUxstM9UcimjBVZBe8iOk/Z4vHSX9InZrE0IpmplA6Fb4
MDmm9ayZtUacZjechx7eWaeEX26QU7Mf7dG/J56sJ6HFkT/C2k7YTuoLlD65Z2NMQEMo8OFnzTdh
EVSCwmaaWV7DPOShKh50p9RXOtg8tyeRNHVLEgBdb4ewE7JOiWofS0uxGtmcbFyXfBWjlIwJqLFX
pUVUjz8mL1luxuVao07Ggq8qPpULnUszd50YXhWe6j21vL1uGDXuMgyK66wQR7MtgPMSz7IqnCW1
ByQnhgmNZBYeZz0djbPJKYApGXjZ+OG46ry9OTXZqiimfA8WYrxtBERIs/OiC4Jsfms1w8lmBu4q
+t48JjR2ty3drGMipzzwddoD5tjj66plt69JBX/JFNYWany+OmyEjpj8bWAaSbMrBoVzSo3peWaM
+wz63YoIt3FNUS02ijD5ATHjKrZHETgSKJpe9KTwNISEg1zkA1GF16PR6szfU7S0qiUkSau2tVbN
e0MkC7XC/yEnrdjJqRZnqqZ3MDMuBbhwg53xORH2riJrnX2Kf4mvn0CV5vtQzFcdMcWYGu5rGV6w
5NIwwooBeHz+nTbRg+H731yz3NfsptdlCnpXT9AeZzQpXQUX2dHb9SwXbbBmOPfVwtvVK/Nl9A02
VkSAbbzYJEdDqo1v6pDua3RL7oArR/wsetB/ZkFXG0M0FUE0dN3jbM0/R7BOAugTipGcuMrJn6JH
HWkvGCnpZUdUf6BQpgl/VWLtjXnbN8nT2I9t0Kn43Gnuda/vkBM2/jZuk1vXiuLAHQitlE3fPWmm
9LYj3Kqgp4Y57zqpBWiRltd80o+OlbhPogWOnhSNgJkZE1adNIL26JAu5QThIOO+woa01VE2LUm4
BPKQDanJXVyM3wia8H/hi5u0o1bnNHTI72k9fW/25mCdoZmBsYtfmyTC3JTL75lNRnoYTeeBxgUK
00OEochHtJMhGqGraUN001NAftDpMA1m7IcC1+pcUqIwVSWbVqvSZqX5NE1FO1ByQpVeS0Iwv3tR
Fv5uQ8ELyFEZMTgop0i39iikNmSvUBZFPPbdhsA+wrajZaYxVV34nfgXbRtqDTVGRfxfmsyklPON
e/CacLrQIJeuoZloW0Vop36Zag6JRmqJxy06l2VpaFNrDXyZ6gQMdP+azuZwlYrJONeNbN4ZkSSx
PCOZOCo0mtyR7RrfjNZRW+FIKhF0G/oLjFXhXKi4X0peXxEwFDt1+0gCHVuHXBP6vjYI32Zvz0/D
UdQAaVCgI+pAmOsaLvUVVJsfIi/MTSLZ/q3suL52JHQbvIeHEr4+wrxKHsys5UPaWuHRih2aAngK
LoBp0iNYJjVvx+trW9tO6M0OobCY2UA33euENz+9/SsgecEwCMr+yk39ves4c2CSEf7cFooabJQm
XQLPGq4GIvA2GsUms565FLd+xsXEZuAAlFbN7q1RDPOZMcpYeZsuo2+cF0kNTSohtVPz+ROLeMiO
guzSvSic9rFKFCeQpPwi68h809J4uXaS3HgqOp27XmY6f/MwyoN0yvE6G9nvzhDegjnrCOGqp0mB
YOa87IJeeO1Q9jV9XJOURjTInq0atX3X5a7c9FlIvGgy0xWhecliAPsNVQ4OksruHeL2Qr0oeP71
WTv3q6gmJUQjjilL6Sh685kvZYs7NPcJeufbAWujjOZqp7JhsM/zhiA3BxnZWZXOTMhmh+ZVOGfH
t+dOIwx916fcAWsGcwHJYL6JVYtFsIeKyN8X45DWkJzQFKHMuiE9gGuSd0zZDP6RezVeVi4h24Im
5XpB2V6YpVHuoSEokAqka7gTOWfYa0nVJbBoJ2yeAGUvUZ9+v/xgnorbyPS1rR/3RKSSk71Rbu1t
xtLVn0gtnyGN2/Lglsv/WimulkG2KfgOy50uen6IqDrpO/AjNf0pBgoM40yBK09anvtYY3tNyDUx
42+NJwiF4e/ZsGkqpTxN1syPpqNWPdNKLC2YHWZ/r0zcG8RKhMc+DqvnMNbH6wmFLJEvMa+wbXXM
JsnXO4a1UT1nbouUtBk1C3pUn+tojfLQ+EZxwBmWCMsXkmGUsQNG8bT3y8Q8p26Rj4oMMjLyoCUe
SWmYL3oCRUiqU/B/lhfWbLP4V0HQzXPjJRx67Nr+CEsxPCharqgdPK19nonRjHQ6cqrh/+dLyJYs
vi+d0/ZrAiMoPVT9s9Q9HyN2iIm8l+FRV9wdpUJe9pE3MOwmn45F6e+V7NU2IivswqIFflEXZDTK
AQX8ehazcZbDw7oqLREendziL1dUPs6mZDnc65ZD84OxqLdxlqdgwCh17tQOLQU8XvCPPSTBq8Hv
eErcWX+JkFDgHfW0CmVZzTtdSYcMQqpTdMOsj+SBlHuYItod+V/hb5f8MYj/ankGpQ4W1SVf/Ig0
tQjZB0xzoLnkvkLOo+wjcbN/9QR1MvBOY3xqQWj+GHuPKVTLhlzSSq2jbcy2gi9jnYIKavvyMh5U
d5fog/er7u3wd1KNeA6cOJ+AtfNlspOh2RFcAEQTjJI89H4Tfk+F45SE+OFg3rgVDe5NXieEvb61
hP/XR/iVjxDd0qeul4vnpHz9UxzFXGf5f/xH5CBwAVoCqKNlMh/g+WN+8B9xlIs2ijY7XW40U+xb
6fj/X3GU+1+249HodwFgeAShIbX4j8bBRv7gLK5Exsg+AwHkD//geTkdKjBNoGDmd5hF4XkRJ+O9
yQegB8YcBUG4nfytM13gdf18lvD+EIg8HMdj+8ifjJLi77kFI6Rlc+jPAblyq2z2VrAvV57gkv4/
p9HXygEmhn8fZfkr/vDuYN4fRyfmKG75o9V+VOOrcv5NnPDuECfjSTepbEp3DtHNN65+MyWbZn75
/CyWn/hzPAfG8A0piYjFNzwEdX+fBWFBJnRMTwaD7UFD1Shqkrq6KYpmT4RJ8cWA5d2deTuabzC7
wo0lTme7LukcCtmyDKYqYm/CeGCVFC4J61Gdbz4/sY8OhcoCIaBjYlo5HeTorQAEPRqcWOxFd2Nq
NwQ89saFrkBNfH6o08nqcg0NusFsT3yfI55cQxRihMFaHKqUZXee5WqhCaeEjozzuGqisdhjNZ/+
9dngoCZcRwslE+6t04M6CalrGmS3YMq4irBxwS1Jmhehxn99fn6n0+vl/EzAkXgvUcnY4mQmllla
Pde1JoNiioGv5yFZwFpDHGlmYvSBANVc1xORtlk+xxddPo5fHH95X0+fUfSHyxTZW5amk/d5iuw6
1rOoDbyC4HZRcoKiGe4/P8nlJE4PYqFc9BY5B5NI8+8XYTQqNSnflIFSjbF3hxjWceRa4WVu6nMw
TwA8+g48RCWx+Hx+6I+eH8tEoaP7rFnGspT/uZIguxyNyLRkgDx/ovXiACtItQnakKYDnaPEdFZT
TIjz54c1cDO+O2lMMDYna/JRMJCr/n3kNteAU/aNDEi/kj8rlB/Dlr2AuaWknQMnhM6JnZiNU96x
O2/1bje2FreAZsd+Gvthn9RSPpjxbBkwndt0I5V7YzpFT7ZgPw7nPpHINAakvrHU2O+MPgxvEc1T
eLmksN5NSxfdTd30rBU9k7WKPqFHyK/ntXA5jT7oUrnGyxTrFKHI6jPNjS/Ih5kgO3bVSpBATy+h
oxLQc/dMx57IaBieyyp2pvhCbzTB1i3HeqUzE4k1BwxeVHQ8qKPKN3jkuvPOL+b7RPGPcR0D4nab
n8IsXGQGxEB7WtNvWncu9rbZntuZqe7HcrJvBuzre4129bYi44gKZ8lh7wx7RwgGgvmxNi48mntb
UgBG8p7G/pvlKn6EveC5O6fTtpo9c2LU0RoXIUjWoKIvuI6qLr4J03746Sugg/1sQYcX4chj0GMl
1JL5dSCs7CmuEXFtiLKY79ElOBYMQONVylHL10zQ1W+tscd4TViveiCMiNSZUSj7pscJB++dC4yA
66KiQ0daulowpJMj8BGF6hz4koVCdskdCOFDwEYCcE63VrlYFlLtMo3sV4VSF6WG6n6l83hvz+ar
D2/q+2gCSbE7LXlSGdwgfWLms5IxL1I52K9LMeyv4qGZg7RhxUiZ65OjG87qodP5vWLk70hHNzsW
vtM+JMujDwvdPSu8LmYzPoRby5G4KbEwAFaBqR+VVr/xZS3h9tMAwf820w8m3H7tg5/feiNK5fWc
e9HRYV4X0EfhAOYs1k2Tqv1QeFmQOml/m1Vzd6uAhNBm8gmeyaAE3uQRhhDY5NkRRQuAPq3qtj2i
kSvP53KSMWSEm4IxzsZk23SpBjJzDikT2l2dY0BfjdANw3UnKYTwz0XM5RP9Ni3JT16Bf3SuzNxI
93GECNqwZfgSQrcCgWVq4aU5+IyXsphp9mKO6sjoCe2rKSa7YIomsYYZZh+nWjbnjbb0NYq5Pwi/
FtehZml7vDzWtUt29/lgOxDbG0ojzFY4VpxeZ/BK7/HQSIXDqRuhvEBYCF8U4gOMn0OlVpbWafuK
SfBvO82833S21bqFg3gm4ba9xL5ubKOusWGvQjnfaq3yGQX5y/UIoepsjHn8lTOmTddtP+bbOEKm
gHR8Cgg/N8/zKLLvaBvM23AiU5CDOcbec0u5d3ASPnlm2OPdc+IbvWj0oAf3IjZ2N1LRu0nPjIYB
x08jA2lFeHNx2Vnj8CwJyLoou8i/wt1n3VH/M07GAaltx8ZwzgYzmq6tnp4QLjfvOk1k+TzFznAj
p2m8HtNYXY4k5JwbI5U0kCnnLCPheG80Tr8GkCJua3xnG4UuLKC49kgE1U0O0EARi0ljC9WNnHVS
joGhZgTJC+FskP5UmITJz7QToYpVnFfxbQM74pczizYwehYhYqjaPY8GugVozbt6qtu9qgid37R1
0m7YUOKe0u3mLB8EJre4auK7mWIvWpF4wm86YSxIFAZ9gZpgPvLXRnemUc3HKZuaM8aG0zp3wqRZ
p6KEfu8UqX/wKBZ2mIwEYoDIPzikx+0IVKa9qy9m5ThLwGQJ0gfWDAjocPm62sL+lIf/bijFjTft
8OyQ9xp2Ia5ZcgzWfai4DiOJHSuTBsl1ySbgBWSOYhnrsxuCsJl1IeJfK1aBH7DtZ8JOXDcA/9i/
wsqYdyaCs7O3dslQJUTCe+irntusMl7wtKI1yCnbf7c+4pipBdKJXpBe19JdMUvhwHejLYJgrKAP
7bhLAwwxc+sx0uq9jEqUZ/gNmextbCNahrLLIRn701SlAUvO/GRStlv50lPPVPtIxl67oezlX7Wl
pW0TjAIXb508s43MbwyEqHrtuHrok6LYK78r9zTjwm0yGzrf6oUT1TDB0Melzq+6ZxAC6uC5wsvw
TRKk4YWZvnzeMxZP2V/6zJtoVMVwnqThJxciw/RoaMQvrBiUj0HFWM8kBsuwDrj14BTRdS6OEOlo
A7gEj3TLeGwOVFnzB+v4FAKCOsStgcH36U2kkdhLU/ZNye3UXsl+RtC3mOuOwwIFCo/jTLi4Iell
YZfS7upEoObURm69Z0FOqVw6oF1uxb/emkHZ0qgqpHDOQkhv9CfIq8CsjAOQyEFvTyEqD1atZQ+D
jzO6LBtakI3Qtg4gYMafNBWjt9bx8rEjtRTvekobdRA0ei2DrknlM4mNaSdfW3Kyn42iybdlzQOO
BS87zjzRa/SbALZsvXwlm747IPlo79pMzA88SNG1iLXoSqWdf1umTHCFjW48kXVJMq4lnhS1KOmm
xBKR1lOyFX9r+pihNl4rlc03s6b3r30ZaveFW4c0b7GabDxN/Oc+ZVg5fk86f+xoW8NOt2vjklao
dhfBYLrGOspQMTdBlDhj8r3sWu/Gr/pxp+HHf7S6yX7spWY/pk49XfKlEru4ibXNROLRhrYi44Mw
rC7mSJPfKjAqW1NCkYFjPl6+XXXlIMqpWs+7Mhdkb1lWfPja9IxgJ2PVVCBVyg5zb8WDuBvhyJ65
jE+3pU9AUzEpa1sDlaZTrNu8xK4/HTtaaFehZ0QH1D5MXN+e5dkzEPhptse+wiPeHojqpduW4ZYJ
ZgRxFSfwipZPdqU3aXEQDJWe/BBDtwpR1YLW5WOIb5DbP+NVyNpqvjAaet/R4FsE1Uy085zZWDqS
qJ2yabxkUZgOJsF4V66cZ1JIHICtiF2mBx1Zn0OyFXjDGXQW/fbMP89BEMIZd9MrULq4Ii363nZX
MD4YZhgK7sBIQdbjVeO2fLrdGHaG21R0Jce5cLMNzJ8Q444R+1u+Tf3BlygUVqHdMvtWJOesS7es
7jpEqLuOBYc9ELPgMxAhigR5TBSyEz2GCHq302DUxwb52A6lP7k5hD1pd62u01zDscyO2YbgmfcM
APSo5dVUDgku85ss2+sbhn11TwPSKPMHnSnLtqhpSlt+Yry86aDsAm0Lkcb6C0hkeqdjUlkrzV7k
gghGtgnCcAbcSP1k5rpHMdgE9KpJAkQkdwdzaY9GrvAF7knVI+Jbla013+iCSSj+1py2ccg/3Nkk
mamVT1P3vFMa5D7+1evUwvEKp70JgxZE+D7RrfmAdZVQQjIzljO6cuPRXNP3JNd7Tsx23SXFrTlm
cotspdzOdaztqe2JDbWcyfwxlZNHEFnZ3MJhQyebJdoZw/LrDhrICq5vjDtWe/UamEiGXT5ZHVPw
PJ3Cc04j2+R6xcrpRK3ceZ4cthUd2H0YMjIu2ZecofuTKEMb3d2yQ4yZURPYpuLp2qQNuc5aUfx0
S+0n7f6rEYzSzhyHYtm3NQecxeaKFPG7oYrntfS0KGC12nMh+jVa9HITIeFhBO49aSWGF4hKFYP5
tgk33rCAXy1mjbqnkNc4NdkBbs354mInQbwziVuC1Mfsg+CRMo7WGUDxrUhyRN2V1XcwldL4R9T1
TpCBn5pJtySQh2i96rbGEjPjaNcbdHRmfBanor4uy6x+0qKsXPFVL/AV18zhexdxqIFCbpN7dXbo
+mkmLM3P9gDNu0CLAZVsCGmxr21PztcpGX23NfDCLeIfl9H/KIuNmIXYji55q6EkIy0Hu7/rm4xu
nJ4nR6glE7M11bz4ci7OyIuxGOnkji83QxVZA9Phbsyys7Z8YXtvfB8pxy8Mv1P6WpqES/ZNClPL
rLrhOpyn6qAmBkxEX7c75aGGMgviEhlbasxlpeQubnBuv9ix3QzrHj7plW2o9KZ0VLXrcEN9F5L9
1Wo0YvNy8nz1HdiJeySjp3wMJ1cPVw003Qd9+UIKo6iZdnlxMJZldxYnnn0RF616hMvhBGAKh2Pu
RP0ZaW3ZT2WnqIxig5tbdSq87t26+FW0kGBJ57SfmaNWmPJhqhwNiFDnUlGBC6xCzDn60qbWbcFS
TZqy763SLbZIewxGWDjiLyttes1613syK7dEzzN76yjK5yXNNl2nfTGBWIlnpqgxWXqrThsBqk2S
lSzN0yCt+3xVC1fn9vK1PU5UFSjIrXk1GN4maut5gwn9TssZSZeKhhar/IqerUesESPrzKgfpZVa
m0ww0kEw4jbAMNgZ7ytfFHdVVlTnas7Ng5SIN9jPF0ij8PZntdeR6dQOWhFQLgntdVLEFq0GgJxG
J7wHpRG/QN3p7alihpWpJeE9gxB1zkcxv2armD6PhlXdp03WPNVdPbr7WsMDv0rCJsngkywwcAD+
ZNVpqryxLWMo12/jiUwKokc6OaTH3uxeo8FjfE9n93z0vfLMYmf7s6yBfk8gljdCyy7nqods0lpa
vleoDdcMhKvzrK8hQ2J2V5c0AqPLlM3QKrXztCW41WnQ+gmkqRLcKO//L7CeYBr4pvmrDtc+QglF
rF7VdtcZPqqNja/oYZStxYcLqJpRFuFNW1vVC22wH3baDj8QRN7OhKrYO5eRy0Zj2rJPm5mVvdas
Na9afgvmb1BrpKHym6PnBImGAgUfUfW7ue+J4+OJhxlR2fsYeN25mZHnsCLqCmYZ+POAKIDohekT
TlVWwpVjaYB6otG9o9The4I4+ceSyLWpI//RHgk11GvysvgVE79Mo27txP7l5p686mlqYWgLCcHN
0L1x3ab0wvfnYU8wLVcMlOgeUNEo6a9wUazQfXT72L5LemJx0y7hhZU+mIeSPdUUC3/naM5eWbF5
TQ3ywIKcXY31LI4N6tKVGpTY1nkZPld+Nq9zZmK0Ca30UpD8AaCAFNWVSRRXAFuqWUf9UH4roeuw
w9XoNxfqoLypuAkTTVy7jR5BSxLmJTmq1m8jAi5bpUO9leTCH0OYx1elM8bnuZM5t3aNqhER8wzW
+ntagtaJs3ZfsNxu+5oEv1mN+k0YdgJYL4aCSmXVfoJ3catYcVcdEa9b3+/1vcy7u6gD5D+6ujha
UTXt1SB/xH7pBilxkmsmlOORhVQLyAXrz9nKucfBRq/VRk3G/rcqf3cq7ZNNruoXC93/99ZTHQIg
UrOyl0pPU/3MqLvwzBvCdEO3ZOBha827ztTGaU2wleNfJrkkEK4qG8LpLElQ6q4paSOvvViirJlk
flcWfokCafL3cbIYeWhh3aGAfh1H9MU6XDukKJY86vPw03WoGpzcLAi+dSiSGsREM2FhhyLxjQVw
HWho0o68/w5UXfFQIKZb2yFkbXaF+YZ2x8/WTBBx6NOSlM33dRqGoBvFs0sJMqbzuSP1G/ZQgs4Z
bSKt84yftp8PZ3blWFvRWDRSMiDVUWgEva+Fv2NhOdfwIc2bdvR/N6OtPUS8evem6cp447QVkdWo
98JN6wFZ1kif3ev+2IFqIuQbDCQ5DvgRvvAove+CmkyddD7QtLgBZzD6+rP/arW+qNyE/qvbpPmR
7PF72L5zEAmqW9+lkf953/WjyQRGYbw1IO2JZjrpNEey0Q30QByuVc5dYzZ7KgAQNZDAvxi3vDPV
LJ17MAGmzTacicuped+f5/80tcXcDT/btyb9FHa/gA6PK42cIPwS6F2EN+vPcbhUlMRL/w+696AY
hCtsCw/qu+mBa6kZL4BElx/ZNw4UoYs6ok/67xeVW7j0sHUGn6fuWhtPSmcXzGDexiE9uSKoi6cR
bHhaf3H/PhpH2AgHoEvQmsOk+Pfjko1dubACmCwNDTSrofohvOrH56fz1TFORkqJA5aSt1UGiKgJ
4ZJ72yu+crwtY4XTiQfPH9g0HkXHffdw+Kk3SFPJoOYDdhF1unk0IbhCQhiSp1hj1IJESSdbiF4r
5Bf9gIHvq9HO+1cP3gaWKzSLuk/9cjKAsJ0a+WDlQ8834HkreGxr2MjNea6lKH9qv9z863V943sA
+zAdvNin717D3sqbMP0ERUmqoS2mG5Bq7hfryfsX3GKGDlKS/g64kYUk8Od64keGImImbwKo0+Du
ajKy8RScuykNzc9P54MjcRJEI4IHwtfknjwmfpsk8zR5VcDShmpJa88IK7urZfrw+XE+uE2Ga0Na
4V6xcr0FzP0x6xZ1kVm+dKtgTvStzJ81LyemslwEV8fPj/SeO+kBufzjUCfDRgpVsTg3sAr1Pt27
0o5WpKH9dzAVlqy+nO8nIPF7gJ+h3DS28jY6xN7vgn3rVs2m2qaMgPZmSy1dkKlKNpGN4Mvx0vqo
LDLwoiGeL8KczSB57xZiUVrGbK7UNjdJSju6fT5eDlVHG2vCt7um1gbzJpL5ixOFxXz6+jHKpLmv
8wIYeFdOpn4w7zXLLzuuaRurR78o9Uuj974R4pk8F3MHnzsnXRRB1XeJ133nEprG4EocBL6gxGE8
YzR1hpj4viAHfa0EwfZV8a0evIs5pLosqqzZtojEV01CfEYoUwsd5lCh0epJQ9BSrVuPdmUHDLiG
jVJ49DhOuqGOd88zGy1DSg74emS93vjRsJ7daNyQWkYOvReZgLP8udVf3EXY9fkT8MGzZuLnR8HB
N4vv/jIt/eNZC4secAsREAE6v/a8N3zrwF0fg4jE1woLojUEnx/w/eTXgiQEUxsHDwSP08kvnoS+
J0W9CnxPwQpMqmLbgJQ6Jxlb7UMvUucx/Zc7mI/R2edH/uD1ZaytL4xZ1CTvxBcymnot7kSJe3Ca
nnpBDlJD0/cOo3r6+vmhPjhJprysRhQ8/Od0hs5whE3n1JVB0Utaoxg6JD0bshewmsiDaLPEW7dM
2abVYNK5+/zgH5wn+yridUCYc5FPrefElcNGqMoyaEMi6puhvIsWr7eXTvKftwH2skgZGHjhMbzL
iqUQbCOMo3mA5ehxmsphY3ojAR65Zf3zY8p2A8EUwihkGO/84jXs1S7qu5zhYjdsZkH3xUqvhsER
O6rPX/96AW3d4sRMw4bAAPjq73ciSvK6tPOG03IKK8DOW1YMEmjstrmVfUW0eP8CcjC2NmwNHKZa
p5+vhgFxLLqCM9Psu9jSHrGn/UpH6w5B4Bd7kOVd/nsLwqHQ5whOjTX/zY39x7tOPE1CnDvTWGyJ
W4uGiV85RPXl/QxvEzdPbn61G/34iPB/kLEtL93p58WuXQ9DchY0Rn/M/Pq5mow7S2YNal+RQ9g1
z//91rHxxlNOAitHXK72H6foQFvBfetmgdZ1R8LjA9vOyPrRvzjM+w2jDRQMjYy1ACbgjv19mN7T
xyThpwPilhZDOLjDeuSL+PnJvF9FOIqhs9kA5SDemfRxyIwE6hhZIC3KWso9NKXdb7cUN2mjmKqR
8GpN1Rer5BKi8O4pWRYO9O0OZIZTNAPxKjgAYlRVvoOPfch9avGyzpCZ+4zq5pJJVjtBcV5hmCNq
D6BwTe9bd/dqbKIDMLB8R+rQ3Tw5zTeEuNAF6prNwbItIAjeOUMbI+59E8gDjkDni7/+wxuzxJcx
EcAzdHpjmEvGOe3NPKBFVW7TyU+P2kiz4/Mb836F5cagq3R9MFlv/Lq/nrLCbviMRFUelMqFq1j1
gZ4Zd56rvtq1fHQryA1EVQl4ghr278fMcXOrrJuShWisLabZYXwYhT7uPj+bj1YgwRYA/AJFOdfu
76PMYIvGqNMyFAQ4WnqXzxQGQDT1bf6CXv/fd9HUjMhE+WQsjKTTChXvu4AFyys6ZeGv5drJRNwU
Mnz8/Kw+enkWnLqLJJfC4PQxHluyx+aKlydPHO86mwz67KHzi45rtZOR4/0ccgg7qFj+Q4z7/9Jn
Plrz0Kra7KuRDL4reuif6LFl91kQgTRWpYaDItrV6UOdzre8iPvPT/OjB56yx+RhXwiMp1cTGAI6
MqzLQR3V2b4QjnszmLgyPz/KO14L/COdi+iafI4sZM4n66rfmWPn0HcLvG7QH5JYr3aEmiFKSa0+
p0HvDvep4VXrrlL9VTOV2aWTu9YeWiKsbkxsTJeI+TEaPOb4MxjKdl36VXVrfHjlXSps3kxYZqcb
Hxm2ujMUBV+b0aZXqJpnQ/nEVlhee0hc75GQtXrtkmJ1npdW8pANfXsI/epHzFh3Fov7cijsA10k
fyUmrQamzXl8fiE/eNcYbLEFdV0LtsDpBzF3+RuSke32UM6/6tlQO71GURXmDLGn58+P9cHlMN6E
hs6iWGXX/fd7bUKf0AkAYWsfGr90Gg6bwtGf2ykvA5ecZ0xaQn2xw/jgpTMM2vbsaPhivdti9zKf
RhlVnF7qPMVJBI2D0T3NTDmvLNyZ940cmg0j2T7493OFUeYvHSk2iKcrpU1uSiK9tgqo1S7x+BHV
LfMbZMlkRGbRw0SS8Bd734/uJFs22gBEN/gsZSdXVzByaO2mCjQ9atYQvBlNlpa6GYAeBIWgkP78
DD/45nCC7KGWcHk2iydvYBFKO04qLu3YR0i4bTls9KZqNhayuP/JofwF2SrYMILr+vvUatdOVFFS
ohl+VV6Daset6SpxlnSG8cXy9dEzavFCLT6ERfJ88oz26GLKmc5A0BbdHVSPV8dp7kh2kaskam48
TO3/XByxgGG6MAGRoSM/fQGN/8PemS1HjbRp+IrUoX05rb3swsaFsTEnCrNplzK1p65+niz6nwHj
wDFzPN0RNLixVcr1W95lpuBud0t9WOwFoE8wnduh3QjqAG886JWDGWwxOmQOlWdoHHo+f4lExQJb
z4xJAcvEe0zmeR8u8v6NJeHwM14E9L8948WaiAxcPV2XZ4DqtVboPosrJGq8sz34iMiUSLRmiQk1
amoFamN58rGZWtSxPRo2A8LPFP8GIFF1RrvHxe3McCwLwQbY0JnTt1c49aV3doQxaK1gaMXCrPdV
B0KD7FatwcLFx9QLQWubM2RFS6sZoYVtnZeoAnFRW+hpNFXX7s0RiycSqDm5Re6Z6LDR5HDcBG7T
OUj3WESpYwlh9GZ00urdaLTjISyi+6wpujUjXOwqakXtKgUtdAChhKXStIhtPKQeiMFiOjWuk6Fy
lA+7vw/va2uTWzywWCeOVin9fQaRPpG98lmbYAWf5dw/h6m4dR1j51QNpFo8Dv7+vNd2ODE3wR7l
e5DxL57npaqWTqLqA4L/uuZ0M9nFcerrN4LXP/kFWvEUhD+xCWW66MVjEBxJnXaOsO00izshshbg
UPhVFh/pRL2jK70ePPtz0tZvpEwvTX9dQgieS5WWESW5fhmQRQIZLDF51EQatXxK8e5cha1r3IF2
N8stjXNyHOlV6BEUo9yUWNrQ4ao5yKU9Hj2gvl4+GUfHHIyd1bv1OgYdxoITe4gftLGi/ItnYWMw
zeCBkKRJNlFv+dRegmWTWPEHu4DHHy6eXMF8dAtYhdDzcj4P0g/iO8Bv5I4vEvgzFDwYXXy9Wrx1
ihDyNkC74EE63ltT8dqM+wjQonJLmcHRDnS/nhGZ2XlVXeCgioCYoru0UpO5L6x+fGNlvXYW/fKc
l4HRKEbMcZG9OoSe1lun3rDGEGj79+X72oXoo9ZHX4F+G6qkv7+MKW3RSGSbDjSdwrXSlEUTd4oC
3460U2+Qzl59GPVKchY8+P4Ie/2Ww6gu2StG6mNBhHACaj87YGAAKvvsjeF77SDwKftzW0DZ+yP4
LZVy/BwoxaHN2zsE0XBFj9VjU7bf+wzyVuq/MZLWa+siIEsigYVLFbzs0yydKBlf4rR8LlETWWzr
Klza6WhTi980jpEeXCFhfIvIOWdmnB5UArI5aTIMQ5Ow2EWNqz4G8ALAaMcJklV/n+lXPx4HImUk
6rfRy4NxmuPOKFLCnEmK706UPKT2+KF0aCb/H54ThGSKpL+aN/P7iupGQ6UCUM6BTFRQzemfa2VM
m2Zo37hIXwtbtbQtJRb9S/BiHzpTBIwbANahBzieduDcpvqubTzsJKxbPBXvqzJ6o1Dx2gL+5ZEv
A9Z8cUuAOmZ1wG1sj9nL98gtQbj6V20zvpFzOK+tXy3ETS0auW1qSb+PY68tUZY5qDhmbPW5T8UP
NAHxaS6tcE35NllrfQCsxMx6m0kNODYsDc9qQf4gbfSI91/6GEtUrQYb2DLUFsgGad9+wAsc+d+6
LLGs6sLdHEzhQ+hxaiJo1YGaMLoZwyxd2mzsH+Zkg2lHD2EW5ue8GW7gJIotHiHfs3CcVpVysu1Q
KfuDAHnJZW97b6ym10Yh0kxdShys25cN2LIUHQ7egsgP5fulX6xVb7qPkMevqZli1a6mNx742hRr
egaMwYBi68thF7mVKEkwdMgkmgOjGFqxu6gTOAniOqtOA1P/vmFeeUXudc02RoedyP1FThL5KkRy
xCkPqDS627RV/rs6JUJTedM95ug042OXfvn7My94jRdBKNgbm0Fli5LavlhdiaFKOrNldfCrBUuE
afA/uKk1rmtHeddpU5YPaLChfeAC2brglMMU+YdqWBDEAku0Nybk/N4YeuuVIiaoBKo++tQO/sh9
k9lbRDyyo7slBs/mJO4OVJqz6+K226O57KxYKcCnPGQQ8VVbK3oywK/dt6SIL+4TL0cHXjhwDDSz
abTZv+89E2iEX/VZBW85R0blAm7OHKQvAFjW3jXTFRz7HEgiPAtUykqKyJZR0UdFT2R8PzmTuVMq
Rm7ioi/fL+YnwuJ6n04sKWgTeKzPkbcHl/tdgcjkyB63rp+nWwCD7qY16v6Q+jLYzukQbMLk2m4K
50Ph1PMt2xYmimIjPKbhEF2VZvBkIgr2RmL+yl3BlYl8Lg0AYr+XhSPKbXnZ9Q7vXxbzB2RKAaT5
c/aYWUa6+/tKfO1RoC/BGsBG59p4EYDQdEKPXF9LiJCmGyFDTemZRXEVpWXy+PdnXebt5bzq6i9G
HVQZ4XP/Pq+14ZfDhK3KQYyI8awwr1MwPhbX2seiGdFYLa1rqzHj9/1sTze2bSR3dm+gW+KUYi9q
5FwuH+j/5RvekG+wKWFxDP63lMAfPhXvnpHveq6//arg8O83/avgEOBUw9GlWx2kkxQHOMj/o+AQ
/UP0Ae6I1pyu87Pk/uNSEf1Dh5eVHbk6dP9VwcEJ/iGWIL2i2OoG3IbO/0bB4eUtgs+FT5kc0wsT
GM0fJP7ahJVbpQXCB4nlLSiYu/WJfq76WGHdBtrZe0sGQW+TX1c2DwzQYubG4pP/WVFG9jHFZ9FX
h3km3DWNEYKPP2X7Xybh/c+f96s/w8sslKeAytUkfo+j8Y/LsadTN0ovnQ+qh/Iw2bO8K5oWK4jA
FVvTmMqV1VHicmVunLspmD/+/fF4QPzxmpQpbahIeK8yxy/TYCSjUbtRQX/AOKuc0T9Nl10ZpPAh
AUqcZjttr2agut0eMDQqpgKRTC1CmREpdXRZP6DjaSUrjHggNCIxjNqVBS8hXKZip+yCvwsFpKrW
Tmks42oWMAShE3Zo3IC7VT+oLBRnJw8RcoWTcEhdiJBx4EsUNz35CUqh2mv152wlEktR8ZCcbSsK
rsvBlLN1DyZP3LQoGN7Dd4ZW5UAYn/xOPIdVlZmAvUf1I+14o7Eux4dywLYS56D6FFvwlqHnYC8+
NXZ9SmOT8nemxBNmI3zjNGfRqUOuZ0tEHp+jEVHizdgJszkyVHWFK57J98Ycvs7eRnsbMZ6gg8AO
R+VeNQpxnLlJbz3g2ZRlIkBmUEkA2QdZe9eUI0Zro0Zq532AHp4PMmhx5oxCRDVt8OVor4rBlnfI
bcVXQHLmvS+t8iiBGW0tpx8fcnT0HmS++B+YHXsLIgYJaxu93sGf5VfV4CSSBEQe2VSrjzD4myfM
QZkZyXl78DXHPpjQJXL6Ojr5GKkepEzVjwmSzEez5VuU2XaPPijtUzwn7hHijnU/oDH6mPdTfZqb
JjpVFRHWBpNuN1+5FRD+lT8sJloMpdh2Ii7XUz3aWxRRi7PwUyDvqFzDhW7ar27MH5MCgOA6gRyd
HNAOBXHuDhLjQbZzaPRq72dDeWxCJlcFYsIOLUfgrXNQusAfD18RATONygX6vwHao3vDiotzAoQP
rdVU3mCaoa3ikvF7YWLBVsO2o3ZmmhwaVvM5m+X4QLtjeRfJkR/lpGov8JpdWTNvHE2GuIkLvdkN
6d0aiTkC6eRdfDePVpguVesRTkG1GtN6/I65gdrjUu7eJi4zEQMeW7m1UJsK9b8KfaKBcS1QDwvK
yFtjQpejtTujAAa/Io7PvhnLrzSfl3f1lKqPNhfpHmFcmEitLHZIqfbfzNy37rHWnDY45SA1ZzC2
XcI8YtnOUOslWtZI0ikMcncLZIcEbUdmwvUBkrsW6x9jO/FUJkF8VXbF02R0AzrwbXWbhD/QTUQ9
KzMqPyVBrmy8y73PMI6ltvYdHhKbtQnvosj2NtSojeuWn904GJF+DQRWCh6LUitazSkTBauy38XS
FbcCfefbqJ+820HF1n2ddeJp8PzmM8wVVmsAR7a14+azA5z8OoeU/WEOtX6zkSObFdZT85ygLAXM
z1EGsOyo2FxeLkzZBF3TGedZibrfzFm+vKNK2z0K0vCzanoLSWtSCiR7LaimZV6t/cnMDn1jB5AR
4znbQ5XE26H0TaapKvDfgnkuP1kZbD9owwHgcduRN70Pu9N+pPhqFf7T2NRT/zVrB/cpg5ZRJIfR
WWoXmOViYL1lmtPwTskp9q6mxBncM8RMKHrurD5aMIPXjT+k9cryZmCDcvF3rEMPxUuK8ohHzz1H
01DfDA0yz9CDoivXKN73ZmfcNWZ5Nrzhxq1EtYNA4t0taN6tvADp3tZLkACOb9C7RDWcGt8hsZf0
WNnFx47G5Ravx2E7uOpLFiIo747DtyK1q6NRJ19xmEiP6UI/qLYGcWowl9yW3jijjJv03yxIZ9sk
665hLsU70MYWlN0i2liqRRwh8BJADEl24y7opyOJO6p1C5fQz8MroxByk5WyXlYiiuUR3A0oZWNG
ztREJKbKCmqSVVn+SMSC9Dg1RKSXO1etcbk/qzrItnZlRNc5FP53lOgnaCtsWHif1nWmwKkPUZjg
l8JE2tZoHk0UmA9VALtQ9E64bSbDXqMey7astc6BCVDRNirzevKy6DAk1geniqMdxZXuZNWRU25t
xv5rJ6bJX3ukpSAXMWOOSTz68QCfDyMNa0JvP0ZOs0NotbbNAQxnZFEljXxIgrEvNyruvjrNNOwT
L+HO4wIPd9DJxlVqA+zMa1+eac9a8NqKbgdqK8VgsjCQjQvnzyGOLKvJKebretb8grIonqAqNMHa
n321R+sdmVA62uEG7wjQJaPrECE69IIsG9XZwXOCI3VG29woDhEY0YWwu5VgX71zy05cI4sP+d02
7SOYiW7jpCm7qtuiiydXNQWXFWLA3pXw2/njMjn4a2oCM02ow1RunNFo0PH1l2dRmh7Vtmq5F7lo
4OR20WFevOhYDbF6nxXOshnjQV4VlXDXvl1C+fCLcVVOSbHtXMe9CzpKzE2sUQdJCx3SFOFOGiM9
Fu04MHmO2mBlmH8K/ASurKkmLLMV1KxoNHY4XTcAZau70jK4y1GIOWaZgyYxyMlNYiTRA1Ib1r7M
WPG+06THcJwxAJ1i911D5Q/t68k44xUR3lhyUVfa46vE5CBC7ED6bfXdTeQN9IPgFM3g3tfuNKHY
W4IbA6STFu9Et1hHQbdF4sfut9flEjtPQx4odxV4E/Bce8K8NlWIsq9zKze/C+hE5cYFlzRvzNwc
j4uU0VpURrsfcDN8msohw++gyPKT2yfd18rJfRwEOnekA2fVWP4+QQgykY4qOnh0TQ0KxZjrYhek
3vilya1m3ZeTjguEvIN3U24A69fNFpJ+do27N7hd6Il5wPKr0iP4+fYUya5xQdhSOMQ02stgKWJZ
v86hPt8qO84OS1qLL7ZA2hCJeFXouUG3T4dIee5wD2mTidzr6lNk44UQ1qL/FqIBL+iVkELvzKLj
wgH9q36QR6MWqYz4LOg6sAdwzzgFsSniTeJptcA0q9DYFt7tAgf9bDRC8LqZk+4GXFThGdIJWlcE
eenG9WfxZRYD3a0UsAXMX25nYNF4RV+CL5nZ1j2M0e6bQMUn3NheyvtZla4mzUrZW8JQ/8OM82sH
/1ZK2O2jW2zy1C6PFO7rUwn9++CaHVYizcRh3OZJvqoEqteb1Ou43KOqMc51Eg0Pme1gIlkRadSe
L26S5fIpIvnJwZ46W8VS6kMZX4ofPQJCeCIEhCeRlNZ7jsH6myN8smADOyJubSxa/ISDaFW1fBxN
PN+nljE8pBmalCtLGmGNRHKr9knlq2tzxAYkHcZpk2hSWEOw9QTOtFp3Soe/sIeegn4u0STgFSjs
ALyqZvUDokG2n5e4wdUki9CrnZC1UF5s4nUgnBL1rEi+gXagsPZHEgG+J9R4QyQmdNPu9yqANxhA
KRXklBnm3RrXZpFvZRWpXYPrw0ZkIGKj1Al+YF40HlAsSXaGZT8Djn9EGMGhycc1ZXhTshlARL8b
W9t9GgWs5mxximvTrJzPNhi7GQqPqMdrCMQhyrVWscFBF4ENdF/3FVN4SCKUbkwrhbE3V8QJZRWd
uLhR/Z0ddQ1uYMJRENxso2fWRjnoPCat/8FAaBKPmsRE0ax2XWPldKxtJMmIN6YGF7uBhYMwKbES
SQrxYFLwlxasFOtVixgIBEMdI831Iu9q8LLMJRzHjYs4yqcIWduVa2YUA5HQ3dpzLG4KoA2nfECN
eMS1Bk5iOj4keGKBbvfs8nPrYLlz1ZdLgAVyPCUMUoafgjF3/bz1kiI114Nw4hLyrJMP8MVRVTI6
d8ML1fZDE6OW00kHnnbgL2VyxMo628SL/kJMIBVvTFhu/jrOANqN4JFC+5rOUgd105kFpyCxVGum
eY3Uf8obJ3WEiTyLHwGamRAqmNEeMRTBFWmMCZuMALAL3e7RhPeNOarlrTsPz5R1FaFMO8M4hkXo
ii8qH4pdm/XZfhi51cxiWg5oMRHIpbU/PPRZ+TloidvxgxFP4VQ62aZV2qZCj12keaRXy8Lgs9mN
M6Ra52ixYe8KZ8z2MTi6eo1BfXnsMSl4njFteXaVxZ1sl7a9qmfm0+nD9j0ZQHhS0oQ5P5Fs+WXd
PdaYyjziB+0czblvPvc6pq7TqMTWtsd6213KGXHuchp21pJUR2QwiBbrwFlxZwV3ldMOD6aFExBS
ts2z17XIBLtEtsIia9m09cLO6xure7RzEnkpS3GDyjU82Nidm+c+rsONE/ZEpLHrwmZsvIU90uEM
YMFA53/25iK/NvXMqFQL3jtE5Ssvc5cD/Ut5JYWkGmLTyFjNkT660go1HU8FJN6VLT8BQQ1P1kR6
i1JTdEos0V5lKqhPfsLA0etR+9q0vXUT1uMDLSjSqkll+1Bn3nSIxE1VkJcHGekJzaDlR8guXbZZ
uIinwq/ej3MgviDbTZpjegnGni5aAlNKZ9Dlh9aGDlj0p55dbYESAtxp8enVc+BMGDbqrTqTyXKR
FNMG0X/x2ZMzem9thcdwTq9kO4wZGalOGrLZJHFKZ1femXXLzDQ5V8DlDBR1UiMRmNgKN3kUaXWw
QT7twA+moMXblYG6XhLUdeaRqsZlGSLTyAGe1Eg/zYOh3rkJmabTKXl3ybRrh+UDB6hc+0h4YKtD
9oFqR3YoXS6ykv7SaYixJL+kZUZiMAzAYYM1hR6GXhdQlgwJo0KQiE9p+qMNsYhZ2G71elYJl8Ck
tdPChKqBKebiLAXQEzS9i0hrXXkgCNGqkQPyHgiLMMXJZJa4KfFG9EttkueFLUgzm9JHjD0XKbWJ
V8+Afj4e6aSRFEymbY1Y1xopSPS/CvSLuGjMloIDzSxq7VRiUE+RnxbHpUDh9ZP8ilYljlZmrz7W
6A6sYrstj4ZOamEScayRSSEorjNkrSy/Cju0tNb1kvGTKpskWy4ccY7F4y95c4Bc0Lu5oGZWN6mL
H5Dx3TQXHaYEBtNXVlxSsgPY8nNp4kSxEy4ped1Y8dm0yvokGrvYQA0IT2HfyU+NRe0C1XhqGcAm
69MElP92dIlwEWXuOdwNu/sGV6j5PCdtuGlNGZ2mgHO2mVKGMPVw9jMRcYNTXQwWPKWKFNonLOqR
pj7p9SxbfQxDGOmwmyupBEVZQKxRtHx71Et1nQFjuE91tXGSub4FCIw/WyFLwl2G7tsg0a9OrTi5
DfBt21mtXj8oRyAFQf2n9HmdWFcdLmFFGFGZQmqjOFfTSPaOm8/GB4Zzf7kbrJ7S2xAm6W3AkU++
T/FqNDz3NkgMj6tiisKTjBhhqQr7fmqRaY4qRKZ8XPqOLmnIOvVz6174iMNkAxMZUZg7qtKsT4j8
1SfPJnio9BykxEtPHWAzsWuXhqBosjjNsFt5UBPhiSioi5hNad/jgMdhyzn2CWkg8QR1AXVzGjvr
Sylm7CkWhejrXCV1OiHyTSGj4zQRa8LLYqf9AneymdGV7QkyKzY2pH6H6lNTsimUOTafS9ugMDhR
q3OymBCtJ2BxUN3c2BT1tlz2LJ7LMTsHjAYZO/ZojZs8kk0pLHfsSsdxOMVdza0zv29Jlj+KgGjJ
WCZSxbEbGUyT4y0d2UcFTi6Ppj8KYmuHtWaY8XmeqFPY5Vxlx9r15NUkSoo3+qiEKGNv28IpbpFR
RHnRzzyqDYirOTLifkhJVdmTLVVBwPDaHMaC4SGD4XugLb96PjrGVAUbN4sI/hBdF1/Q6iHkkN1S
HvOaTZaJLL1FYe3zOHqMGr6QztEOU7bKWDAGfWkShY6T/ERUkrtoCKCRvkKqISJuGbzsBjl2DtkJ
L4aHpomddaRGtRkHJlyF8BYKm1Lm5Y+XjamqnCvGwCrpqzdxpwoulWO99PN7ZAHVrkrzDFeIhg2d
ufIqCTwOGXo8yS1kFlrbi5ct74S/EAlPgUKhs/gxuEvjY1BB4nAp0AU48LhIDJ4nHQWoWRIK4+01
7EngeOMJn8McYn/oPmG3kaKYQAW8J5HdDh4q5asCK5OrPu7fwpdZOhr9vbJvgeCmG4rTq4MwtG41
/AJJHBqnqVAi7w9uRnF4DUvduw383t4mPRplyuVoSyOC7z4x5/dBAjMv7zwEaQgOkrgmd6kdedU5
o7quJyE/DYPr3qIeOH/kSFjeaOb90VbWoA9N1wcWCoD/D8VdGnxFMBpOdzAybVTW4bOgBLmYaeXp
rTGQmFCtIBC1RpIiROUIrShlaK+s5jkXlFYvk/33rsGlZf/7CDpA51wgQMCBsM5+Ee8nyEvYUZZ0
h6py8AsC1qq1EwZ5WiZj3LftkG7I3petohdJoDNQZMsFsxukOpODFHDOJxYVrFtOg9hrvomsDO5C
P0EUo0ewMzbaRq5k770J4P8zU7GQ/9azHwAh/oMl3doYDSWJ0R8Sw5ZXMWgTXbknepS5bFEQ1J0I
R4abkTPxc6e4ReqpJi8ceu/f3sv/tyrfaFU6HgjIXxbcH63Kx+cuzeqkb+pfm5X/ftu/zUqA3/8A
R4WXAjfc8TxNDv+3WQn0/R8gnSSkvzYq3egfUzPUIppSdA89h4/wH6l57x9Yv5ovgZ62C0DB+t80
Kn9vv7t6l/7UU4Ze6EOdfLE3FuTMMEMc4PKMZYV/VTYP2qqu91cgKrs3FBt+P8ouD4Pfp1E89F95
3RewisSbXWJNlHbxDRNPtdvQfkJi6KHASMWnUWaKpwRuxHM05u3hlzl5/2fn8tVHax55qFU2GNTf
T9HMKCzSJcu9WyJyE4z/DITuFC3KbTDQs3DCGUeVzkRJUruuEWr//fG/94P1m3MA2bTZsO1l4l4+
3nawwozy0rkrK5JvQoyxl2uzp2h0lTX6cXNF2PL3Z77gBP77UJYKUFWOEWoev78z4pDxkIjIvvOI
Qu5rBCaOdsUduAMeGD0Iks+Tm2mvjoFrtdunZEbffNGhZWfQWVhLHyKyCJJ8PnRGm8RbMlr3GaRa
J9cxernWNea4ytpkC06kq05Y2todjo7zBiafvfHLBfjzNYCoenCD4FUigvH7a4RTiJljkNp34N5Z
K0MJAb0cinkXdjRVywwy5Vx4HViC/8YbvLJgfm91//vUiO1BU50Hv7x2fcMM8tlrrbvcGmkLGQuk
7KBOf2BiJu+UtWA1ddG4xI8Kmbp0eKvV/ufGBIzAmR/4iH78iStHTLkuJCJ4d77hz2f0nsWTivAX
SkZpvQE1fFEQu7wrMGZ2loafBXDffx9h6rDofZmDdQd/fz4bAgbVbkShGQdAx+m+zYXrPo+mr3cn
PkNrERBy/5QnzdGafGO6X3tx2BeclhbKD3+sWhst6UiasXk39JJN4gZx2ZzsvtK9v5rW19+n+bVN
EmiQ1+VfeOov8EeWyM3McEb7ru2QyagVgQAls7m5HgKzua7a3D06eO9cS5mxyukDWDfVGM1oaeWW
MWEluDTXBnqS50R6c7ItIMSfwMJHW6tHqjVNMTnjp+bsMi9ETwVYkzmUb4Vdrxwvgc38mTgToc7w
By61TIhaVGQh4ZWbcrcEbXu4rJu5r8RT22IrXYYT555iAHHijGibLSWYCIWsjFC0CVG8hYC7X6al
xEApNvGabs35/PfBfu1jgh2BlUhT24Xx/fs6M2Z7GOGCWHce2UK2ugwzJR5wDCatV1m2b61s++Vi
0lBCOAxwCzHCC62XT6z6xM5NjEzvJtTprr2+8p7xJNG/OHmyGkydd1F38bGHjlF7oIpN+3OaVPQh
o9APNK9W/TcHpdr3OaCEvWmwCUiqOTj1mrgMUcet4VO5pl7VjUFzrSC6nfBuco/odVk3ixreInv/
pKn9T0SLQBRvwjw7rFzwm3+g9heavYHMVHLX8F3rCOvydpMHRn4rnVL1h5oa7YTc2Jj3tBsMpMey
sYrTXZQmWU4ORmWcBEdgdZbb4xZf22BHV4cwM/W7gZQQCCyiqvRslw0apxGMq3QyPgqjSlD2DKiK
raYEoXCgBoinb0zbZGfk3TRsuQJ8UqGcVpiLzucdTLD0Ouyq/ASYtLlBciqQWM+25kDzrzQ+WZTK
bq1GlV/pzVgbfA9bWvhqWRDWn8f0m/IaRXFZpfUm67m/r8wIcQfaJLl4L80Ux+k5jWBNuU1nbkjD
kMxCQdsQD0NNsgY6JQg+RBdvBJkn6B22+NaPCMMlMBtJX1S7JpEKv+AS3obYr3fw55d56e2VJE3C
x0yqzDgiBOye7ASns5WgKUJBK/qgptEa1oFLRf7OmBzLXeVeX3tr2dmw6yv6woJcrCrb9Ry5Kcqo
+RQ9JOnAtVuwRgI1sOUAPUQ0HnAB3xIaRNvA6mlFVejQPXek3dm6DjltCAE5iEfBLdBlKHetqJaC
L4md2qAFGpcuhde8DE5kXsXAzWylVkg6Xg+0lVHoQ5LuHf1GeTJmCIo7dPvBpa1ENodHN8nSm7GI
+q9hXfjNKrFTU9t9txskiZMb+hrtro1QZpWNeJoohn2yOgrb9hjOG41Y/6L6BrO6THZ7oM3xzl6c
5nMVdd4n2A6UCnyRfmOhzN+TIUaEc0mTeqM1fcU6jZG7bhNB89IKxjULqzKBGcX1PJNxGagGh03/
zZUmgv5eloh7A9P44npExqBwr+CQRNV9MNLjiFgApWqCTRXgqk7NT7mA6QvdOI1t/mvZk+2JNTUt
AzfwTBkKtdCwsCJkYymrOHzcAnGXjZKqClGj1sHP4s3npigYadr2zbVJz8HhtDfcZxlOoC46JBLV
qgK78XE2YNZhntxzKcA3GdZjEHGuANfJ9rigN90qDREN3rm4fJN4WgFdxBYdGaq0CBBhXNwYa4qc
4WaKJpZXnXRMvUbAtFhM3A1BuPTrBY/y5xgXbhwiTeLVvgw5jarJe0YyMnqYbKqI3ULF0h+o8hou
5xDmiNG2QkCajiI7NFyT+PLjlfT4cGQczTVhXfyAZHO4AR3UXFPVs++lqYsmiorkqe9HzmeOs5g6
NcXwZGNZPV9Jlpl3GjPEvW3T5AvgY2hWhB6D09rc1JijOvyNNrXym6GWHDGRx6dKaK+doqCZz+ic
cKlnBifq5YwkhgO45XGJBqS0h7gJu28y0kMZtdQuu27gt5dPWw0D9TIHrMp73aK30UDN1Ht5iUWK
0nfbW+AuLfz90boBpm7djC6RobIn6360lmiLiqM6DxnphoOw1X0e21zP/UwZXenoUdmMvVUpXoot
yZOKdOy+0Xqez7n+3YirK1DvnOjTLEbvOSy5ReFv09YtuW1llMinvKiIfuesU+dLoLAUslYAEkv/
2dZwrRxGzFMLu2A722H+DVSxbtdT+jk20jBvzJQt7TexedO1ZdHg5Lgwd7b+tHUjuXi6pkUeiE9E
w54gvGlwWEVVVzzF6GBlMDxto93G4J6f/W6haD/i1tccZdfyyUe+Z0T1AkYn1hjop68vAc6gQ5Vi
yftvP5MfR4c+Ko9y8GD4guA/bhQSq1nhD+67yVPhKcUd5TkNnLbcc+3wAYWNyiXeBDV65KKy4i+l
kfLw+rKFUG/I5904tzoM4ubpN+10F7pT962MOuZIxCHBHX9EEY4LmDImZ1ujU5UiBV9mKQqTHAPO
ETz8dINad3DkdZprUB/+OVMD6CUjBTxF5TDTaoPcuL1enl5dWjdmknMzFViMtNt8pEPhIqc0vBNT
Ahmrwq6BKM2vWbVDuoR42fDPCeQAC7hH8JdfIXU/YIYbUFMPkdvvpUlpFS/KbFWmpfecVhNjOgua
WD8PgYKu5FllNaNSFoAyMY5BmYv+/LXw9eOxIAZ+oXd92dM4BCTRXEcJs0q4Lw8ydphVdMPDDb7W
ehzohF1jCRk/GKl25FCJ/9yGPfsVF9MKwc/F8MErsOPbFmTu6rIS3Tm3uusp4wjwrJwDA9VADh/w
I0n3PppjezqGiOjHK+CQHE12E6P011rRAxCxGdAg6Wi3XfyeoMgOB2IgG+uND5jFeM8Oujb3tgFc
dU1/n6tpDq37yWkZZMdWFkiYOI/Klcoi8UR1jI0urWl+f3lDbiJiZM1nXrVYve8vCS8FOPG0wFm7
Rwfcvs84us0V1iwgOCVfxOyXael1lLYgzQUeRq/Oy7WpFpMVJUqKzk6oO7+LJ6JTbYfGKh/satMO
A5mMHrVWjHO0ySfkxDet/jiXRkORxe6zGCjpw6xMkM+nBHk2F0VpMHAWZzcg/BmuvC7hOMoKNhf1
RU7HtGs9XBhY8gMLPJ7PaYYp7XYaA3lQmVdWWw9VWO88t5NuNk0uIr9YhHjPIOxYNfzt6KGeTdLW
cnCPBQL8dMAiGshX1YhZ7rYcUlt+gMIHoxd3HQZ60ZcLNGl99s12jv9MYnHIE4okOiV36bzr1m9z
fRmAn2eRTtzH3OZc0AdrmwTcOJe1GyfI5K3mXoB9CDL1BXJRfHdZn649xPucQsB+rKVbvAuGkCUS
mkN7cL1ivEoTqov/LogKc6AfAlPXcV21Y3tAHi3alkp4zwl6OPeXVYHrMZuisGPrxnfpw1iytm5y
T1cbis5Agd6HKlyveq/mJFJLYawDaVOEaD1sZzG844UMAKYCRg1Q4dadNKabQAiJdcu2biyXV2DJ
Wfde6tMEssqEnRXEkhtGs6h3oEfm90PecNo7mXVLfXi5I1NnUZuAOYY1qsXt4XICukVfoCAOXhx9
fGzbuL77nFFygoltoy8gvNUTR01rMfYcCk3SjjHQozDiuBr0p82Hnm3mSOrHu0So+Vwpt/VXglTt
IZoVgZ+X8N6DQoEK6Ti3N+BVtbOFPgOucR9o8mfzoR/GOr21uhzUNpYl1k1rjnwKD+Ud2qlZw2o3
rXhp73tvIAhJjCJ6MCfQM7WY9fsG0fTeHezgv9g7s924kShNv8q8AAvcF6AxF2TuKaW1e7khZFsm
GVwjuPPp56Nc1V2WC/ZUoy/7zoYtMZNkRJzzn3+57/2pfGdazpdUi7UoD0R7wAxCDz3F2oHeK74l
MEZCD/5QaLm01NFQWyzgieNRZA0n0pyRZN8BeQZUKLP7lAv8vxxYMktYO+MCg7kXFjEbPty3RJKL
RI5ZecyaRlwTu24YEadmeaSznw6V0eCWShxZdR0zyPgWTMVKVjHxHoBJxxtGMHFHHDhsEf0k183/
hPYKIBL/Kmqq3q7pYIqKuW7NwKACZesjWcSjdg8dm8ej4EGBVAUGN8lyCLoAARxD34LcQ+wY+5Ic
qHEQN053MvWnuzyB0kFuFnp5ObJm1kY5Zyh1Hq3VjztIJZN5XfHxoNoBNpk19YEdj3xSFOr8vjhl
32aaVOcvNTUmp0vQBFuxnuGGJuKn2I95g14bw0RPquZEfnHDltexp9Xu5MVn8DRsjVP4Zpgl2sex
CYwLyrfgiWyb9qu5QMd3rdw+0oPxXCvX5PxU+KQc+jJht1pcSPsDV45e981A5GyOmIJY21lWrIli
rTebmHFrqRj0buIG+GqcbBgQBb70dce+pyRLCAE9RWqs5SetdnZusu7My1JzAtHbpQeYK9mLPbh6
e8aAlhXXaVBDnJwhtfa9wpBgJBonc5mTNnhkcKl7Rxq2qcMuk3wEv+/Vvu7aflfYpunTq3TOs54v
xoPvG0B2TsCuBM7DLfEEBMswjk06iRL5wMUdZvchBbHeLNKzjo0zsR6WdZL+vWRGgvvNTYgbBCUr
dabSpedv3bkzd1w5fUhVPz1OKcHwqT1nj02fMNtlhbA70+1A6CaJxgs9t9TNaLYb7UZpbj1FlNOV
v7UYxh7MxNG+wFtyvoqgX17I5hq+1cXUUm6PBQISdzaxKW/1KzjI9R4y4fjB5uOqTR/HBfxWWQm5
ZXwsTw5aiUvmQSJKhJu9L5suuUe2CIcZ+8B5k7eOvsfoZr4EVhM/Yiyaf6nlzG9yKj1rqZSrILlZ
Ko2OtdCT0Yi8TlciVMHgfnxFZ/53wvObCY9pGCu6+5/g8E8TnuvsC65Hzz/Md/78oT/nO775B3Ko
gDE5SDEKMheo/c/5TqD/YYM8BTinOqBRtgvQ/FeesP8HBSRyJhcaIm3X6g7015DH+INsM7wKGT4x
8gWU/TdDnrceWyb2Q0geYYuC8Nq4A63A3N9myHLSoMgXrXGuoKxQlg1JyZGjnJWNluoVZgx1Sh94
JXIwzcdswhkRmmLaQL8JONYJmKtMA+42vmGEEgp3wZQUs01bnBMT8IQYkIqzSlYtp/Tf7vQ/wPA/
QoaOuWKFaL2YGfkoRJkr//jJ/bYfC0T+6vxaPxprh+SM0F/mwdOhEMzswL++oOWvY5H/AtfWS4Kj
4gPHmM53eZpvEGEtK4jp6uvk7LrBFYHy5P8UAxO+Pa49CQdpLjV5MBTDqgDbKMlCtgfPPgRuT13g
JCSmHGMPxVm4DLi6EhsX98veXNFgv6LZ29YVMD5mcxSBJojP3o6r+izatf1Jsgo8wchjygepJOeg
g5M6bJSx4l6/wszFwrzXNBbnmWQzOhUhfS4VpPGQbJUX0wmNDrG32DFrdCEuT0RGJbtwv8P/Yb6e
1+NDIcwiFsSihVEWXdZsaxQzS0ffpPyabdlLABe30PSApl5xbD21Kb1kmpgPBkQ0KjSv5buRFyI/
vlbZiTvyMSbCNKmEHEpPcxg5UN3alOm7KS35RMHaDM2LkU6PChEh9i9S41A3RUq/YtZYdl0wBvK0
nevNbvPBhPaTnjpFW+4lLVWuZpLVcLcoGgUcsM3pfeMbk/bJMjvuXNaulS2A1FQfVbN2KAP24guZ
IpR7YdGstVTTk6W6JV2PknNaJE2DRt5EutIsqQtremLY3KgcstW323kW44qRzG7wNPSKH4e9RjSQ
xPcQKxZ+NS04N+k7zOPaXdd+SNGRNQd7YUiy5T6CXDiv8zUmB5RvkwNZ4H5eah7rsFqvn7FioOB5
PdG99eYEtBo8vxWqDqS2jtaKTvMi4lDG6zQh1ErzdWQZeKRPh5VD7UPQzAw8H9XMIiwQAFFpYHHm
berBLLaonxK6eGms7P9pfgDr7C6aExCXWgqiveiZeuRLonOuZ1rLJ23wjMs4NMUNeW3JsznCBGO0
Z/v0pJX3XCX58L6xGIDtjIVXNh0hnAzjQOGdChz8opKOZT6Zk+vA/OW4fdJwY+puv7epzuDx2hCp
wu2lOXXVO72bHLT91MYVXhRrw0cXTZe1WBvBG2l+Gct1KJtZjT1+m2ncm4/8sRTfmmlkIlbSRQl3
xT3qV9iMGWcfUVYZDyg5eTxFrkkXFHvk2ULfpblayHb9yJ1hcXmEjS77vKnHeNfqWtN+eMVVEL+y
ELTF4wZnZmO6+9fi0EGv1ITx1AIvDYIC9hU8IvpAHkAOAFQsoksTUgd7rvK98zFYbcA8k+C+EPZO
/diTRneu0txUD/myaNqT1nuLvOpMpambeUIJsitmi+13KZk/PGa2XuZ38ToJhx2uAHYHasxlwFEg
XOaSe6lQCmbRpI+URUGQcCMa+PiHuPBRxtrsKoR+SZqh6PVFzieNB0doIuvYHdZF0Skoaoz5IWez
mTOLz3oNnaNv+Kn7YSr83nwnYggu0D6NvP7iWaNxSV1/LW+LtTPT6CUmkvkSJT4pQ0H9Dp0eWZYV
+13+XrFDGGTsxouj3tVlVbk+JbQWA3MX5PhtzRwPE8BIXZxa6fHMu3X8Izq0pe/9Ppb5i+NVpilD
e5Y0uoz/TPNdyfmzSPhjsLePMd0+2ZZ17er6MTWtRYWMFAm51fBPQzi5wCTMEv9SYXPwwRn6eA0A
vPcw4hsjo6z7R6Sv2hYSUrrhxWgjq0/So1UEMXMDUnvCMsPhBGxiJqjZK50DQa/u6lsmpJa9T1K7
b3d247iVQKowxxWbTH1sGl9/ap3GjKxS/6RVQxZ2FTTAfK6IzEvHyT+QlpV8LtrYe5kSksIrQ1Xv
SIe56kcl521eqOmWqJXkk2MN1bbkkNqgrbHufBlXnww7LXdmpScxDr4l6fCdp4BXiCj0mpzsPCJ+
i+usSYpHU7ReGOhtt1u0jhyTYcIQjky/7VCOzbuhWMorB6ndtoczfMu23nyi0E3vB7u4GT19Ensl
yW6SMxE7uqir/ZDV2T3wTfGI22ab7FRXIbPhANsUuVxOhRYAA1vImJh3Viul2MsI+7LqBw6d5kPl
lE26EUtb7fxMr9+naNO5tUTshESy9FXkYrF5YcRh0eoOJQlzXvstU57aAJPYB3M1Yx3hxl+Iu/Ps
Tao7FSFhM+XApmWmc5ZtWe/9Qs5ELgBAH9ccvl3iMLyP62av46OxITKo+QA1thk5pQb3WKH2HLZz
6fUX2dnxfdCk7h44Pye/CZsdvP8XHxMP171oaSfPbNjzAfeq+ThqRoATTT5u51YRf4eQIZL9LGA+
t+7DkA3LV10vxJmJ83JWlQqKza8rlB+pLGt94qNcwfMIHb65Uu1+LInmMrG7QHX2CU40ZxgB6Jy8
vLbsc9VEDi5qWn6KoQozP9AOwSL99Qf4kZCxfgB8UNfhI7sh0Tlv6QKyLi2ffGp4qyuQlAOgRvq4
wv62xigDmLk+x2wzv7nqWnb9WJZhI+9gqr06D6wuvT9+bTteUi8dneAkYaN+RGTMztR0gKX/in/w
/dtBucNTmXKTKcab8m9I0cC2QRKf7HwtcTxdcWisggZnWlv7X9/KH+fT3y/m6TrETip0XCneMC8M
NhEtoQo9vY4T6pV43kJUjrSsD7a/vtTPlTRuFGgiaAZ03HXeUpBkEngN4bWkdrmzcalWQrODhRZy
GLC2dvV4+tfXg+eElzLMEtd23nIS8BVm3yhK57RMafz0/QysUp0jy6layqHvw8xfX/Pnd8R3iHDC
EQzfMfMngkFd2VKfCvRI/fdpAOjwZIDz/DeugjFOAJrp4Lfx5qEVQOhVnLXuKYH0DuwLvOn5vzWi
+qfvQkPpw3sKcDJ5u8rczjKlo/FdkEUCCWVw85EO/DeekoMJtU5ADtvKT8yRXJYSIjemaWYMKI99
Ea/8d17c61Sza6Zh+U1L9/P2wZ7OFsLXsldnrze3r8qGeB4Z2IE7xe4HA9HAadEHSpEeu8MtqCI4
0/f51a8f289rDZchyHckUeDi/NMLGSA70peGfNi8Z3HFNdtUt05AF8GE8teX+oevyMsBz5AaHHet
t3uVhxadS5UmzP6VS16Cdy1th7GBzQuTrx3ctL41v77oP30/qCA+5rLOPwRgDOiNLNgQxqlwmaRW
pW0dC91P9zQ6PNRfX+vVuPjH3RhqqudgkuvBN/p5paW+8nWW84kRIGIAYZQOlrWeXtw1w6IuNRYY
FQJfZqzTOpMbqbXaC+SLKd7ZyP9oLmrnGQlU+xXrPmBNf6mK9MbP3eZ3Xus/73sIAi0ojezmLgDN
m/28ypyRuT+GBybDWQQNccbgbdI4rrDJ51UTAWX9b+7Oz2s3gOBEXWkxvFk5fD+eVUkBXgL/gFfc
16h1J38dv5Mnhx5ZwaGI0iZe33eRGRfZF/IjEorF2Fgr+w4GCTwsScii3FEloTFAGZhufv0B/+me
sFO+Jpvx7Mw3RCxd4jIz+Kz6cvEpunVHfDISzToRlVJlaDL038E4P72brhWsqwEoh1cUO4Ufb4jM
2rXoJ4h3sMGfW9SXAjoCeDUHK934r7/dP10M3IjAGeI3fk708xczwN2bHO8JB+cbsZIGUZHS5Th6
Q5f064v99Kj5ZsyFQXfxk2I7e1OWlLlmNG2sz8SwOzSWSdbxZrEQ6RJ/faE3TEVqBZftcj27YaRz
or4tTAiazyYX7iUHuErbm+9zLA1YHRNgvFTbcyMGkBA7gZ6Wjmk50ZF4lgrlOiSdakZjaZaDE2gj
zVLUGogiX+cfr6S2ANSLmQ5RObTnMqc5Hs1kvukqzAnK32wePz+fNUgCK2/ONQtB45vVkRF73Xhl
255ehx0j+V5nVJjZPtHhQ/36pv30opNZwTtgk5YGpPeTwzyaGLMbJqRpauUQ+MxPGQmttAlSWuqz
XU2/xQ/X0+tvGyNsPPZDk6WP85gDz/HtdrOUZGgrxz65crJfyBQYTspm6vsKiLge+ZIbuRTOYz1N
5m8OAPPtKwK3aY2QciGY60z4sDj7cZnZRdxlNqbaJwOXmBL2nmCizuDUXXrLxCcq9j8jRM/tzVC3
Rnt5HcyT4Z1kB7ObmXy9cmT0vgRFXPIVr5EE2lHX94o/w9m0jqp0W4FDhJHdeN2sVfymMXMOASHc
AuDSt+pbR7TLE5NljjuNw2A/d4pE+O/8GdNtpxtnnIDG2jgH98sBjuIwk0OyOh3inX3t6FqumHXm
5e0I2nBRbqftJztzb4gh0pY9mdHwu4YO7xadmbFOwLLQiUr2nD4IU1s10G9tnFe8Ajf3TY2ZJw30
kp3QZBsRgk2nh+9hpBJHm14SIgn2rQ/Y+FiLqGrWDGS6Bcm6URhfR+VDwxEa+u0ogCkEGIqBRnoz
zBN/9jS51EeXOHfMKRVh8QciUmhKKrnwr6+Dq9fic8hjkJegWOsa2UAgTSuoNd9AyzFNyQ2yTonM
VlOQH4nZm+6aaSnTG9zKoT3niRy629ZqeSBmQ5jftjbKJr+rF53zQvWdIXeMnZhrrrRjpu91fuc1
BpTtVudbYJXiLC+WW8HdUdJYoaiR7OEQaTI/+MqGddALLfeNEdjQgExhX/3JE2rwbCGkq4Nm7zbo
5zfgICBX3ZIChPvlDOlhsGJ+Y++msfEZV5bqKCfRa/dTnXFpmS+cWoFe2UA4aWG15rtqHJzuzsgI
Ot/kvC7pDe0iCmtIoFh0vLLBhkG1Xr7poZ9FS1Mxe30dFTsLSnBofwMtrumNmQf9NjbGY4ooOeZc
NYbsUqsCTMtv+nbZT1iCmiGZ76CMSa9P6sGoHPhKfubwgmGuSmiylinOhtc6AMyetw/BNVADbAJw
M8P1sGAgbHaCUUpE+/SNsWF8g50Cw9ZXCM4pej6MlaJAsIXpPGdxmsbbtm/H5vB9Wbkme4u+rhlI
g8J/rsjUgL3gMEs3JiPNDqC9YPNmB/UiUq7DWyR9l8YIZhH31WxXzNwSbf95zjBJ200ZE4TvoxnS
J2EEWmshkdjUdn6NaKY0xIrEKuD5sFnnxZPBtDV6Pf48twdkTMGuvCvHYx4R5no2iR0CMua7JeZj
y75sNCYNxWxzY20MC62dCMwku20ryQcxdLCTXVOYLYHUhpw+IcmwNMxzPCfP7/yaAJ1rZyowuROi
sqMeu7r5BUYmr6zwpWkjmWggK6UztTGBksbolZzHjAHSOkxBC3hXbKY5OSu4s7z3FOZ5B/tBdRA5
wiIbGpyI4ngpwea1whGnQrWg9XMBKIluuVp8EAFhx6dS1yegNhDyzgcgW/pBjN9P/P+dk/52Tsqq
+dvx+w9z0qp6aevu+e9CuDWOj5/6a1CKNae/SlkZh1rELf3NtTPw/jCBQHTXf52Fvs5Q/xqUBn/g
aYmI0waSoXXzOHT/GpRaeH0iqUNdh0gm4Df/q0EpHpY/nt86JFysYT3QNT4gyX5vKlULS4OSoAL9
XOlancoebwhX2+BtEeOhZkzNNrctRL6zNTRqNxG+gQ1b01lEixe4WJRLVjFnmttr5M52UK9U9eX9
tBS2/WQEVFebsTU+wyhOHssJ/4UscZ33A1Ya1xiPdTcLBsHxLqsFwTc1XIDrZOQfo8GdgmaviZRQ
uU5U8CXQpZeTc1uozvqsjbhQnZlGwZ22XbO7GgQ2ZY9WHvfeVbvIBQeWwh17/BpKq/8qXoe3Zgvf
wa31EOnwbpkxF1rydt5YSrciyJ39R7KARmZNPX6W17mV4SggFVkeu5xnew/3uXQjy6zqHDvmOHs0
0lmGCfOvJVKZAF7FfxW3C3Sx9y6spGPrdekenujXgrp8m3nZ6scpESMMwPp7YWYPM2L1G1cwwYRL
O1vXeEPFJfaDSO67yiJJRCF92XaG9owcaYKZBgUadxOPgwKLtC15qMEUDejPN+CE0oEZp7V3hl44
10PAPMroes849tAs6fqXIH5aSt+7bzwnflDdbPpHFXcWvKy2cQrMFGx2Zk/F4sOAGpyIFdOLciIy
uAfNEMp+qk5uUBfnrvEYhPflmIVUNjGz4Xkez13fJX6kJU269TJ3uZNVYmf6Hl4Tzb8BK71ToEWw
XrH4HpdqA3g0pGTKS7Hz5zg+2HVpfmgWC3+UpdWWh6DwYPl3yehlB1vT/eIpU4TsPCZE83j6tueM
nbQtEfNB2+6Zjcx6e8T0oSLWVxROZjwnLZJ1nlxhhA6RHduytSNTNvZlceJxO+lxtXWDyjiCXd/5
aexucR0rojyvRxFlDj5jdi1LDBqCLqTmaP1wzeWFH+6Y2PEt8YBnlw97XfMe8glKv2Mek15dQxYW
IYKi0Mvqiy0XSUZJvsc3JD55eQWzKW8fNS29nTDlDRWX2SXL1IXlMH809HHZMUKId/Ew34Omt0eJ
jxK0VCmuZKnpUILsfNfF0jwF2GXDKTTabauRWlHaU3aygZJ2o1/jNFbMy1GXLE3TLczHYDY/VZ2P
z5+ReKFIOy2yOzHs6srrOrg6ljhSlX2GoVqcVg7+WTKZ2CxLSaQzvk2Mz6LWbvqdjUIlZ8C4yUqt
ihKpBVrYoHGPkjR9cbAZwHgI6zymDySh6IhNbIXxmm77WEv1c3JVORNJG1i47hHh33eZ1oZGnRkh
Y4Y4spUwbvj04iycWVMMHrvmCMGjf8HfYd74qcXNYbEdZDNsco8DskoWLHGlPFajcw91+C73s6vF
iKlLex0n0+Uhc7t9rbfByUvGuzbAMGIpzQ0edtsEDzaVEI3sD/ZjK+Xen6drgRki/k491LOm6LZD
zDAtie0n12JsP6KU2Rhl8VLYusLhYnQ3wD39PVyla18aRhR0GFagh2cTzPxruylVKMqJSRLB2XBI
qQZ0bCa35aQqhqPDyLvVYKzP83D31D1tpKVBf/BV8WXxMOimyA9OLtvlqVdMzIg3FpcUkiZmDFiG
syqM2ySVt4Not5rPl1rq6jL5tngu1t0s72OvCX3RauemMe27zJTuqW66NOKBUdKgg/royfSDrrWU
M+b0Le1K45B4LS1KJosQ4ylykxhcnvo5Q/3Btn7bWSMeNosbHHPh3cWuumUMru/YJvxzLbTRi9rc
7d6zr/QbExUF1GyrExeB/i2SXd7tdR7UTq9lz0TLSe+saQqu1aTDbtC6jS3KjxgnmREjuXfzVO4q
LG/DSTQeia/tXetW7C7p6lSgix3GdxYfr4aTb2eYdaWcDpJMajQu+0x0DwXSnp1ZLvH9mI/XjSaR
JBmdeITW8uhgQRYW2vDcLsEH+HRHjDngrWK1iQNtgf+jOe4wWjnWrtgHpoAPLKR9MY1E7kdffamc
2dk6amkPemc+NAS48gLnDBLKtBjOjhz1S2pYd33QXBVt+uTmJt5P+CzotT2jF2u2rhZ8soOR0avt
RPm6lzaaf+O31r7NxHQ38ejKEKIzpHh38T/lcWJ8KBzf3SjLY6lpNh2rN1x787AdZH6iO+52ziDN
s8LkE+pnkzE2D+o0yufCh/bZL8e07g5dI05DFud7PEqyKAk0aIU4OHKYQaqMAy/0RzQvYW339hdb
43lBitf8C5RzlOvlaqPjKXmNP6IWoQOrt3jLpp9JkrWj0eyvpkxyJozFo2EPhwqHy2BYOFhFgARF
dfcDOKjMvPLLMFWHwJ8/CC8vtgPfB+JAnUfEUmTnYYZOqkpjh3aM0PHEcZbLhKkRDmixbDY9XdjZ
yZxkN2vWHLZ9Yn2M6765Az3Kq1BjONts/ZydaSit6ibRhhZfS4XRVce51uC0fJhrRyDqMZpd1Tc9
8rYqhuVh0rz0OkaBlgYVcVyPZ2zuajcINd+5jDqBSpA1qnd6Aql+Y88FEjLSCER/VwnNPwZtvpym
wXq0J735TCSYlhziEm7EzvFGjH2swiAjzrZrPMM4Z83t0AVfSm24MVIPhro9dnetU92MlabRQGq3
Jbrqdzm5A62y1K6f3PqEKe17vyV1Zcryk6lBfgG4HDYmTnaf2F7tw2jM8bNYDLWFB6WOpNmbW1EP
6d7FBCf0ffLgy9zmy7bDxyAheqjSfe06ga301GADHJKd4n9zic3c9IzxQye1iufa9+Z7b9QgkvT+
RytHUVb6pfcE5zXbaLGrR6aXigdsvXT4FICngUcWhGVN9Way10XEA1vp+xaWQsy/Wdd8vIQOZluK
r43KP8+65t3BZR3eWy2CTCbxF+xznM1M2gtcFaT1kZ8RJUhTrOyw0VVxbuHqYrPU29QIVXJtmMWh
y+M8wh4QS5o+qO8gR0jM/vy0v8V51z8snivfa0twqLt5ehha0jWMIAuyKMDl86rquq8y97+wOxc7
CWVxQw/XP2bCOLuVFeybQM0bB5LXNmZOf41bo7vpTNypUscEftFqYcK0INONtGB5hQQFvmrXzlel
PQaHsTYmPDXllyIhkLufigzHSYjJ92yQLYSx3ir80O3GtNjbiOB2dmnnHF6tVn2UTA7PCUKaXUEt
COVdWTP+b4jgQs2erfsytYzPACruZzurYN4uXULAaSpDDdh8C+6FxAUyOVwnDC/tcjh5/aJhMaVv
Kst8F9OoWKzbSuHFnjKqL6k8ohST+QQZZ2yAS54VHIldXg7JfaBRiBrXFFpRiQGdCpaja45fGWO5
e4nP0KZkXrbt8ZiCnFKb4QLJGf2cvuepnRxhdyFOuc2mqGuBx1z/aejsLjKXBi0JTvUbp6ghxMeS
8y+vcZevUOPFTRfCcysOFkSDMFViOFX6uI2VdRGpsKAJuWpfNK5/zlJkRqJj3pR7ATSzdFcMUt0R
SGLvdeNzX6QUTPAhtqKMH0GdyrCQ5ibWbGuDIxtRg44KfRS60ArmautJAoAq3rtSTW3IYM2Iaq1q
osweNvCLJNtJ5oQQKIewlTgCL3n6aQy6K5cCf6f73GIcFR+nGsdXcuhhBmXleXSzeSMMHxLdRGkI
tw0/m8RrOBOL+ljX9l0AuWSP6+iXouofYdVgae4ut11Jn2J2Dr5N8CAj1XSbxp7T0Gocda2pacAI
TDOfGLoh2UIY9Th1LQAKzl+Y12lIcw2FS2YNNyRloBqaogZZK5fHUjYwouBpIViIs6+5MjbG5C23
C+TN7VS44ayTW+hOfvzoGcWVTHv7ouygi3pZfaP4xZQrbberA0CUarnJIx2gOrYpeUF9+ahskW0K
u0926KyCrU3IGkW376BvFcU1NutrcFxe7kiykBfXjz/rrSL+Lp/cfTrm062coUIGrWtEc+FR9RhN
8E5vxKWa5h71ZR2VaEKipVUrZqLPFxM/bo00ahQCtRV5wwA1JPDGK6a+X2v6DXyJP5r+8pw07t4z
2v6KNnfmZuQwaxZEzvmwhZW2L9Jvmi+JXXZXdnsrmoPM1Y3MLKyfU7bHVPoR3AF91zS0t5DprD0u
/3uzdgzQKnHGHYoDVOgnPfcfkWST2ZMtz5PXf8GM5HNd57w/tYW5w7VXx4/1sHRYg1XJJ03DmrPH
8w29yxIllne1BP4Hv6k3Kgjqfc7hGGJ0jt09lm6hVunGlW03t2KkOtNQzUSYqWBEnGOMesnjGrXs
ot3gwjv4YV5OC0eCiPm6nAQSUkyT7mafgGHFG/xpVumLlY+8I/E4h6lltgjcbby18eArPxa1IDky
y4ySdGSTWLYJuQwFXq28jZmq6naEVnkYtAlDF+Hme5FpiYoaE1vSqM4Z+qJAhaYH+EmT08jHsfeL
44BC/0hVnR+R0Fd7O6jsHSr+5DzqvbtTVf8wo3dgVBG8C/xe3FTol785WduflzRzT43lr1KPOT/1
aGF3zmirB7uayfVS5jM9vLjOK5sGP9HfLUsy4CVXJ1cWiF3Uw2C/BjLGVXqZpr1V43grBrqlgWyC
XcdUY6MylNhWBeersuxNAm8wLCXzuqztkg3YhsZ4SydCgGR7txHW1kyL+J0LTZi0oPkzHu5BWJoe
pN2CO0ZRe131hOIpMR+JC4W2OA4X6HeUFW0KETUPPpE6km2k78H7LFNIuY1TUQapZTPm/Po2GIET
abLciXKPrn9HOhE5j5MZMUMRuxTv+SN149ErK5jaRTns1rShLbv5zKN3qi1SzL1Im3c0U/5dj5B7
TysM4oLk6SPy92A1N9Xza45qTqGRbuEyt8GZMDQ/bIhq3Zix54R9XkYakHdYG6ZEwN/qOKoW2QFB
uhEp1SAY7lr93OWyO7W19U0uGO3DggrX3sJcsovB7r6d8GS9EYrHWGNHIIKckIyiGCMNVhl+AFm3
yeFzn0db3GQm5Ma8Lq8T13uq/QCRfW5I4gN5/dtp2lWGvk9G8I6ic+hlCCJdvan5VRA3IT52L0vd
wCTsrmfw+1DNMQi3BSdY0meZVhWV+COGY5fy9XBgxHcxglvMruzo8SElJnGLPaZD0TKfRlZq1K9+
1XrfsUc6hsJZf/g8eOIzbm5kb8sbzBmmI8Jnc0MLeWaLfiLJq8L6fdrSavEmg/JH3dCOIatBvyxG
b+597FDcYOHQBfOFtW3cobI/+qLfLoObR1Jifk+js1Tvpa0Bm4zj6O9MMGb2zjtzTma+0dBtc3ek
8/LHKFG0g8iUkDFhuQkigJFJNp6Q4FPH2dXnqquDW5FoPEjf2ctRphsYh8sjjIobbwkIaWgME1NV
fde1jhfaSglSyGps3VwcWQmT8cQDNhovviEv7WKec999xqQLVPy5M8p93/nf1DA3tLnZvCXHXkRt
GWykqCJDNAIp0/Ct6QjwLbT8Uyq1dCtX6L9tUOmZdQ2o4oOVLCJINlUFFpAaC2WLiMndEzcqZYOO
2l65EzRf23uHI6V50qjpG2i1BXz/gaZ8kFhatD0nOYR3jMH1Rm6rdsLgIO085vruGWXhGT1q5IqJ
2c2UF/0OFAcGTtE7IeIs/DmEMcv+iomy2tukCQQIpfDCyArJAIRdrQuZHSqnpDRGUhdOVOTdg2a7
ZbsrfdieO6Xlo4osRmxodekR8EqQZp/thB0YEntj7pETN2AO+NjqVz0SmM9tPnl5R9BN0IJYfB83
/0/j9fuX+vJcvrT/sf7iLxQX7HNp939//Gv7/e/JS72i3z/8ZVt1WTff9i9qvntp+4If5Rf9+T//
f//x/7y8/pbfIvGej4zoF4qluiJW8w0O//ozf+LwxNn/wYjYZSdc6YfM4f9TsLR61ekYz6ESIvCX
wTkI+X/h8Ogn+SdIHBTG7spJ+wuHt/+wYPkFqDp1GGtwNP8NDm+v/nZ/H6PDYNLd1/xmjPRWxuub
MXrD/kiqy4wDKnWGwZIpOYYgLjiRI918PnjIKyo2vATjz1UicE1iEZJpHunXNgYBCnFfMfFy1VM5
HdNFstfVred+WfBU3GIM69s0A818VVPdFO+zxZZXdbvoXwUGCPjQYy/Whzp08jUcZxisfYZC8BGM
0APLlsEwnGhG1HitGrfapkxJ0QhzHoP/umQxME2NjD7uQk6cK72fmyxEk0IghagWc8Ma/TT0JhR4
Ts6jPUz6jL2Ib7xAZWERvsYeBn6cktAzVmzttptm1+SOjse+6L2Dpnp1HOpSsISyarodpLY30bxv
ajN4P+Idv0+1oqNwT+r1U9Gdv5+ctoHeboEcIFZIUcuqw9oiGwZHrBF3m74uBGU+bBGnI9xh9Yjn
BGijRYvZE0KePHdZX3qDUylzTjgltzfEkQj3PGLi9YU7gpV1G4hYPSz/j70zWZLbyLLor/QPQOYO
x7hFzJGRc5KZyQ2MSpKYJ8eMr++DpKSiaCVVlVlv2qw2NElUTBgcz9+791yHoE6sBa1hXbkav/ku
1QRxWSMxCQft1TFpJpM5XsOEJQsjX2sGKUW5p8FTDARcWXHcqWOaTDGKFdpo9dC7VwslIrutjcRd
bE47Mid6oBwBIZBouU+yoNk1XAHkSGlzUikjC3ofprtuDcLVBs+vTPnQttAA2J4Y0xe/dOv0m88u
9RsxjeaobsySVGfcAez59k6XrKoH5u3uS00OhgURxB8uxIRkZ2bpeMBdnYXET+Z9ekqo3dQOXse9
lBUEqYRmZxhn4207064RSZJyWVK8buc6I7MVmcrZS7OKbBOx7AmXyA4Z2VsyqaeHDsYG8HsjN7eJ
r+NykzdddPa8zrU2luJow2vyQlTogqdermb7RPqr3i/+0n6uzDp/M7tGqr2fQYkOwIzEQeeFHlss
8Nn0iFtfnltFi8NSUX5OC7b2R6vsP8WpNYCZqSz7zuAI2jS+6ogscUvgVbaKPYMm4zAoi0EFH3ed
O6o+yEVO92XVyXWv4qW3MIpclnlv7IPMFNnV2iPkUW+2VPuZU54GgOs3SRem7JK63Log7FjOZbjw
rE4FLtg+/sx3ZP4haHr1eXTjxG2PEMByLkh9cVZNWfgp1rG/xz01HCg7rR14vPLcS7f+gOAE4Idr
369X9m0ogUG5QjHUaOT1QgYK3IW623jsF/deQmXOEajFt0rO4rays+glqhOk+o2Fu2PI8mOb81Cd
Eyc6pOmQHZD6hkRn1JizR8Q0taP9x8gCcOTgLVyxSx8XU9yWKmVkRDPoki2DfaH1aBxToFjPdgPP
O8CmPdIaVOYrOVK0wnt8YFEw5kI9ODgIdhKPxzfD9di+dxyN/YpkOfVd/oaczmemFqIBNvq58YNs
cKzHWo1TTNdpqN4sb46eaC5EIqggf//KbhkoAKMg3qM2TriBMKPgaAzAs+enUdBEyybGOV6apmSA
IU1RZeQdJxuO1khghRf0DmV1Z0eSC73vkivpx/1TF6+VC8fnqZ2aey5rGkzmTAIZAEA7C/2jAQXZ
w3rfuGdPGzg7oNV6XyanjO/83EuO4JrKL24i/G0ucGgFNaN6ZzdXlmCfLUnISB86LOsnJqvTNuPq
fpTErhSBHGeTrqQKN2NHrSZSjKiTzfTGBYF2kyK1DKpeqE9VHhFIHPcMa0dppVuk7varDesO6Uq9
PFQTnS7L1eMzm3ZCUFRaXZt5nSEDdac3kmvoIZuq+xaxEdxkdkMeUR63CI9M9WIyLLldZOLfDkRq
3M2lXe1X4sSdSeF/FRqjeHSlXrJN2+is2VdVG+3aqhGfkaPorTX11QP09aqjXRwzXkUlE1iyi76x
GxDA2kr3VZnkc20XLq3dwpKzibt5cAJw6lBzYPacvJEWhusNzrXZLBFQLEPtrUiaH9A51lfeaMfn
ytdA0SQbAlAfA0fWj+evyUzL2aaDnm4aMySVTsw5ehxJfyScsMdJQMynRc9zv0Go85UcQrWTU+UD
UzCra0YO6YZUBH3B7zfe566xI2vWv24YUyUBo5k4BHhuZNexkM2WfVH6KW8H2Epwjq7d2mN0N8qW
Rh2heg8WwUXHweumUzWFiUXOkgUqHMj/rR7q7Lnwq+Y58kp9x3YxBJMWJlf9hP0oHr3lg9TWvItF
lR5mysddOHfs4smrxrDJr602AOtFdyrzZWAu4/YfsPiKOUisttwaCdtJx7ag94tY3DWtyzbI9cLq
XI4G/bciG+crOwWCuEk01HSvshTHsRtfrIl9nz0wlGIIw4SWucpylol03kze39hUYZnc4QEYqaaF
/zwvNpMQa+FB7xEAuoZftMneSTLn4gLHeCKLjlGqgUo0Y5bmJdbWG6dL31R639akofxXpvLvFcfI
+1Gc/nVxfPN1+Pzlz7Xx95f8XhtLamMwlWTK4rxBTY+o9A9YM3KQ34thE0QzLiiX9dlGXCqpyH8r
hpXNX8E1E6SIg7ZYjf2/bwbuvmtF2Ud83xz89u8/hq5Kc5Vt/qAppRJmkO8QsqdQUeNy/kkwCzF5
Gkpdq2s3bF1iDiybVVIyGbaXnEi1uGga9q7V2ZF+I2lQNMwQFkYb6CfzQ2+2zYVEpd58wXSd3VRu
ruOrhjENIoC6YWDfc3N9VIM1vEDC0dsumkmfqNHub/zBG/BNd3AkJycuh0M/zvKhhx/zWg7hcLsg
e5ygGZfrc3/RLiKRUI/7hPb90dVkDGCcHvrArefu4KCgrII6TqeMAFykaFtjhtFjzbPr7OPJG6Oj
b8ml30IOEr8SGEkSFB2u7EvjGs1tEtlDQQegmG5D8i5oKKBBEVviBudsNURn7qmatUVJJXsKTRoR
/K1anZhrKsV81xCnMZ+wGjP2Kop5Ms4eXxAJcLgQB4q8oVD3Jt3Ge99Ko4clzYbbJh8R0tEp2iKm
5qYOCWg9pKN2j4Wfl80mtSqyDBGawZjy+oyVxtJM6q9VZn7o6rpzl3o7EtXaNcdQ2kl/KEKTvubB
s4El7F2NG0VsMQjrUmxAqEw3Ck9nKTcs/cbJamXV85CMGqZ2qWN5ZZkRZJMb+fTc1rmFI3SA2hdo
5Uim23YSDtNN1gyWj1c2T7QfkICni33tsfEIeoW0PGJMHKch9dFs7Hkay3bc2C02Iw5mP7jdBSP0
EG+jRjhudRTtKMMrU9Pc2zZWO6wXDtkUy4SkdG9M6YiptXAIvzh3Xd/X4oYwtLRT6HTadhiXAs+1
idbpJWIjYy6vU5LPpf5CbEtX0DrAAZ2H9+938f/1Ph+ah67a6lv35539+w35j23//6NugLLFukf/
6wXv41dd0BD4UZX322t+W/Fc+YvlrmsL82E8Mu+0+d9WPBd9nbJcQY9H0g/4kyqPVQ7/G3oNF18H
FhtW3d+7ASY52z7KeyAanhQr7/6nBe/vFsCfLRa436Tv4znlKoV4/7Ok3pNDvyQkNx/p2KMPIk8t
SCNE0z8ck3+yzP4s3Aeqi0EF26e3homjJmQR/oGREvYIB1QVhcc+BU0GLxFbkzeR/Fp2qH4LFMEn
2BtI0ytAGd/RO3+5xK/n68cVnikDvGtH4NDksLHW/9TuwPLJdDPz/GOEaJAMRY0gb5gkn2sL4ick
WV2RX9R+0JaJ2rbLnHydDCzYO0c7igDeFZ2AnejQDV6+UQBKzv26rWy9FGBKmpPA0c2a+KAoWq77
1g0fCicft39/AP/pj6Bf5OOMpDVCj+jPR1Boq1YF4rojowVzN7E87mkyW6fEHecPjSKbOJQZABSj
IP1HCiy1o0/Wol1Fa8A25qc7p8QwVrVMasUAQpXWPKlzXkaUlE/kkDeM8qlI+m4/k/zCEGgN+Pn7
3/CTNeX9PGDXwnaJpYdH7k/qz9ZSfY8c3T/SUiKhifynYMK5cHCr9Nvff9JPzpTvnwRvHf+jjXD1
Z3unDXOkqCWf9B5MRz3LyXO85oyis7knnexfmaJ+uonePw9TGgUJlziVxHoF/nB5m7KFtGfkfF6U
6HtWFPAfffSvcOr/5PgBz1mlutje8Kf/dPx8zXKRj4Z31LgtD0jYvtXKT45Z6z39/eEz/8ntCiKF
Cowbj2Lt50UhZfPjj1yDwAFkflpckslin2tmnjlxcwGeNJAxMrSq6rKHeSDroM6dDG0VaV1xXy5X
oBWaez07yOWdgRS0mrnEEAxSLcdoNbdXOaFNCdfmB7wpQOwU8h8DAOwIZ+I9fW2qCYiWnskMCPHn
8+gsyfHvf+R3f9IPlR/ocrqzLA1EwFCL+vZqNP3hrIXMZiCM6Ok4pkrCHGYrCLm3PSHjyvZV1uKU
hao35drY2qAjaCu46TEv0n4/yLojz03rm5qp0IqhUNsGYMCzNLPkxvZn65OL94b2hLPTcjQfpV+g
dtNjzjjLCfMn2jj+HkoPo7YBZA/wZnNbwgU6ULzIdIg+sZxlR6ezbTwWpn2EEFFd8XSJj0UdmjsV
OckReBliDWb/u9i05KFVlfekIcKe8NQU21I2cbcWcm8xD55Ngd3+ZNXLcFujE4LkvbgWsHrckAPR
dbt6MEntRXy5AXTMML+TUXXMdJV97IjfJssZign43lsbHPqXeZ5RLeRxt4uyTh3s0EpBJTmxuWGq
5WwNd7HukfaIJ/wixTNiyuxbLWPsP5nwZ4jqdN/ohlRCBdhBphfXKwlvL0x9tH2f/Ks5nS4LIplb
JycMtvOSkh1zkYy3fVc2v5aobj/jsdyB3E5hXWdfjczwrlFOGVsEU9HOcPW5KBy+tSMbbDf+aRqM
8qYKayacEwHeJAKy3zfc8sDE/7Iezy0dWnq4PnzTthpRixbqFfQlzbwpFicAeMXFCuv5g5Fn4Mtl
IZYb2RO/HiAtJrOP58uG0aliTu97p36x1GcdOu1dynEqTx3R6hs0suops/ZlXHNFDEBL+kapz1Wj
qz2B3MZW1ROR1ZVZ6g/ljDqyoqXFqWFm2E5VdBznfh/HVNEh8aisbcOpyyvCXEGPeQChzS8AGeGy
Uq7ezxpKSUhr2yBJbjtEeQ83L9MBHFOsMEKcmXHChokstBtELTyWaXSNqOZTPM3iGHedeAjlMtNY
dp7nLvtsQpfZjiRdQu1w/I+dHXp7pbW8uFM/nkuYfwE6g2nzzhjvwbcERLqFqCOMmCWqX2kwTI6t
tJquDC/yDxkTsw2z4vAVncDMl8G0HJuZtYkzxZyOoL6Bi2sAs8RjKNvDmHFKALPEJfeRYx4ogI0r
wKvVpTMqgTbanmFJtQRaJK3rBeXMxCMQZlrfLpXgDNHUbq7mWVqnuJzyo1SJYLzB7eIYcyWywG/A
uvQ7czTjAAQGhqQuRuAp0vJND1b0koay/7I6C1/UoMczQTLDCapzR+BbbV00YocDGsZwwx5wOPWS
+8uYMwakOdAnBd0FTs+pJAp4oYXTOGjSRFQEk7FMH6yBxrwSZgzymrArKyeeOZ37MPAVeSfSacpL
sgLBSyIEArviX8EqZfUWp1Jz9msC4Jyqnw+GQ7DXe3RimA7zt6HTY3Uj5igHTklRsAxEmOk1O7Em
JWCbRDw53kOUTdHXRDIQq8kv1mfXIfRs1HOG7EIQkNmJ9nnxR+sWL7m4mRPR9Nss7MjTFHU1fEXc
i9g6Fwsq+1S/xe4U7Zmwux/jpCsRYLvyyRDUF9BE4lsCPalO1uxIum3rZJ+wnm2IzqnBqyQoZoST
PeSR1by8J01nAmvhd4i5jSw8zyQuL6sBvLlm9QK9zE9YC9svi0EWYp6C2ko1P7KpKb8cdADnxScS
dZ5VfaNiMundFvjCPIJc2ZBdRPhzhYDT18RbIs2Lb31B+quNhXP3HvZp2VZ0u7h1iADJWniN6eft
M+4/cjg1kKgx631xGIaOn2Q4MgpwVNE07LLU3ik/tm8lCwO2CWD3AFRIZwajtfFdFHDUKsRyhug9
qSP1eSAcB0xPTF52Nwwfk0Gzrldmc06ZbYCMtS3zIEXRHMiZs686TQz1zAfEWyInKC8Ie+BrExTx
acQbjajEibsHUgn4pyzqH7Qwm612Y/mCs+eqhQd1cIemOrTo1UeMM0Jd2ZMgY49FQepe3QzA3/f1
OtArSAfcDHka7ysVxitR70mGBg7XriNnJRttjBfiToelP6DRigh5q4c5PnD4wWui+WniC+rLZuBq
ZuDVTWU/BzSfBcJiU4cXPyzsmpV1ps9QIoiMb6bRnIrl9P54/++G9V+Nr9kj0OL66w3rbZZ/jqvi
zz267y/6bcfqW2xLabrhB5N0xUCY/KNHJxTdN+gbFE0C99k6Ov6tZafc9W/Yzq6Ezn/sVpX6BZAL
O1U6eeb6Ou8/2a2yOf3zZk6CfSDvgqQzvoEkxOmnfZAeMq+ceLKfIT1PW4WetouHbs/eyKPoKOPq
ZPt0ogLIY4u9yzTmzA9xZ2OOYkfCcjoZul4Q6BR+EsJaNpR+YvKTX/FsStK7zimZH4NXe7UXpzzH
MsKHNKbm1l990xDqkwIGXwhlOfOZBQwpq3LdGHTs4pq0cjB6eD1niXZoTdtdYhOxPy4n/3VIZlTC
TMxXXDEI2pdhnHrvbsaPByAtiS+pWXXWTjlDWW78qPaSz0NnxC+ktbbFsaISi/Y1Uzvn0tki7khN
zwuBFRTkTzwRTpyAZb7JYwva6Z6qbqlvqrbl58Zw9dwNJTb+zSPYeaWnHdpGYRQ8uwEL4dg3QxRd
TAkZz9545hL2YxDmHM+GSI+iH9c8Ml+M236AYLiRGJLF2zjm7bjsshj+B74sxrvU7WVaIZEuevSi
c+D0JWhv7m8EQVPnWzyKY29pLLm109paMHwBpa83xJSYsZuhaeyrJf2yhJRMdrbpCnat1C4VowzX
tIboYGZTqG/cojNOAkHxHeb7MFjQDKPNsXDAtHF5ig0SJyO6ko+Z4fRJgNgIKKIsx3uZ4whxqF0/
M5rOdoydcwId5nibgGRmE1xkF6Zq6lC1VoFWtusPWTk0lM9l5QSsxv3JG6aN26PyLYqy2ionjm5t
08cDEOfT1iEGnlkJ8PrUoW7G8BHe62Isnlm6OyJ7oAYGizHUt3nqfEB1Ft2rqGnv0Je590zJhlda
oNM28iX64Dqe7rkeqv08VMnHnATbu9ysZgZr9boG95hcQtcMIbUn7o3vZ+HHuJ7UESCzcWtMuJmC
lvg9FIdaXUK2GjgbQYpuJVP1+WO9SmRJEnE+NI4sH5nZ4ypBdRVNGztFsrdhwO5Om4qQoFOpTccB
146Qvu/L7jROaJbGPIs+qrpSV/6yBrPK2h6fkB7RTvZqLH3bHsXHNzlaDk8wFzJ4EFU0UpBg0UNB
HXkH68A96dF+Sht326a9pZgXT+5FznUUBQDfc8g2uh9u+yiCAj1N1dGy/D7oUtwYlFWtvo9zp/yo
KSOpj936Vyq3Z6AQw4bsFu/MmS52c037fW5r73qZ8+meWjw+I9nUTxEb0JdeLQXK4HEy31LSkq6M
pXRTqNLKPY/55O+ttP46+E14lLZodgzHMXSjTnv0M69/EU6aP8/ZkjyrsUtWwYyXPTdsxRB7cIc5
RqcPwmXS5btjt09qRBwV2oLCS/IDQ/j5tvRL+zxOCC8pVjN0JrzWuJUpTMTFXtI4oJOV3JVQDc6T
UU9kpEeZ4ipGIxrb3kSuTWe0W5wz864a+3ozhgzAOS4dI9t89e2ITW2345n4nnLLoNf8aGGTv+0M
/SFZ9GNaG+6XyUYAFAh/oAC2KYxsZhVL+kTP3roqxBxeRGfhrUtb8hqS6ORbrXs9j7rh1ujbx4Wp
99bWonpzerLq63Gp7lToL78CfddNIOmiB34x1ggcIusDLEcEcQ3i3mAsGlSFix9dAxTpXzu0fyWD
5Q1RDAirMykx1E/6TCxG9LkFyPI1x/KzaYfmQn7CuLOdcdrGQ8/IOA6TozJcE4UceWKXd3SXhVQR
iXpn4jjKrJieOWTmva6kQUK28Kr7LG1Xg04nyVPoJ+JR2oR9KAZbOhOEjUDyM+NueqhGC+9/Fo3q
cehgegDRgGvSJz2cineQXBjG84NlkK1SDZBsEQRClHVWqvDcrWlSvWDyEuFpZhvgxXgjR0t8D4EG
sdHeuFSxcxD1imAFZdNWaJP4VBUeNMt6loQM0Y+8aRNisv3RrjadmN6wjpQPcnTWGUvYbnjTaBOl
dCrsrPap4azpYnQmXhPmEW9Wpe1vlWF9SerGvEh3aBmNNwXzHj/dNRrFDLbK7BqJg3ftqyy7MPl1
0iBd3mJqxqARa77YNH2ohH5Efyhglup4U4YrSQQexT6R0ibIavHvG6mrneGYjN2tdmyPBL/c5NkQ
IUxNwi10RvmcNLZ1SCNb7Lnf39Kl9B4ak9FIjCnhKXKZrshY1+eRcJ+dpnmRX9uVZJbSlsN1BYrz
aMDWpYdU4LC00ADdc+XS2xD+eEc0pf7STC2SVBOgCGWP5X2MSMA78w3nrYncgu5ITa2ZZ3ZxV4QG
Lhdzrk6y7MyNaMW0RWecXEjfdAMCM6pD10/9FlFt94r0IN7mXlWiX8g+da38NW3wNi08Hi84KqM+
cNoxvqPWLZD+VNl2Kuh+MHFrv0k1ZLtezv1jikZiN1gjXJHII6bKw7xHnEv4mNCevHGE2x1GXzV8
C3Q1Q0QPapcuPqW8xU6NYJPYOI39FUbZGKgftllh5Z+aaewBVnvZFxzWcodrjvPqeZ9iL/+qs6Q9
KYPHvXCzbNvY/FNou34woymkg9SJkyBhaUv4pLk3u0RekLCkb37q0SDOY+NAXgjaCVLP7lOSps5m
myZ7xpMNzm42qH1Df1MRu7V3IZ5vDRhjh8yMh6sEmgr30VQ3WxzkxlbMBGsxjhx2ym3Lt84eiSLA
VJb0EfakOXaOI5sNvM/XizXWx9IqMjaVvrmvpP3WiPq+7z1Kh+S9bQCShk02uj3y7BIsFXHsJKBT
FiqMHIVLJqobt9b37uoLaxsiFgukhagOtuQ9PXhGl51TBol7Brx4Fn0gMYRymAE6uDNZ69E+tPJr
VRjGg9/Sb8md3j9acxptF1XcG1l5h4413hOPCW8ch87Gyed7f+jlNiO25gB0rtp2oFRoPFXk2cS9
PJSDwmBhuOoWMix6XB/fNhCS5IjWuCKvS35toGbvbKgvBLGADTCT2uZBlmH/KFV/P5rSf0uKudm5
BpcfBpqjw3yaoFK0Q3BS4mCwe7nB9dOfpkL7x7SMaJwmi3cuENDmif0JMvWH/+6l/i0p8LoL+ru9
1M3X8X/OX3X7df5x/se2aX3Z7/M/9QvXleP6iB7YS71P8n6f/9m/2PwXcBgCyRzlzx+bKUui+GVW
BZcfEbFLD/6P8Z/yfvF5OzQQviksKf4z/QN4kD9vqBAj22DCCFHwmDWCVPxpqmA2uoRcYeujTywd
gU1adbs5qnR2BfbevkKV2AyPkd3StBdJ3J+GpOzuKUaH4pChZs/wZ5BuHYD2AG0f9grnNBEaZk2K
KyFKVsIN0wrsFSX4YR+p1DIZ402UyVhtcZOGT5NZ2i9OOXzO5byJeKunoQntxy6rlvtW+09VHeE8
KesMVZOTh+3KoSYED/THdY9Yo2Tv4KE/dSoVdHUnXnx6HaDJjcR8KMsxO7caQSfPV3IBa144Ogit
8AFPNwXdta00pHwIF9OA22D431pTY4ejviXNZSgWfQJJjubUmrL6sxowxC5j628Wq02R2nOg3nGT
tFl+5fwnYJZaXj3KQfNk1ot3wBzhV/SG+9OC12UD+oMXtvbYmphqV+eIU/iF/zykSxNtytwTL+xw
6GLVg79hewGHRAAj6cYWUbLR8+nSG1knUowAbdL5sN4r1QcxxGLsgkmC8G9sGbHo1OtXplVkvPa9
sh+9LkUX4PRKXrTX0r4abZl/nLMcQ9IQ9fJFk++YBNkkeLe8iKdbj/Cvb0s8EgGpmvCcxVP8xWAz
clPj9Dy8fz+e+PrEla2xm/PnycQqw7KNgnTDWKkc90L35YGJ34CjtF4Ar3CQW2/udsQw9HHgdol5
iTxJTRH0HT3CC1AnsnHCXGbL0Wk7rfaxDdH+QGQYneEUMQkYjCo7L1Z1GrRFKx66RL/vksh8qUF3
OHtZzx6GUBp3x55V+4WCiAdA37Zs9Nb6qG3tZGetkBWUrvlHTdTBI0Ec80tTx+3Fw4r7lMJu3GNT
084WfKtil9xHV2Fjxc8p2wqKqNm+MmpOtuekuIyyzk7IeOJHpovNur6YbXkAomsFyByRA4P1IO09
rZfXpRzng2e1Pok2pvo2OgowV6iLoqILCMZ3S5puQtGXii6+yfKK9yLtrKatig3W3FhoiBII4Lpy
010XZe1DWPjzdbKM2UYRK7GlZRteFw7ZIySQjN5Bdr4kjCdWH/Peyw7sMI0qyBAL5tupSwrvkEnR
PnaV9WJ3OYZFWzyjk5nTzTw0q6YWJy9Ac5DnhHHyQG+l4+wTb4Gg4aL9p/FQnhHaWdihek/jhMur
u9ZZivvWUM5+nOfizk4see7JZg9QL0a7gsn86pPudkQcLeeYli4JT+jDN2Nuqw8oy0VgFzPeY2pp
blRKHaoRdN2lCdZ24460XVa5wG7tlED/ClNQcmNr4A5W7XWv/PQWFmh2VRqjfYfCFgc8naEVE9YS
iUtebJgSpOhblxw4WL8dJ+G+DIuRXIdSRm+zTlMkcgRczJz6pfazbQkOcMTgWuEvn1NIbxvBaz4z
m4Ixa6QaxkBUFc0jdUWd7gitjXd9PMBuoXJYPjCZELslbUiBVbWGwltXZDbY88FsXJreakazik+n
FsauJLijDoa8ww4H6BzLdonhc2ShkGztRrEdHGe+GkMUVDHk/Wef36/giKEXOtVF5bZbZ4nYOIUw
UghhXQlklIioOVYsWkDrvt/A7anA9pW13ujcjJ8cF4n8htlmtjF1kV4NxLLNGzpfNPhTEzO/cup2
QxDSdIiJ2tqMc/EZMF6z08lsnog1dG+quTeesgxTYNCb9PrZUad4Y8u8IyHXWzTCLTT9LqJnshZZ
zE1nYFVqnT58fV9ZmqwLySwrsnNOr2pL7IrEvb/eRTV9+sdpYY3SI0MLxxAsq8NqL0UXyxNGV055
mCKW57pkY8ntMJoP0l4/iFnGtC0pXRW5MtlyPQoyN5C5Gn55w2N7Jv0zq+Zthc5k1zKpvtaetL8j
rP/bev5XrWd4XH+rlVrLpeuvU/JW/VQurS/7XSD63mGGYKXIFcfq9KNAVPi/CBvnlEWp9J4E9Ue9
9N58prbxPZjoP9VLlFLIZhyPZjY3Fj3r/6gBTeH1o5hI+ACPJaISxFdYXWzrp3KpwVmzjFGZXjS2
u/mzhbODGZ3l0rwVMbgkZtWjHtMZkUvVFsapMuPa1lT+bnmE5ikYPLbzF62iHqekqO0N0YDDcjWV
jvu10bnLfM919NIcyy4C4sQTJh9n69Ggne314MN7OCLku7olGgzGfLDoKULoG+FfT4zOvR+qHpkF
t1AHU+lRlaC3Ns44dOIVnF+ezAHsLroqGmdvWZwTzxg3k+cagTngnSDfI1rsbIov9KGb2nuMTXdZ
QVXCU6xZEi8pjd6UCMX2qfWoYHdeStCuYJ/vdkt/KOvBM4tNKwoYbwmYVNymonmLjVbv3aae72zy
BsncmceUlzqzsXyqS+Em1//dr/x7+xVHMi/569nPTaW7+H82n3WVJz85GDlZvPT3PYv9i2WzyUDY
xJjFZKLzxwTIw4toouRDOmM5qzKRAczvEyDnF6o/Ce0e6ZXJy3jV76Jt9Qv/K4FsIAbt75bI/0Cz
6IqfpVAox000lai1TSSQBDz8WbrjriYbJiPpEf3D2ob2sxjIaIsvCiSU9gnyHmpRAbJzY3Ah2Jmt
E1WEj6l+YdXfmCMW3T1VV5HtKiRyzdHIKwk+pya+SgQiJnm6SJA1zSGhETVWrJvKJpy6s3oJWcJM
m1ewIIq90NrwG1OUw9yn7BkKuAoX8sIYCLVe/VqLBUYn7CwSfcaS5p5EqvMZk668ofCnoVCVTJaD
vjK9+mDmbqx3bWasL3nHv2ZpMt+ZTed/pHTng0eKBcRGLVmb76GWRSKnB43h/LSm2ZI4Wk+uvo3M
MqvOFW1JDwe4S4C5J4hDI8A7otuGZFGW73lGFo492uPQghlp8zNqOGogYM1IHwWTt6d1HfzsmlC+
q8roj2qI1Ydl9Ka7Uq1R2UowXsKYTMCmucbU1WinPjLsBgJOcNbq4yMdFUcXBrovqU44At9zkNaY
bhU2NF0npfnfrAmAf1HZ9uc54nUBjX+UQJIwVRxcfBrZ9WugOCPNTc/cZaGknvjV1krb9jIFCDkV
/HY/twlv6kehyMSFh1Ki5rhRmZFePHC2SK8SuDphMpxUBQyYrDhe476nu4A+QBBTTAUIVa5rjvD3
E0oiJDO/aE0VNvv1DDPem+44pW37QvQ3Zs+xJisdST3ghK1oISHcGwX9nKCamblwLcX86bU5xF6b
iRPsb3Jv6DW/g3VZ1A0bTxtpcChIChtoU1bE4pnSFzpsXixU60i9v8Xhmn4lhtL/OOfjQ7e0NgrN
GB4WnWtIi5Q69y7KdIsOHMmr0IzMp9LiAgQosl61BRd6Bg8n3DNh4Z2W0ORPl3zuhG9CMmq3tqsR
O/HvbjdwNZh6HRz6qkNN+h4rB5+9t65JHVpDYaKWi88wYcqGA4+2ALxw98UFNBbtxJpxF48NN6Hr
T5zgqvbouHl+tD7GUsJqzyVUhoTcXIrG3cAlikmK2/JS1T57A6CU6mSkOMXwcim+d7L0oLGLNQpa
UYSS5zQWXDFIcoAwTxYfWS5rpvCwXiczFojXfj1FnuoITrX7+tWTLW+GiQm5K/vpnbumJc8Dqey1
JetXXRMq+34JJwaJanPWVldM/4D2rxdp6AzTw6h6Dsm44trfgffFYuJriAH/7lct6EdKDw5cB0hX
berc44LpXRJv83KVPr7fEuzhkgNwHg4exC1OtmDh4NnYvL4D4hu7hrWL6k4+WWNFGDkRP+AO2xR2
b9qgVM0JHgSUV4FvX0wvgSFjj0PwHkHuigQB8Hs4X8PYhvtBCC4wQ3GTk4LK8Qm1JZ8Gmr2HGag1
jU9TKAKcyMcdq9xHZgedKOiSmUuigtgHVsoge4L0+jZWd+k7ONzQjAkpsRd/K2DeH4EpC1j2qX+x
GbBsFR5FDbYl4/eqSUfjfmmJid2BtOMOY2+xRqopVqzCxKr5MLcTdvKUjJBkRpWrsGs+ZGtULyJA
Mt0KmfM+8A7I786o59OO6DQhQvnUEZTLEYRA+VBzocMEjbPmNRMErDN+jA5hF5tPLsTiG4eKKdx7
caqXxxbZp3WcmN2c1MIPnrKMK8rwTU5UDuHsKRTwLM5R5YIxVWXxv+ydyXLcyJZtf6Ws5kiDA45u
UJNAIDoy2JOiNIFRlIi+cfTA19cClXpPqdRN1Z3fNMtWSUUEgHA/fs7ea5MYWIRIvVMdtWsvDRjP
jO+bQ74mmrcJOS6BIHjD9Dn58oDDfue2Nu0qSSTuBxJNKcSD6sFQQ5cc8d42MOI2hV7xvIi281DT
8JSOtMTsTYGD9ipZM/WKQvB+0qImi23w1icHJFI1YwVHK+AbaFK/RBnG0yS2eLo9XgLTuPcEJEqk
F4g2iS8Wjq5278+8NHDt+Xq3zqsMtT7/vWOLqz4Z4OTTO+Nz6us2gt5bdRjcKfd2hOGyvjVt525p
GKzPozczBGNc7D1pjEsBs7wvaWkrSD0mJoFHCSFg0x9Tt0XyhzWGMUdNM+1G2ny78pxobA7nXF6T
vLz3b1wxuPJpLAGK+xOziXj3vrKSygTzfIxd9SQSuDhPY0Ti2gemkqwTuVxXKTGgWZNoOF48XOhB
2qviVsS9QXRe+QUBqXds6nrdDJS+bs7hmmTs5Qu5KIvFQpZTP/Q+w5dabKY4LkV8bczxfGD5MVF+
iQi0SLyOqTkf29XiXRRl28WwD8MJrUabePntkuZfUz2hXebD1Yqe2EoJ1+hoVpyAGa9R7Os8keoe
gxdksaQiBsKwUh9zp/2lKosnYuWbE26unvzsGWMidQi6E0O6x8pbNyKok8xH5qgGTogqRJSOHvLd
Hcxdo+gnKCG6K0snuRI0RgSIN4ofE0dZCFDL8JNCuacZlcJi5Fl+063zn5TvwKYvRKGNh66bj23c
17ArvaYIb4gbZRLhdR9K1QOaQgCh0b28qeWwSQuAm4akFTTbea2tqYuFHR4ZvBWsqmAKTGnTHDHx
u21rvabHaBuIaRzSp6ONrWTq15VRHIRQUYxBtGaMJTNzl5XGAOkkWXZ6D5bGgrUMSw/jwgDgFBXo
brbBcB08HsvGj0CsTFz+2LvoTLlcu1PnnNrUY5tLJoUlTKvpbIziUYqhOmsYVa+TJXNPiCJ4egVy
QDt2QQC4ab2KFRnCpJnDHG0amMISdGtuWs2aXnJZpY+zUzyCbVf5Za5aeasywKla146uL3Hf4Ykw
h7d2brzPsUsjqR09sHM8ZIGCIwkOam5gRKbeQR/UsJ2nDnmnW2MdlzJF4EuwwNlt4nQ+c73sLwDk
y93SjyH7eKKTRjs+eisfOkucZu+E4yfUvkSaps7nSE3zXWzN5VZAkduZGfIECG3NbatzWYEJ24E1
FdNr2hPWCtQZF3fbnt0kXm6LBbdH5fTFjvhFuQ+9wbmkWSkD9CYPyuvhfDQ2lREaYlWdwe6zREFr
88FR10FE3XDqi0Yw+ms01NhVe8y8Xl5WyPNhH04l/UBFZ8amHYt60w006IaoiG0NwG6R3UiVImZy
TxrD/Gs2gZmSD04RyQv2MUf8cBsBTzMRBh0MToR7d90hzBnO7sRM/MAwO16xvdrHFvv0Nq0bD8CA
hbIXmC52HP0uo7F9Wc159wjlQrucixq/teY6/NxI7fq5G3KPugRL3AnZoYIW1lXPKeU75V1fMGBP
CyN7QIToHkBmale6rcB3M4fZZq7c9Q4QPAJIC3z8jvOiZcXzpK09SgFwktZY0+40WNHgyR1ETww5
+73O3M633Ez5LP5MDa2cjQjwzRFhwJea/IDA6AQS6FrP19VKHGc0IC9hAzpoi9FyepaVEVBdN1SC
iV5u50zPAub59kOoWFFY+ZsiSCpBSzExHGyDAEjgv87b1kBIb2EnGC8x5TswQMw+RSbT2m7DtUMj
dgd0MxdBhMIAtb6Dayi9S0IBeUWkxYoGWdoh+sLiH+3iFK3o4ooaPMaAKCuKQ075FQGauGZijYWp
SeyDm/Xjk4YrwmXbCw2bvq+It8CoOIHEjCvtpjqjwU62CRiMJ6CJGEdsQIIeouLdsnQLzVGdf00d
fNsYSB/HaHJ5xAnjkNopsdbCj4WU2MpXmPTRZaSKK/q37YeVV3wBvOBsIzTz2bzC+6I3aO6PrY0p
g7NLd8qUmpMPrV33OvpVmu4nTYnFgHNspt6OVlOvxiAlf3vYgOgz8Wl25Ev79VBxDLHwv30MVc6i
HqbpWM8s37PuhUyamsXcOykjZCQyOXjwTYTeYGSyBU3G/AhQgl13hYLbIERdE+MpYtziQunI2HdZ
teaI6BbKRJ4eg+xbq6cGBbRBtVWOLYWIPeCJ8hNV5/NJF8t0Nxu4sKhFyexVI2U5Kvp688OJ/xdW
PPMnwzNqLM7z0IRs26Wlvvqn/2J7cQa9bopGxYfajtgwsb1UeU8AM+bbiUXabMt7QDKuPM4Vu+h2
oo+VnQZpDHe9HDwkhcPoPUEAoHiX79u06Kiq30MVI7lQTSRRSwkQkm68adajZ+nphHNo6MzYKZ1m
gt1Gn+LLtxo5Kcgb7pf1UFLO9XSHtAepExOx6WbdVl6SNWGqXFp6yRvoqxRk/3w5jL/NP4WNAUja
5HrQ0fhbSmQsNJUQeK7tzdjilqBUI6PE7dfKq5x49zyHJKIb7qDdl8bCWQ6tB29rTvrlfvJsrlZk
rrFj1qKtAamSf+Ri8dcJ+k4E+50K1zTg02xGMH0wCcaeSKAq4kDuJw4A5iACJXr4FjtMhApnSRhM
AyYI6pMv//xh13CIH7uX3HvLcfiToAcdGZqz/voPlqfBixLN1NwcdvLAXNObp76FPZ8hG28sz+Ij
1wW+x6lVL9jM5zvV0WF4TyZPqqm5K3Bm/+Yd/eppBAhgrsphMiHe3/EP70izlLb07PYMLZnZbmyN
wJ2ORtJTS2OGi0D2EVcOR90XSQbVsR44FZQIzfK9aNhI/bat15MTx5F/fmM/W+DoMFn0vxAtAxan
2/STzriPwxyuTZIewsrj6S0qZsIfFrn07bNEHqnA6HoU7VVpEYm5Af/9O7fkL+4VaR5keQmSp0ze
xdqJ/uHKjLEtqsXoooM1edjMw7KNMMEgEjWu0JHFEWeysN4nZhJHZCWES0nTtw2vorITD67eiytZ
Qcv5zerxi8uCYGF1ONu0/wgC/eubQqISMg6T0aHUOCEpBKdRMCWg+zm44HtgpssBoS9IWdpqWGR+
Y+V9X5t+tOxxMXh5e/2Tkyr4iJ9efnayvhwgA1gzIZeHVKi5pjBTbpFyQ+LZgh9uji5eKyfUjmI9
pZYyl8y3pKqNa2nPDIU2OvE38aFbG021opf/9p5PPpZrkvj7U/SfUdBvR0HI/X/4wv0tzuZbJ3r7
kv2caGO+/+B3JwIdZTardZPCpokq1Pt/feh3yB5ydrQ1lgt9b50T/dmHloyJsCIwqLF1Y1W38BB/
985bf3isMgyKdKJ610fo3xkGSYfX/2E9lUTW45q3WSEMZkLyffz143cUv3vd2pNjXC749KNln7TR
3IXbytA3BTk1WkfyV104OX4xF4X1hib58pHumY2vKBGHluilS9AXfTArrdhFs6p8h7TBcxWVh7gx
+5OrcMLJ3LMvqr7U7sk1q9emsXbRJe5Kfivs+4Ezx2Pqeh2Za+Qj7EWtqk3RQsyyobJxhFvEzqAl
W4JfD819qrxwVYoC/7GiA/aBs20WzYmZPHNSFd6Oi7qe2mq7rtYbMH7ioFqED67tEoSe2ychwy09
SW8bR+pLT6N226d16xdDk/qNWc7nsIkiAlPAbww6ox9mySpvtYDSSuzoQi17zGxs9pGxBxhSfvDm
IQ1afLTbJZdBPjXXKNVlwLrfvTRGRy/UQQ6JjrM5mIXN6xegs7hSkjMBnn7MkskdHtNqWyAgpolq
IIup5hW3VQ8H6GzXzezpvoKeHxDHy0Dd8Chc9NoEeWSZ9HeBjaEanDZDlbcnTmPnWFD7UZferdaw
oAudvVf0Byh7GcYIA+yfR7AanDcduqtO4ZMKH0Dsk9UNTNABsAVo+rttB1Vrm8995DeWZge5238u
WnhZ01Sc6lIkFzWjdN+EuFctzk5LkHpYiypR0HOcStjGNwrZpkc0RodT0XczgySFJdSeZpMGA0dK
CwwWqkazh1drSMDsSLLmo8Hy/ADVfjm2wh22jjOqXTsJa2eAD922ky63pUcQheVG+6m3we/RSwo8
kX6q8VxfKFi/NBUgfFtIU/u2GQkWiPax2ZN4rzi25LkWZKl6qFr7yZ0WfCujs4nApu20kmOt0Jd4
79TFy0Lsaao61L9V2ND5HstA91LtpAzvq6Rri3nGs7Y8Ew/Iijb2yCPhNtGtR7D1ro/QInD4ISYn
6mh3IAyXba5vRGcdlZGKT7NchJ817cWkZZ+XWU4BauY6SBPmrlZJ03RBabyB9Qd9vEzV1sGseYgX
UHAynief7qXaZqJ51tquIORlCrfgriDAEmi4Fy53sDI9ubORfu3IQ3lsDDs6l3pc7Ez3c+S1OuGn
jvKt2tYeSMMjUwURk9w6eZLcFRiUfMLqddoO8byvgQ0+6CUgaOF42d0CQ2DbtssZeVO+g1U4Boie
7B0e1GJrIRMMymn1FBqafpMwBgY1hDKa8jL2yfcxIM2a6QYFkH0UHGNJuHKHAxObY2cNxgVHk36r
0ZR/JF+Qq+iCvTdob/g4LvEKIr/f6FZFyWSl+iMJWvqm0wTehEEtmKhqx/d6eJSg1sr7jOiLm5DT
1EnQDrE2HCZi5hdaFhPIRc4OvQ6b4CuwOeaMUp232l86GhI/egGXJSGFexDMVzR/PicD6TdpyWlw
UA6wHOrorbNwPWsmGQcnzmFfm/rbFMbkNqMpPpFqScvG7u4h/R7Z7O2Tuzj0hBvrzg5TFTDhqaAR
TFh1x9zeSonlxVDeKzy/u4SRFtOBmxzDCjqWROznRPtayGXe5Q0Uws65TMbVIoP5Gzn92p8oy50T
aQ0o/rbeziF1d0zU6UbI5EVVQO8ily5yZUwHZw16zjNG5aPbd77Q3TkwkJUhdFc8UpHdnGfD2fWF
8eIpE2xQggZlKFrrPjTiyC8cD76bhusCK+Yk1dehpUXnLHMIxzs193oOvBKgZLZLc2MIsplBB/5r
KEde4R5w019XufHJtttLXBUEKVnTkzu2gPqgcvr5bNpHskXKB88bPuRgorZ17Xy14xEKXJh0/hjl
D3guLhzZwSxwjVNSkVFgVVXOXMfGY9zc5HFYbkMzdv1QqbemIcQhwbcFBquv9hJJ/zZEtRyoscsv
mUTBL54aRM84PzDhkrdkxp+82fUeZjkfwDuIi8VeSQnGrHadm9PjcXnFclkeaBYnNy1OtlSwCU1a
CBhgBENLWme+a3rLQsBt3a/TsK0NueNiVu0xahQCqcFE6kxjewN7QN9C5rI/5tn0PIZ9f3BmSPy9
wXgtyuNdb3TjfioxgDA2orlSDN51lw83euQQYyHl+sYJ7FFt6HcWcrYivKuIGgDqlewmlSD+tGV+
FLH2ofegjyuwpiZwS9bCfvWCLQQvJkkToF+1D6y/ySmmA76PNFa50WWu1ze4+YFDwrZdTGsX0W4C
rl2b/iRr3IFO+mEcEuu4aO7D3LX4c4m1od/6Zmq1c8rLPFxbTctG1rbYEW7rBkIW+smtGadVRHEA
9qzCXUPLZQuifzHLz3iCy+5RQgEljYaGGwmsh4mZnqyx3ym3Gp86TnwE4aSKjFlcfzx9hUtER+OR
tuTgwF+/ZND4rdY8KKPCo+A7NYrMR7OnMIaqN89N60aB1Vas3hlZIPWIZ4kobuvOlGj7mo8VqTtL
eWrMoXU8P61cxCmIVfNEi8FH1M3SNP8ReqAxhHT9u/LaQRn1T+X1XVx9+fpfxzZ/KWkRfPs9j1/+
57+Nbz/4XeYh/hCrjRcdI+i7bzX0d2m6+MNFsb4mNnp4Rn9QpkPmMwQqqrV7hDrL4Je+F9f8dswG
VuD1qmX/NwQeNO3+UljD7eEPUwcTyHfRo17/6ZypAJg3BdkUkE8BiqZzXOG/Y45JX9+jJWpYz2Mx
DGdCkOnq9vVzHlmrM9S5Mqo+x4W6xBAPcHOiPi9K9gP9CUJDxEg2JwiwkqO7XfD+Hht6u76cNWdH
a2ZkWO9c1egGAYUI8mvH5sUzizMgtrOpjYwY63Db0SdhskX8aT70Lnrc5K3X++SK9d32lVNThJcV
G60Gb36yjHEDie6i8vQbW7Rsj834Uk3jhI+e1UOC12u65K3N02xbmNEc0D2/csxpP9IZYtZevnlZ
eUZQfhdOVozEm3A8IzvDt72RKbGUEf8XfRPmWsnLXHfVtlLLq4XpJR/Ea+XYz2pud7hzcr8hyucD
MuYD6Ya0KwirC6o2XBBUu1eiM5+zIX9x6Ffu9Gi805vsvF6BroAgJbP8jdk9E2WK6Z2ZE4TB3Iz5
xrqUDuPwEJnj3erJ9l3KpGOTe68odb29iOWBWd5F1hvVcVllIdrYcmF03ZdWcjLWCd6UTQ82brqx
ls+xmZ2iKX9pVIrS1Loi3YQOoy3bQPKBRpm8Ea10I3Pu1Wx2O+XV9P7lqgaHmTERzcNaROeQrBSG
d3EDVZiA2w19sDhIsjVXRhtIp6xJD4i09VrGxUsviG7BrkQGGUcGf32tWvI/kD19M7b6TWeMewhB
F8KlpNQG/aJ2Ks0fsvjNREkXWCI5Z9l0YXBzDm7FsSJN+ISVnJ+WsMMS1dk5eyjJl6R/sqUkbrqN
kT5fNmTs4rF9aqQKOYVND4Vubae5HP0ybjomA8lLSZM1IDDv1a2Wi4GoYPJ1GiLolPOcTPpnV5nX
3kjmtk1E70xEymIxBYY7+bAo64DYhvNHYx4iVvwNyngK6W4gC6ZfLhASxME4cj85KJsn9EEewRkd
XmejMNEd6E9lJF493K1IYhp89OCshTM8qKZ/kFP+Vujp7MM5hmteTA9mKOJNlnQ11roKgYKtxT7x
5Ujt1+suShuLsnwGXpLuaEnjHpAOdip+js+J/ITSYzTtZyZgMzYnHkdNYDHAwfkpDUkOctJ43uKY
G25NBDfbfIpCrIz4SWevGw6KaLqTqqzh2Ba2u1J+tGtK7pzwlbq4LrV63ulk5Z2KmNAnQ8vN1060
n+ahsS+FS8eTp6ZKOEY2WKvTLYAmc+tky/gSOhV8IIzpub1PpSqfsjJ8KiYs5VuMH4T6ofHxpzi8
kmX2ianW4GdTzgHEnv3FTLY1MLhAQQ4iQ9y2cVYmqCJObgVTzXbUVa7FN2UFMBc+7lOlYXZk3olP
sLdepnIm9680SKwijjbIbfoFDiaRevHsXYFbbIt9MbzhFATDqOTxX1LjtRJVTQOs4PA+6MTcGWJn
OjjHeBfhpl94DBWO/e3EsPla6k6/nwweujlznh3NvuoNNR7DoXnTxuZC2tnph03nF7OGdZTwY7vO
XSMQPBedIGJCoC8/jRqS1JY9MEs83APZUAxhOoQT01ViqfMSCvs3vcmfRYHrq3lsaKBRdIxM9k/N
QU+OfWnP6GwJrasAYJFhl5sMTHFk/uaVfu6C8kp4uXBY0kU3UBX/9Eqj40xmihz/YEBI8kJWw3U5
TqFp+yTxtXhMGSDt/vla/rXVtO6IvCYWLdt08Wrxd671D+3gyCy92G1D0gWJpKEMGx6IF8p9zSSW
T7Nyf/28SM0umpbV7Z9f+m8jo/fX9ohIWIcHgrb4X1+b4cW4pLNbHtqiIUgIN9XNDHBmXS4uCFDJ
Dro3vY4tYWGgfoZTOpB23IDuB001v8awzyOYcH1E655q+OAhffTTnowGdyS3jOWbbi+Rrxw2VJWe
S7tByTLcTUX0pFsx45BJXpHrpPlTVXl7y6rqjxGWVl+6LA///El/8QjBqaSlKGzImobx04018sQr
KkPSfDMIyqv0G91bbvCBqd9c0TUC5OdvBi9ERgjWO4h+P2NMvFG4E7/Is+qhK20RWc74WwM9ZxEu
bS/dMvA6d5EobvNhvnE6vbjlYANkfYne1MC6vJYqWDYyBHTTRaRB0ffG/kHz7CuzGfaxy3Jv1UmB
Bw/EtpqM6TmyjHlfREZNw36G/603xM1n09PUsO33RiJP9BQLjkAdCrcyeQsT2kRllnMXJ7faE1X1
FlbLkxv1u6Vr2bxr80DH/YCmhqBPQlBX/ekFB+TcN/rlxpmhiDKKFzu4ap8ai5aOI6ix/vmG/WKF
YXBEH5bztkMn+KcbtuCSVRLB22EZ0RVRTkysbFZt4AAczcM/vxYV9t/umUV6F3fLcdALrr/+wzew
MeaE+f9colQY7mSbnArMaL95iV+sLKixQJyvf/UIZ/nrayQxrphc1/EKeEONyY8gLnw+r+tKz0ly
3ncNbjxDHjzNuBpDjxDsMj/B/fjQpulnAgPLjUEnlqNnah6GlE089lid6rk4Y3J6W+wRPHuYZIfc
tJdNyiF40yNovcwTO6CP/Oh2/Gebc95RznQnc0RsGxCKnY/nqd4ZDZQ0E2TaHgw0DRYjebOAWGxU
kp2HKTtlVjSvvjgKVDFS/YraL0v6RoPe3VWlEQd0v795bf4l3FX+4hvLvWBsq7MOS2kZf71gpVF3
UzUX5UHkHBSGuEj8pAPubKDfOIuYK5BQbtGIda8Ky8Zx1zbkYojiukt5lsMMwQ+xI7sxBIvVMXHb
olJ4HtPaJL8Z5DaBEFdEvdPsCi1ykY0U8gUrUc3QfOuk85NujK9Lq29IXb9nUk5VpfjAjTbts1h/
minEiLaK672Zj3uvHu8iy+7hlfF8ypqFr7UHYv80eN1FmHt7w1qevLoZvh2T/+VF+sWXhD1j/UOA
3zV+nrGOkWICMQ7lYURwQYnDmH/k7UhscWEd/eaOCPETomndqVx2YZY1ROmrGeCvt0RJc2aa2RNL
hxkyEDbDBDdMTyE7lSe4PzhKgJ3MHJAGg2UqTakAoxx5BwUgkXs2WEiPMEz6koGHo3CTrHSTcnZJ
shKX+OCvc4+Wa+xR7U9lZcJObF+LdLmb8vmicNbNmMcsMrOXcFyrVMyT6aKfVQ9HcKoMn3I1wO7m
knBuXb0fLxc5mVtQRobvNaTQaPAh0nocdnXYdySHdfFxQmD8fggKS3JnR8zJpxJ5Y9JxkHThrfmL
4qhnLeND00WIgyQJHebwYGTiBq3qyTSp1gRh56gZZjrBtGkL/ks4rA9k3Q87IZs2WL9G7WTBAh8f
7Gg9QFiZxveJDLNcUS3heDxPsEC2EA/aoNGsZ5WSlluS1H7pWdNr00FTR0CDCiE5JyZnFm+iFGf+
+ZzGA1JmaWMVBSaK8Ucb0tMC2h4HIl/grstPHIr3RcjOkkQDDybfDnvszrmwPsXtWJ4yYUFMGbam
0cz+ejACB5TsRwCWF4Cqr/AuPhsMNH6zH9u/+HpT6+CSB/nPE/UzOJrGZqoQJBaH1plf6dHftTr7
3sAxi3TZdLvWX+9H7Wp1u3aAjLE48J0vYzjGI4F4KuXHVGFus65MA4+xlTs0pkOuX4Sy1nDLwJv6
+ZCLVuOAltEij2QSwDuNXjE1eGdEaDFJeOyLsBcYJlP9+otDpJHGGpN289NgUm7pjVn7cHt6f4pI
tM5dKuuIgyH7YWzScYeoDVs27R86NPMbplp3DfM6+u35eej7O2mhC69yewqSJoMkOwLQjUdMD5gf
C6EtNGrnV7td6l2D3MrhdMDczr4a2EQ4ZPYPpo1Yhmq+c77vr/8ZYP+mw4a2QLBu/Wsr1X3V/wsr
1Z8/+r3H5v5h8VvRd/tGeOcB/7PF5pp/gCWnoKCAYchNx+z7ANu0/mBuzUQZj5MtQcBRJfzZYzNp
v7HXWXwlwOoZKxji3+izgYxgLf7xhIaFSrd0SUnP+xDf+nA/1DQ9zICySZPqMEF3GwMPCitdCIil
+xgD4A5muOz9MkrdWy8xUZMYSZlcjTaL4JDHrrtlRo3WPUzMD0C25hu86uX90NrhJ+ImMMsgxqjR
Wi7WoW5WdYWn47aF7cnmmZXV5I9TZhfESk4QhGOm9uYldT72d1FxXsylZZ76ReUqUF4SkW46z1R5
GcO2abvA3ntrC2BRGI1mucu0Vl7HIp1usjiURGbTDwh0pZmnJpzLYsMtKEnFMGOAq8PUMk2oZvts
aE1Ys5xhPOkL0zyNi2seWTX1koxiNXzUC94UIICw+8qriGHTyJJRRdiTKAXxTGGXdoDCfPPJTCFH
F8h2XUWaBCb0Q6JTuAaIZ4u3hBt+sEL0+3ZpYcwQSxJ+WWyLFThDvvuhXlBxAkmd2g+yttoP5Qia
3st05lkTkNKxD8uHunWr6w6exXxBdk9kwSqiy0IgmgMCNi9yEfq6UFill7h2b4mfnAPF5sE6JcKw
2OhmwqhFppNDCPNSfxKR696EOZXMhrVcF9sQtUMJ1XWsdo5bANoA1TbVRX1NNKp3Y7XxiimUnnVo
uX67oVLeJbHvQHfieJWhQvCZ4qFA1WaV1T0acPdW4xzBKYXcLUZD1qEQ7EnsMdguqgznCki3k0ZQ
3XHqneo6axQau0UWc2A7qTjJlukVqsxesjcbVnsgTKTjM5PCZpaJ+kwOhvrY4J37UOuzNElaZ2Du
W6BKvgitcAOskLAX3HH2bqca4fTMrnzPHhXdkkuKbMmbAOX51mB+ooHXIjXLNQuhcayNLyRugwBr
hXdZ16YT7fpZj05ySsvkAHe1W45gLThMJWGvXRqIZkccQk6BsQJFKxpmUATdMbYyi/HhWPd3xNtY
cLbMCZW9qwlzI+gMPZZiluf4m57UfBeXkhq2Kk3td9lpBI8ZHYL2pyL1XZ46v0tV1apa1d4FrOCk
EbNm78JWlFOryhWxjLuLCC1A/RrSyepO3bssNn+XyBp1izgWXicxpuWqonXCSLsH7kaLLAvPTlEA
dFpVtzHy23DV4RK3jSQ3/abPNb6pdaNCd0isW1W8lqkDZFoQ+uqrxjdc1b76qvvtTB1Q7xKNT0ln
JFvNi6szriaF1qO7S1ftMJIH6mAnNQQx0jxDT7YNiPrA11t7KFf1cdUwM9owzC5qHMjok5NVqWyv
mmVqtBb5csl7OMx6gqx56I1+O3fTypnW0yOxZdZ29sq7anEvO1B2xxTsFsKXajqNCTG4DqkptJZJ
r1cVDXdNal/QXwSK6alPFtV+chnUzokhNnTWnStMUPeY7yK0BOMeoIr1JJoVfdL3PbVsX12Prn4n
TNNgJMBRWGupGyKJqmHIQ4bBaG13KPj8NrXKC72s26/p7FzpixF+hDY/MqtT+X1pU9ymQ9UCpyQL
W5L3dUPUpblTq5Z2TNATSHu5SpQ773Opd34ct/luFkAcgXu0vqAfQM5WU9UI2pePFdHKPsaK66Vu
zt0IpRrYJt1K7Jt7FZbNLoWscAa7Nl7bLYjKpK0+e6y2+zIRbpCEc7hDp5vCfrNaf01mPsDdxpUz
DNqacCguiJ/FculEn6rEaLeR4OSTOdgWDK+vKEyq5sOYqvGgF1H3SL+n48EYtX3UTG99Y+f7GW9E
0DUongdhhJ/MzCItCCGAPNqpLIig4JRxBEc/Zih/pHVRYg/deR6kTqJ7sEPVfSZPLpGO/qRpzm1f
xx7jVramtIC+3FkSFthgLw6J06rkbAi1MQ1clXTQvlT45CmLr6xVhOho+vgK5y50+SqrOJsQefRc
o/rfiZ7DdJgY7q7AvbWvlgFTL7lDH+C0aUE34CWuxnK5AnRaMagem0NhFu6tyS+cEYZp1xylnxwk
xLovPOw2UbvYV42BDn8DZy4TJ2tKo0svK1yPHhn627xLesfPDKrGjbIBd8oRdJ/VYdkZDGFemdAH
N6grp2aj1ciuSY920ds4GXHFML+bGjadAmv71NV6C3+0LdU26YEx6maz6ieqW5r9+pWZEqnkdlzp
PucxkNB6JqP1p3VoY6As2Qyt1I4N2MuvJlO0r7hC6MNhDcMP14UIQhqklKeSNokJ5llZW9tKxGMV
98NdDCfzywSrIKg95V6q0Pikef1bkpTRs23YBNbNZDK10nospaXhQWlBkJjZmg6B8n6ZVfgYNXJP
g/VTaPevrqGs/VLJDucqaCEzmZ/nYfa28O8N1E3Niyqg6Q+mfgRSlAWNMOqvEWlwGE61aosIMD0M
BiM530AnxIAiFDc5voEga8fsthT2VRlBLKfF1wdFZ4DTMyJQef4YNyORLqJYrlZFHyK+9guxqA+M
ISilqC/oxoBoMQecFPgmt0wXgSeSsIwXwVJrMaNcv+NUt5nY5QISD5IXI8seNMNmfjYq/VNsOMjA
E9f52ojmrh/EW8jpw20SzCSa87HEtwbDD+fmlOnOyZvD5bLWe3i4pvpYRZwFwAOdxjILWTvrOoDX
kG3daCDedZqLoznURwA0q5JGPCbjnF3mPPNQ9RAUiKal1ZB2BJvr6b4Z8vpUddO9XOJ2Ryx2yWQT
BUOcLl8wYEm/M/vqnrb94Ccw89DAFeZMP4VMR4sxEBa0ttiRwlhsGs19DWEx4f4KP+rKMq9x8ONk
cK1bJTqeK+u1MApxxNbLoI3Y0AsSMauLXhlfnWKEhSS+0PUkOJwszRqXejse3BpoTytrGSQKCs/g
2vGeisW5E9ocbeN8THc61eO1UTohSPLq1HDTSdfFKqlfxXMrfTwDPKJM8IhymxDriFRcmXX6OBFV
wVQ17vfoGCxi1IyyuuvjHlwXR0GHjEcLli9Cwcm91FRrA65ZnjqsoWuxSXj6deV0kS9Hj1Ne9WYl
EaqJAsixpl+HY3u95MmqUgGhg0YnrYtPzEWRbbTTw9j2N7XorjutPFOtIceyFzptHe4vkiIzakAk
gzOGdyR6OYGTlplYjKocaV2Wqete2oUqkew3G2N2QI/Q5lpujKbM/gOx+T9JK9bTG8et3x38/q5c
/vMH/79yGeUCThumNpaFTpnf889z37tymZGYiQdHOt/gGt+Vy8iTJZZx1zSJ93pHBX7XVhh/kA/A
FM028e9wSvq3Ug8Nc+3B/XDuI2ec0yMMD+YcjGKZ6fy1R+fpyIXCUGkXUorhFtxNESyysY5FvmSB
Q3DLVl8G487M7YEYD7kEgkX36AqXqiarxoeZc9uF2QJ7wUXs0o7QB2uDxLf08dGmEODKOEBlfxcx
JJAMnzehbFBaSAy+fXYz4lFG9BXhDwUhuhHQOGjMrk2zgqSZVmY6sXkyN+5JfGHKVBswY+hnXcn/
Ze88tuQ21mz9Kr3uHFrwZnAn6U15R1ZNsEokBe8i4AJP318kpRZJqamrOz6zc0QWsxKJDETsf+9v
T6N8gtLGHhvgzkYNovxsGgOZWueZOdRvTgu1HAjhvYoUm8zG9/bd5Ln1ysmH6iHLl+GEZZZCkCBF
eJy7qtjD68w2eVnPVwo04LFK5mqb50t/ckUc7Xo5sHqAIvTBs5nmjfANeyZsqOLNOHM2WgVzx4hR
mbU6LKS+tmbrss3yOu/KFOEB0ttDa1rBykGeuqZJ+1zHc4UMSVQvCcntFmmhViQp411PnHbNDdNs
w9oSFPcUWEeIqEF/Fms+rIpODpfyMs8IThWS6TpuONMNbtDuZjsBRTbXjgWPWnKyKcrlsfN48k8q
feHYaj/jV/GPsxuMr7XV2KtUdqT5ldPEN9DvbHNbNmkmqKkxUss8j3XsLI+1AA48bLOpCY1PwE0s
1HCCYsayG3CQsS2v6XRfYyglN0zVK7R0KPskhpw6vIkSsrw44UCKc2gfO5RFIqUHhL55H1Aog8hI
6uV2rur+wWC4xVMkM6q0X4WLdEY8B5l3FRQCHJjFVmxrFAunWAzDLLAgw4sbQ1EhZiCizlDA9s1X
a1nzu9Os+Go84x/SNrT2qyktiOteW9S0XU0sF+taJJtMO9kEG9V8uo/p59zXXRMGyS3o8nGcdlGc
msOyd9k/6z0jRz7/eTIHaT4ao/Ixw1HpXVYRVmX84/bOZHDEoQLIXuOZ8/WUEWjrdngMazo2StP6
QAZ9vp+AKlfw5GqivWQA8mZdGMm8ySh+i9cGrEKNRhiNl7TwMtpYloD9X+9X8zW8PnDbddRxTkm6
Ba+PHT/UgHupLgo8/JE5AdqXmALM6sbIlW2tq5YS7mWc/HGHbWaK10OXYg0gr1efVG6lh4bWpC1E
didZY2pVjwItIVnBEJ4/FFkZkbjrfOetS117UyZVctulqrv1uyxk69uieKbA9ff8Aub1YkpvWyWd
uZ0pCj5kqm7vfCnqF4y6HM6CztIHGgVYY2VFFrTIPI+PaUi4PGwDA+lc9gHGxZ7GVCgCPRkdQvB8
5Nif9ZiqV2AA6FpKTdmzVwrquy5sk33QufQtj95tRGfWU1yit7YcKj22wMnyNXv0HyX0n5RQl135
zx6Iz/17+q3HkDGC/oHfH4QUdgBtM7HzmX8Ilv/zINRdwER0oB6bJGVQIf9HAXWROYHoWhfn4R/S
Z6BjPaajn1ZIov/SYniZpH77BAzRQ6i5wcLouEQ+HD00+0b5bNh6pY0K1XUERIZ68ZDgr9rRuhq9
VJXrHIsZ8j8oTaAM0nPRlJRiL0770p3qanEQ0O711o+5EBHk7QXFlCrl3ZGYkSbVZuWcxSGmFxaM
EZBr5bvxxGKnCKavB7p/I/c5jeeoag9YxvEGJdPIs84sY+M2qtyxOrEqsVFfY8ZsQp5sNIIPhwk9
eR6PSTBYWXyMIXHnWLhCCL3tyEV+NOomsDGxgZna0qaH551r6Tq3IQydtcnLQrpoTR8app3oUcfC
Y1JULmilqcxu4qpK911gLyA5az9+qitIkUvfOLTOMRktsUz+Sl1v9gT1TZCertL8fm68m36mG2Bh
D7xLm3h4jyx42UICUlllhYC7a+KEj5oRKYKJ1MJO+5RzyPJYapaCGgbsaBAUzqDmdEMvWYH5Jk0K
enrJA2iGCuujejSUNVDpC5Mp19ju1rODvZ3p/fv4tQbYMpPYYvWtirEr5gfw4Jm4bkky1XwKFV6P
ajxebvP/rAj/tCJ4TCV+tiK8ZCJhDvD+3arw9Yf+mIow4XBhPDL1YFwMw425xJ9jET8ImEgwmtDl
nd8C5iKwdHqawirg+zZLy59zEZKCZIiZyftAs20b9ty/mIsE1l/8Oby8A0jS59Hp8Vz9wYcRjjAu
GpVYhzBUNUGNsQnXQvNVllp1hEgcnnPxm6pDICyD5rFQp8ZxUDNayOMON05D7o2SMWfnBbEVbwU+
oLtUE16EZr00NSErQibhsYv7pxj0R7hWQ/duOi3fmI3gAj/D4Khf7J4Fp60m4E4jw4rPXlzDqErp
FnXV7L3XJl0/a6Qb791paXtZEduNXnq/Mb4UczA/o/VV85cooAE4P2XSnW7SJtgKxudhMudnky0D
OOeR4QLTYfy9q8QYMFv1LDqgaBvjyXA9LAyIAuO2DUFtBaiVK1lp32RgO/ONJWZUpyIN38qiDMkg
UZLLZWls+4DZJ6EdyRrWRNr00oaotY0BWHs7qzPdFUmFX91qqc/JxBDHCxd344F1+yhyXAOeFbs0
SdK6VsbO9GLbbC2BxFkYUwj8seWr2js6R8xgfxEMWRSNV5rhCEjjpXpmm5DC6CeNT06B3NFLKxG1
OZXMBJUXwXwEJnMMoyGOtKmKwsrevu0YcMHCYe72JLrQfR9YRjHDlFP76iYuB28NXponR19lGOPJ
CoyW9RQVZKVBAqJiJuBGGMS0nmZqQcVkWqRhYhJReFgHvSTR4wCsrbahh+C5CtMIBIAhOthQUz00
Zwsyr155+Z+llfO5xq0v/BXGBf6eSit+xnNwbl61GiIFHpxZi9dXUPfcEFqSN/go3aOLPFqmCeSG
CyMwbAoQExz2ohc6KyGhiFCPDyINBrMtT5PvhpFBftCw0537CFCWRi21jL/k3u3Ro7B/yeUc1Zwj
VqoC1mcnELppaF94Q4G+KDDkiVj3xQI+ywgVv8BE+UqyDRK25OTLYiB9kwYUJvFIfYenoLdvQvgI
7iYMGBnexKNGdskei/6xb0cwDEmT958Zh9BWgmzL1hEZDWAdhZnlvsxz4Az0MeBHWCFh8wdUuPPP
z75+8yH1xcsKogRXUEwz/2XpIAdcoGLznPKxLLJvX/1kMNauAQAJYr1t3oUk1a4ur+gHAxSL0YDT
BmGFe7MbqXVd5xOAw0kU4Dw42ifEcid7XPZCWO67SW8V0KBkbs6+KdrXDprxuOq8WRySLPfc+wvy
rHDYfx9J7GPfQNsEGdfZeLVXiVPytlSFugN2wP/g9rkyXi6/ZchDNzmUitDPmvMdvyypQ+4ygxKC
m0iQwCOTJh3yV1i7IDnqMN8jWn9Dg22pP1JOrfqa5MqUNz3JVapqoNwpMPfyJlKatfGVz2c05PmL
RuP0sEIjLE8lK1SQg6YgemSpnaaU/LYsmtnH3EDfU5ZNVUziGWG1b4aR7VBgVfOwTttiBn5R9NOm
j2hARPImUqDBkSMI9VfcyZypzWZg6lOmdWWtIjdqr/qQ0tPWCxG7baMbV9LmIDRUzIHWBI8C3ZcS
n/NIRS98mH66AQZsPeAP56hQEt177d1BxjuGSfPjyF28z6ew2qHRUvUyJh4QoV5+yg1G4LgzoB6W
UTk/hr5RrQMbzXhli0nwZrgAVz5VxLy7qqBRYGk8hjb9JEpn40U1/UFcMrZzc+QFhwng8KeuzeEk
WnUTOlt2eMxpbMlsM0ly98iYkuur8Iq/iCBgBRm6BpC5XU23k+W5W3dMbA6RPS48TNlWtKqE2x6d
WTeRlWGaQulVCSJ1Wz+UI8xrRhhl3qwCGmOfo0tqeBLqixtUzikmR3LIicp+Lr3gYtKcgx3lcPkV
DLLsi9PN0xM+cwUvvKYgi9byNaffZ8Ij4oXNotwgH/cMbSIIg9QUkaOAUnll0ZfLf5vrnRkylq1h
hn8BU8ZwFJawPIfeFGhWS6BcyKex80qhlaQvjxkpAYDAoguXJAl7L4/06aRLKueebsksXoIrL+lQ
U0T1Be9PijAfokOjlXdMFfo5vKHn+gF6GelojgMoIEU4SuuqBGjR3S+uwwzfjPb96M+7BUjXRnZF
e439G8K9McR39ShYTVSA3m0wf7Xq+qOTTHjt+0guyX4cMueqLWrTfo5bp3mZ0lI8lpN7l3pjB4NH
E0cSSS8ER5THOoAGR2FUH952SP8HPKAUpya4BBN7ms9uHD4tie1/GNAH9g3VWmLvTXUT8f3gLHoY
xRxtMVUc5jZim93ad1KiK/tVm3rb0kxNSIwLbXRx15v3Mm2a7WwHCDK5sDBhOYKY/kg4dwsGvibz
GKfTW9zOVbm23MFD/a6GoTpQYFgOa8Nyyy3VOs06nM3+ya6L8DWzkfp4FJIfHXJ3AEVotMfRd7ir
QWy+zTzez9ThDTfMPt4mEXbXreRQAFJsbn1g7nF/hT6db0Z6zx8VTsWzmnPrvrD8/reRBOibipKm
e597sxzviQHHsEhIEB+TsqjhB4qPtlri+zS14k2BwW/FVnC+GnsLPDtSwBj44jRIx7gVove3wAoT
So2D6gt2xfmq0/M6Qqf2PSCv8TXM/HiTVKl/F7WRd0v9MMVNRU0MlFhz0N4ERlxcw4O06006mMa9
WzTeJnCHacvlClaj68+nVlb1GyX3zAWa9jkeWvNUmOKl55G4BYPlUUlnvloEqvMpl1eG8tyP05Q4
6HyFEmsrltY2NtL0LBNaYh36ja+HQBzCActZEdi4bU3mtSAX2tm9mtLe5R2GoB5S1yk3JEqGnoef
AaCWW4UylatqCskQlNaHOHdJ0Zc+QxSbHmBaqqn3nctyY3GuYy1kAJLONMcmThQveq6MM9vnEb5D
Tjah5dmtcx8mrn8XRqJ/bIQLKlwwXOH9pP26WGbypD2VWqLwVu2QPPtmhxbJJHVjOTPEL3qTd1Ff
VY9ZTqkZhpG83NlACsiNlDnDGnM2VkOPXWWlZJrekQyC6ueY6smk/eWspGN+MAQ/ODIzuWYFGuH0
0WG26avo3unNcd/WQ8r/td32zBCxe0i9qhzXzI6m7dDU2GjSqaEsws2H+yzz6YqN/SNTdnBvRaKe
getiC/Wq4SUdUjqZKwqXPYsGyGQek+eRQeMqkDMqcyedk99W82E2E2inJCZ2/uDzOfRIfCA3K/z8
6zAYiBioIvX4JlR9sW5nD55PNvB0LLGVrrqgKhkL0SfWRrzxsZ3FI6PTAJBCF+dbHodMpoA6b6jE
orsyjlfmLCzQVVAEVtDQ3M2iEnkmCObSAZ2q4TwLt9lBMZqZ5bOe4rMAWLAOWG8+593g/8akZyKm
5nvLIY368lMbBHBNRRRvS721YvoomMopIj/gBpo1JfQ+FqMO5EE9UkUyhMP11Fr2JgaOpws8RqgG
gX0GJjXeLJConWeebwQKagIx47qideEu72n7kYXH1KuaE/+hjCB9rj0jEivcsWwL6sn9tSABk+wi
6tH4ApnsBQvfKiBMz4809cxXdSHllqFVNDM1C+N7yTbgmpxzy8qrnIQ2m5G2zMXB3RW70WsyWM3D
EuOuXlVJuuuKQV150vNuujolAB11nbEZGm84OU3Zn2fgPvuwzuY7y+vlUzpVp27qzm24zJsusrvb
Sjbyk89quR/7TpzQAeO9SMIXNmrTjtbnzRgI9z5HdyhX3lgUROvJlJQnUPqk5rJooUUMbmCbr8mr
Nzm5Ln95GByz/XUuqpIetsgux1ULFXbl1AMXxGEGWwzCqD4pjFp3RqSWWyPFB7tNWmaIv4Z9+9QO
qi6ClcgGN7b3lcHidoxnIhjY2x4aq/zQQkRNz3XZBfGVU5vv/RS11zOq7Yp8YDccIUnFOtqlim1Y
5GnwEF2AnBloTtKjK0Ea7a5poXbqbg+B+cFrpw+LZnq6jgiT4I6ER3fH0+/Yf+V/fnOSv/sqkP1X
PVR3DT1O8v/+H33w/UY2oy4K6DqjrZCZEHGgH6NABZsl+jTNBgKTPjoBrGSbOCBvJ1/Vlf/VtM6A
7K8vBPaZJwKzMtvXf/6NPhcKNvNdyQuVKXhdzqkVHty6Y6/Gx6BhvBr8nkAl81cLC+5XtfdfvHpo
OmEU+XB8I5j1P6iDLXJTYCraR0Xe2k/+hM87gxPHVqIUh4YSYaKpfcB+0JgqdvA/v8bWjw76yEQN
tU3ybDDNaPv64b1PuK0Y7wiqZK2Wf32cksG9DooOtHcuOUG5luY2j64i0ZpotJwp6oEzQJ0E5SFx
Z+vp57+Qfrfff+hElBg8OkS+LZdp5vefBfgQ/G4Jh5lACPc4OcgPXgZveVHg5SNh/RP7zPvR9g27
ybGYdzIDNcl0/JjqYO6tUDplc6jpuLvCyNe+gq/hNjB6sBBkvD+lJWmQGyJlAylugQtOrSVVn9V1
7uUghy84Qr+rXXFbCY3bN3w4zwLC1MuYwmEeCwxNK3epY/bqlS8/m5BhI1QcGi4ebV8z+LsZIGQ2
gBHv29x7J2g69Y94Aj1J/snCtLmufbTlNwo16IbEIMEpPYk94N5OopnAPCaeqsAB91wq+Zl1ov4t
XMb60aFNkaLSTvL3oZy1mEzdeaYKaw4M/cA0OVVbRny/GHKQ9EFxWtyHCch9xV8Uty6gbn8vUgu7
uLRCQO/aMXWBSV8+9P/Im/8kb3LRucH/dwfAhy+y/6+/1Ti//uQfGmfwC9N9H1gdjag4tbWQ+YfG
af/ie4z5oU5G1u8QhT8sAOYvvmNiGA8BBjghbMo/Nc7gF5KfPuBGzTZjZhH9G43TD3/8klHQwoQF
zGFgaazej+ncRLmc8fMkPcoqGM5NWHtkDzGInh0w65vS1WpWQfPEA18slJ+EwplszjZMMqdDkQqD
zTnRqJ2gfu4xCvk7kVNGLxmo5D3gUuaIlx0VR6KOkbHeZ816ywV1IBC7IR9ivdtw2ZVFiKj01xWe
vxkjVWw8vYHrKHJFuR8Q0VQiGFiEyTOWIByxowf5KPJzALDTi3XZGbqxVM8L00IMOSVSxWiYm17v
JRO9q+wvG8xZ7zV73ILjejHi7sGDP49cRvPWRpgBO9TGuM/iNpebdM6ng+Acdb1Mql7NencLu2Q8
53rHG7fK2SFJpHd2JIloR4t+5wgxcmtXPvhbvXcmDc1uOKU16zFJPeBbepedS/4YTrt1jqzsGaeh
p00A43Xoql1I+9fa6Mxmk3AWSeAgu/1jgbZwFzeWcx9ftvnNZctP7xbpsTI0lk00xBEZ8RHOsD4n
+JwDN/zOxcaRHHHcJqJf1IAkFs/Oh6Eo2oPFoSPQpw9rSG9BG409mXLKWTcB09W1603uiujL4l7R
F61TQLXPTB7IPaav/hBNGjEjFZvDNlusrTHacNByxfFISEoc6SserpbQPvQcorDqehi5OFcVcf8S
18o8RZN4pnXdxQxu1m+6JOlkpWwV6XxLN+RDt4nVe5syT5IH6UKJZv8GnwhKNKn5yzEvopswWNF4
5t8mg/TvCseIN0aKqyEWsX0PPS/feomPlWNpv/SXwyTVav427rLkbuFEd5oj9ky5D4Van0NLfSIt
LY6VsPXie8vpPybMixBVg+KIxYrD7HQ52M6XQy5cO/lmTh1mxny07jnCe2eSPc5j4RPgM7x6YDcr
O3/dUx3Zr6a2Etcoi28T9Rs3BliDrT2ZX9y6eiN+h123wqJxHPWpvNTnc8ZjltxUQoWvDBSGp8XQ
ZrQxLrd+F3O8Xy5HffNy7I99Rve0Yk7TG1JvY24oHM7wK+JUg6aktYOFT3nrBTDJM2JTJr1QqAyF
1hvajtEHVk8V34/IEXRBvi4yejXFsBI8AxlVmAwlIz9ro7UbsDHfE+fmvKpFDqD/T1BHv5g0cmN+
1lKI0KKIhyk4vE1LGIK07GhYhW8TbWbt4F9gauDI9EbCcgr9aDrOVk26oPHddF4PiZzsa3mRZcIY
UsJ6EO1rdZFthFZwhCl3udZ0sNQ2K6F1HnVRfLT2MyACccZKKYvQwpC92GF1GGILTwZ2hvzMETUn
iyFR3Vez2XjXEl7VNnCa9JhWsbXtWl3RGFBabAGs/uCKSnmrfjnTSWUckl6m+yLkIBD7trHzYszO
kammXe1CwgdVUnyc0eM3FR7nc5gFOxeXDmlPBpWks91iBa7cu6e3pgDMir/VZ3S6DsfChcFUdae8
cPBwsL3Yj2SJ16NVJdfTSDZkPeQLlKzS9I4e+vs1Wo7xMuF2HEpC20WyqUoJ9DRLmnA7G061y9uz
r+aPpBj8TSOkfZyxym49/ta59Mzm2iqdLlt5roFpuMM1Ym48PPXBscBuzkolunsnEs4TSc507YN3
26QeIbq1ahe1j9mIMrUti+J10YBxdw6mMyM63NliZOYTUktPmydAmyASO5vhCWGS8aZcEvUb6BRw
XGMQ0OOZ0NgYZC34iVh+cmMfG3+AU3iV+rWlcZnDMa5UuW7Y9V5l5fCmM7c7UGPjoV66iW8pOOmF
gtdpAlhXZf0namOcchu4gbxyK5xaY2I9JoEf0gtf0T1majJOHeb7MsBUzhntICmjWVk8YLd10Cjs
pQboPFGbR1Pp5E1UpEd/giTIfNE8+z2Id57Y4U7C3LoaSHBQ0RZkiHPlQ6wNm4FMgv3URjKkrhIG
UEYGAOkqRAltWXsnayw3kWN3x47MK1HrpOg25uzcCavR4SQbfDtf0eu0TbKbDJPpuqBwYQ2LJtp4
2IJO9MXEu2noznNVdWAAZ/kZaXEmaN9CMi9LFHPHYYA+uOlRLNGvIfLNMfGoRI+SYTsU06+4GIat
aSlrOww8bmhxP4ZCJgdG/Q5x4/BmtOKHXtaYyiuoluEwevdgdqqdoKU+UfnDYErjfkrzu5nregJy
Y/NtLG+SoFp2s1/gZ52zxDOhmEsfdiUHbpcql5qzNnw8wcTmGYQ0R+yB6/rQDVninxYik+C/KTJo
tgywMLoxwweW15uOIqJDAw6lmX4dLuY2jaN2eawyMzI+TtKe1SZDQ1/IAsEeMMeixo82F1YJrTFg
O64OrZc9eoHwc7JhC1sZSSP8zQjmkdsKDXmF5Qjx3LTQnFVjzWDmyJbd2tTSppuWspgPTjvMH6rG
nE9Bn1v4kmu575QxgaCsAvhGlB2PJ9MvJpb+suYacJI4qMrEHFmxYoaF4b+rHMgPhpb8hEBNVSU2
heohXAZgAWYlmVp4W0zz007ZYfK5swdjL3vqSqUKux1+OeAtJC5ojKlZXovO4QKR6Zh3dHAmL7gO
W0LnFbWhbYFJOapIVGdicUfMmliYJ2Yq9JX6DlH2xm2ds2iHKt32tsCSgl14iMh45KO58zDAA91Q
aZivZTAwICuY3ClJMRg9AHIcjhfRqkwL42h0nc/GLzbJu+KmiW4taKb9uumXLtthdYcjFUYLvSfO
4G8KDGCv4CVh38y5md+HqegeqO6Y6JPyVUaIJPL2khjaDjC8f1isdEazK+aRzjUlAg4+QvUfSoLs
m1hG1lWVhxq0xYf/EbQORE7p7Z0+HjpIqP2gtEbl8PNZDLrTgfZK6g4zIhDerTMb2EWVzziLHVCH
Cx0A2tHNXPMDCYp8jQsmTtfJ4ITFrlVuzcCp6E3CM33/kcV7IRgifbhd1q9uAHkeq7VJgo79Vse8
DWGAASoszKkfcrUSg2eve8gJ7dr1U9BDnUT09Yt02IJquW69idjKVPVX0xB4Rz8NW7WuadG7l6UY
iq306nLvIuduIz400PMS+a6sXfV5jkOgiuy5n3EeBufYTWumJ8DqqXpha7aJEyuJroFH0fSjgo99
5cgPKkYO8BPPxfK3JGt79syjQITHRIpr9NVpXdJqKIIcbanV41liR9dlrtQX24iZj0DIfWc9zU7Z
ZFhQiV3/4ziCr4K2WgVQCUk8hpue3BJePeioqu6dB1Q9Z+v5E3X18Lm3hUt6FIVx2HrzOJ6XYJxI
4IAVk1g6KY+cEAthma4a7IrvZGYgedpN4+6srCGv11otR2+4AOuqmSmcifsOQgOIVHs0g892bc9X
DPOXmxDK02M7YW9as57nwMEs+RTVZvkxscwyQWfPIyBbSXxiYGOezDbudgH369nsEv/eWXoye2bb
HO2FUltjARwO96bdqjqw2Pub2P+9mIkkw5+Cpbmqd5Pfenua/urjbCK5t+Qkn8DQOzvDFNu+7fLb
LBH0JmvJNdfiK4vECH4A/b0JRnsjqfa5drQfKtXCbaElXHVRcwst7DZa4i0uYm/GHqWkWYINFFJw
elGFg4tArKXisW+mz/hB0Y9bLSWPF1V50gLzf87//y9wRaxF2u7zk/N/Jj81tczq7/xNX3/q97N/
6P/CAgZGCO2KwOWFTv772T+yf6Ek07cBnznhJfn9p+sRhyNSJ7kB/sTGfcSv8Y3/P0IMQ4m8CIP8
hv/C3/S9ngdRkfE0wUzkNf41jX/8Xs/DWZUWg5f6Z841WBkrotqehalxUQpnRy+wE31zgf5GNf67
F0QMoffcwgvqW1pV/kbMLXjXrd1W3tnxbFDIutGL+BJh6DLkNufJc/Pz1/te2vj6BgPX53rRFYPB
7AcESZT7HGlo/TgHTeq/5xEv4GjWtPTwuvz8pbT2+ac2enkpPmo+aw9QPWrlD29NpBN+r8Jyz0U1
0QsS5OLg9QuqrY9P5qZfluglKAgdCcLfDz9/6b95l18jJphr8Rr8KOBMHSuHaQj3LG3cBnXIBGjF
MRRoxJggLv78xX4QpS9vlDvQivQmHvqn/o58+xnO4NHZBmXueWp8XggICVaaKTeZAox9wIO2dqjc
OuHJxwqjRDrSlGE1FEXOEGDXJhv2f6jo+OvbRwsL4SqEFq4/BgXf/0IY2GPq0GL3HE4cqtcX24pp
FNn+//O1mPZDNuUW5sb54YZKkH5K7L0umRcqBgfXkJ85W9Nck9v/NHrQ1/H7G4p8j4su59F7C+oB
AfDb65z1rTD8ZnDPY5z+9tUGYwNM+/mn+XfXjkUIKhAvxir1w4dpIjsEPZVG50WXXubhyDzhQpqx
Ft3k+PMXs75PG+lbxzd1jYqNHs4l/JF2BojcGheC7+fchrGyIZmB2y02KEG8eHfCrvDeCZTyJc0i
SpCgnB+B0Dj/MFH6mzsY7w7Lnqm/qi50l++vbGwzu4r9wj3PZG9OTlGj3HUxjb2tIblDu4gRU1HY
zHbUAsJqc/ny4rmiDzIivvLzi/J3n4CrAbeR/qSDHxmCBZ0O1A+D3Je4Px+wvE5UBGP9c0HObP/9
SzGKCDHO82j5yzRlbkPRiKBzzpnH5Y0unkej1Pb2UJvBfv5i3y/1LN+aGmwGgHsZXv319m3TvgE1
0BqnWOlqRMNAz6kd+lSXiwWs1ka5n7+izud9843RL0lDTqA9wdxnYKd+eJxRCuXatLhFJ5Oj+B4v
IC4sKSiqJW4+P2QSXzv7eRqlOPDYT5d6qmqGcgexvp02+EpItmtP/2UFIWXFeEYtNq7DODXwUWZW
808XCW/y978zD36y0XiLkfKBvPBo/P5exOSeuzMHuBPFBtWO1oRl12Q+vHJLFsOqMSs1J+sSG1CD
Uytvlb+1+MfuBRPfi3+L3xEbBGtv7CX958Wp+s+zXXDrRunC98qGXpRuTJHDLPEuZcocFdz3LqWJ
FbAoFc85PyYIRxwDDE8Co4iN3VE3W/fIrmfMJJBTci4grNBc3SVZaYitT3bxBRCSkYPfijvrYEmP
44akuHraVBFFUutSZLGzSnBY+fuy7niNkCt9gcN0Hf20K3d0ifyhVuKMTYGur1rXal8VO+1lb8Sg
Tk8TniyMxEklNkpYtHFxOu0/F3nZvcJXtttTZelJLArunWH3Bn5ORqDZm6UiPrJgAVZewOinaLEr
mQvXfeG/F3BuGA6gSb8rK6IS+zJX9cfRe69UYX9qqUU+YBTuHoTfVxi4cLAFWUK0zZYRycYp8njC
oKXQzsZg4OzOeDXdGDyXM9NIe6liVq6d7WOH6nAhKVI1Gtt66i/FZhGOuAdsX8uLPUIn+Vq0fUma
WLOQnwugjPbKJyO4XWSMNSpUgsrvVvFpGrECSBPXXOUqVxZpDK6bizJDxat+otY8qXd00EBpVFUq
cj39papSBQF3tpv6rkJLUEtwSvXGhLbI+e5SaGZilHwoQODMmNAMmq85hFo3XdZx16CaUvzt66Zc
tP4W+aPBBL8ezTjwT61eL40xwB0s3bEr91Qx8stQ30NRheh5LvpNyvevMRPazypqBW9So6JBS12K
8OIm1PXQytUe6SLGS23V8NswERrRi8S9xayzhzqNsInv3Qp5FvWo8XTIUrRhr/qaSdu6dZLlegGQ
n6zpo/XeQdF4734KgYaJhYhKDn+WoJZtsQ/LgktsYye++1aPY/0ULpm6huxTblDKG2uVG6UVcvQ0
xSkrG5I1pbY5y3KGTVQvzbAxZew/wVXNIEX7lBSvAlKONyED/HPlprB3qyKiZcSTSOqMs7A0Leqp
AGeGr4lcPvYylbEzQg2gOlTW9z0UHwxW8VB9aTzR/xa6S3NEJRpu4K+Ck8BeR1RnKFiZ1kvJwsUp
Fd9Nb6j2o09FodxJT/mfiNFYG0mQ76qRpkh2mBkCSIJDi6Mrb+r92AzNTcSYAprTItO3xKHmJmh6
1HMO0/uuVvHZUn3Q7UM5+a+QQgGm1e3yRg6pOQH0x4g3T+7yhlGl4CxsL4zXRz7GMPZAiBRT/ZYz
neo39YivCw9dsNebURScuZPE7EVlbDv2gBrLUu2qEG8cCxMAgsaMHwbUq2NddO0xFzAHlDeoLzE9
hFsK0w2yu031MStGGs6RF/DfZBCMOkkpciHeif3y/cgWg5rPilKUUVi7imN8LkLjBuiyyfLvxPST
FsJBhfKD0mkwwOmRB9AKtN2k0Z98O12x0w0PuKiVt6kzKIxuDBeTuVoUb3DPoZVisiGWT5BgoUuV
2V4zPLcEGdr1WMvdoHmmdWp+KgPZfKT9015lkTXvpEHpylDye1BLWd3zVIIuvrC8X/luN8EtMflE
g8TOr5ogqu/MfmjhUTCrWhs+O7J3FZMYMOycr4TUrWTbpu3t/AwcWytZzozxndW2/5wIkwWJumLr
6Wuzt9mPES7jAdt9OCD6bGl2msFANx27dKQbzPC2ZzSvseXOd5eq+EBhZekZvYQMS7yY1IDtki0R
JV8A05pbuYeUyBLEaqyRCSTdjJlzlJQ5WzifwenT2Lp89YfU6w7uDFjq4FkFfJSW21ZrHnp8TJfF
K93ECfu5dIAl6jR2w3c+lSAR0AnD9jfVju5KjgGQjZKQxLbO3elLFVIItAZ/6H2I/Dg6ijSSByqx
0YjrOcmYmFl5+qsc+/e89RCf3CxJ1gBrOvmxZG5mPAK4IrYW2ikyN3yztV+SI06nqTvkOEF2sIzb
5yWCj74CejU9M1OuHvyk/c0ul4+z7Vq3RQ9VnXUVgIUdAQdxse5+Tvo0+bxk2X9zd27NiWJBHP8q
qXnXkosiDztVq7lNMsbJTGZmZ18sokROREAOCPrp9wdIRsxtKvCQWt4ipmmbPt3n9OXfybd5bPDm
WPFMRGEwjDnQ58CcgT8qsoZuVxoXIKIAfJkmLn3dkoISQmgxUbDzyEw7l/rK34xWkuBZD7CZ1iBc
LmLyt7yFe3Ju2dRtj77lk1SJ3FFKzc2YHgh3vKLm9+tS9Bk57iukUdYt94RArHYL9vz6EpgnwnLd
iSp6A9nXwOJh1CjR921CYfnKxVyYEyYuLfv6xSZZ306CVvItieaLayWOgQEilP/vIuktmFdFESS+
kvLPwYoqvisTLNhRSK7romUmZm/grOfSUkUSgLZJvtCj9O0SzILWZKBHAESfKZi8U0ahxAx9UVR1
MhA6nYqnjutpN4yapCbao788EM7kc2cTb68jp+Mzm2ye/IrdaEXOQkpdXKQiTbvDvt9pAeI1SfqL
q17aSYIz04nlOafc1ud7Y+t/p8uPKU8t5icBfdsyOgvaKfvJVYKHv1PWKzmKg2B9RmfI5pLaqaV7
HJjOhOyjwvHCwbidATutiGHAzqI1nK+N9fVcXRNV9u4nXYDVMXm/FmkEBvLG7X5OhYoZpQoA8MZV
sPaSY3UZxhMSsb46iozNtstwsBXgSX3X0DGISmL7KgDXpyYjBU7nAXPudX2lngCrQF9EbIivcqms
vjOHQP7o0+Rxsk7pRN3eE/hcGD0d9BEqp0mo3RvHWpAYggrkrTPrLCP8UNQBeR7sMeEe64jqy3rL
OYXeayOktnkixmqH/q9OmLRGXRGRKRLaSjvtt7SQ2szA656upNFNhr4qTHkWo7t3E9dJfwZ9LZom
3YkxS3oRw3A6QY8JoRIYUIab+q4BGlJf8++A+lrRpuaAfHVuRMFd10nnX+T9EiyErZDRhZakjj/w
fTAInFSsNgOdyjEQ1bxw3AK05UTt9CbRsTlnzz7fbtKUKlmfUQVdyq/6TIwAhqelG+t/wNT3aZ2a
b+/HtH8YHeBqPXfsmS4D9YgEt64dppkO8dlS0elRTdw0/pE6TKXUixPs/6YWavdDsjGLJ3mM8zq2
w81Xm3nwkSwDhdndvKzzxn/bl14mtBszU1RXTf3YizIO5sKvxEmBtt473T2wlPP7EgXXYi5OPLP/
+qCZ7W4nGwfJkS+/6N10mXm4u90yaThXqG3Kjtb5VTxwT0TPCeHl31dI8+XvVH6BNVsK7xh1D8U0
2o8V09JC52olwJyz9FgIByT2hGC0aZ3lwKuYhRAoId0XAonsNpsLYi56gfxcPPAdCUHVc1SaWlLQ
O20Cyl1in1mgl4vIwL4U+mqbO+Sx9N+qwgPfkRQUhcBYTV1QgZg1kQKhrSd1ASnofWQA2FlxnwXz
zqRAjRCvrq4uKGzMWPi7ZY/GV3TBZDpVv0chM6svv96bFDhs9FjG9aSgtilXJ7HDcNv8OjCORrdN
kSpg2lR85hdxqfelCxpAWsRKa0lBU9o68U4SaRlWANeBdcRFaEjIJA1bSKFQvj+yC3/wpQePO3SE
O8t9rbDlUy75uS+UXubx/Z2HyYe54UorX8xcb/Fs+yHR+bHiQnLTt3ezNIX5c3b/vvuBjx9deVb5
q8oPz4UdWuHUoQs0G2C3Y/PKWuKx/3atW2tJyrB4csY77wXN/M3JXx8qfO69/1cIy8UB3Sw1U5tu
KLa+VyVMmL4JwgvLk5YsKeWiAP+m/LvYPL1FFEPLZQJaeIC6Uew06oqD/ic/tGZ+yWXGNUB0mI76
lD3PnkZiGlc2SJRAsSLrEj+2XSuxQruklLHNVMEGhF1u6o78uyOEEy9vq2AndMo0oIWnSF3MqlpY
bBfqSubM9kFoqVLGK7BRrkv5HIkLUdLJ1VsD3L784O36/WlmORUFBCAuQ22py/AnJg8ykLi6Iovt
SG3S3oxBfVUpZ2g3DTDtJwdkzT7gWXUZvnxsm8jkKw0QhrN4utiUlHK96CHl8oO368VnPxbykZhN
9rr1aY8s4VWsByHhJtzLyCJadDiZlbEODbzCkSWlNSUEZkdRRadJeutNiERMHTG3qkd6DpsNrPCR
wBdIP6potsr5tYEFMxKSdnMpgqBimwC46TRE3Y/DQ9KNMO570YENydLqZn3lvrJvQ+tg90RJBE1l
te3Ilb22qn6Lo77WwPbpyk6Ozq1lIEEjrSxM6JsNrJ6M/oUdSntTCiGzVJzLMnzcutY1Iz6yUzGt
uDGIZwGAJoj/Ar6hpLTjOztP1iYNyL9zNLRCH09ZXZxaL6uxaeYBjxGVVeoiGtiSjB1RlXgReKrL
9XjhsiOpnmqIaZkNGNlxaM8Po6ac2OtL+ovteXLjrq2DYwIlfWoDfL82dfzhUPq20963V0cuNfKA
x4pIRCKrOaqrMTdI35bSrlgujXq0BizjjZ1WT5W7MEpdnp8Dd60p6R92uMSzlTLNrJWGK27AED7Z
l73DnqzJ9E8Lv8M4iOrSJKCoN7A0X20qr8v8S0XrdWlvfDId88rb7FFeXX7w3O7+qUjTQ3T+cfyp
TMA89W/V4Fr2jalrW+HH/wAAAP//</cx:binary>
              </cx:geoCache>
            </cx:geography>
          </cx:layoutPr>
          <cx:valueColors>
            <cx:maxColor>
              <a:srgbClr val="7B1290"/>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406399</xdr:colOff>
      <xdr:row>1</xdr:row>
      <xdr:rowOff>63499</xdr:rowOff>
    </xdr:from>
    <xdr:to>
      <xdr:col>21</xdr:col>
      <xdr:colOff>7056</xdr:colOff>
      <xdr:row>33</xdr:row>
      <xdr:rowOff>80493</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014568" y="251316"/>
          <a:ext cx="11764037" cy="6027135"/>
        </a:xfrm>
        <a:prstGeom prst="rect">
          <a:avLst/>
        </a:prstGeom>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509412</xdr:colOff>
      <xdr:row>6</xdr:row>
      <xdr:rowOff>88442</xdr:rowOff>
    </xdr:from>
    <xdr:to>
      <xdr:col>7</xdr:col>
      <xdr:colOff>169930</xdr:colOff>
      <xdr:row>17</xdr:row>
      <xdr:rowOff>125212</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117581" y="1215343"/>
          <a:ext cx="3309532" cy="2102756"/>
        </a:xfrm>
        <a:prstGeom prst="rect">
          <a:avLst/>
        </a:prstGeom>
        <a:gradFill flip="none" rotWithShape="1">
          <a:gsLst>
            <a:gs pos="54000">
              <a:schemeClr val="accent5">
                <a:lumMod val="50000"/>
              </a:schemeClr>
            </a:gs>
            <a:gs pos="100000">
              <a:srgbClr val="13213B"/>
            </a:gs>
            <a:gs pos="0">
              <a:schemeClr val="accent1">
                <a:lumMod val="40000"/>
                <a:lumOff val="60000"/>
              </a:schemeClr>
            </a:gs>
            <a:gs pos="100000">
              <a:schemeClr val="accent5">
                <a:lumMod val="50000"/>
              </a:schemeClr>
            </a:gs>
            <a:gs pos="34000">
              <a:schemeClr val="accent1">
                <a:lumMod val="50000"/>
              </a:schemeClr>
            </a:gs>
            <a:gs pos="23000">
              <a:schemeClr val="accent1">
                <a:lumMod val="75000"/>
              </a:schemeClr>
            </a:gs>
            <a:gs pos="81000">
              <a:schemeClr val="accent5">
                <a:lumMod val="50000"/>
              </a:schemeClr>
            </a:gs>
            <a:gs pos="75000">
              <a:schemeClr val="accent5">
                <a:lumMod val="50000"/>
              </a:schemeClr>
            </a:gs>
          </a:gsLst>
          <a:lin ang="2700000" scaled="1"/>
          <a:tileRect/>
        </a:gra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259365</xdr:colOff>
      <xdr:row>6</xdr:row>
      <xdr:rowOff>81389</xdr:rowOff>
    </xdr:from>
    <xdr:to>
      <xdr:col>13</xdr:col>
      <xdr:colOff>357746</xdr:colOff>
      <xdr:row>17</xdr:row>
      <xdr:rowOff>102557</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4516548" y="1208290"/>
          <a:ext cx="3747395" cy="2087154"/>
        </a:xfrm>
        <a:prstGeom prst="rect">
          <a:avLst/>
        </a:prstGeom>
        <a:gradFill flip="none" rotWithShape="1">
          <a:gsLst>
            <a:gs pos="22000">
              <a:schemeClr val="accent5">
                <a:lumMod val="50000"/>
              </a:schemeClr>
            </a:gs>
            <a:gs pos="95000">
              <a:srgbClr val="13213B"/>
            </a:gs>
            <a:gs pos="0">
              <a:schemeClr val="accent1">
                <a:lumMod val="40000"/>
                <a:lumOff val="60000"/>
              </a:schemeClr>
            </a:gs>
            <a:gs pos="31000">
              <a:schemeClr val="accent5">
                <a:lumMod val="50000"/>
              </a:schemeClr>
            </a:gs>
            <a:gs pos="18000">
              <a:schemeClr val="accent1">
                <a:lumMod val="50000"/>
              </a:schemeClr>
            </a:gs>
            <a:gs pos="2000">
              <a:schemeClr val="accent1">
                <a:lumMod val="75000"/>
              </a:schemeClr>
            </a:gs>
            <a:gs pos="31000">
              <a:schemeClr val="accent5">
                <a:lumMod val="50000"/>
              </a:schemeClr>
            </a:gs>
            <a:gs pos="31000">
              <a:schemeClr val="accent5">
                <a:lumMod val="50000"/>
              </a:schemeClr>
            </a:gs>
          </a:gsLst>
          <a:lin ang="2700000" scaled="1"/>
          <a:tileRect/>
        </a:gradFill>
        <a:ln>
          <a:noFill/>
        </a:ln>
        <a:effectLst>
          <a:outerShdw blurRad="50800" dist="50800" dir="5400000" algn="ctr" rotWithShape="0">
            <a:srgbClr val="000000">
              <a:alpha val="2000"/>
            </a:srgb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463281</xdr:colOff>
      <xdr:row>18</xdr:row>
      <xdr:rowOff>8943</xdr:rowOff>
    </xdr:from>
    <xdr:to>
      <xdr:col>13</xdr:col>
      <xdr:colOff>393521</xdr:colOff>
      <xdr:row>33</xdr:row>
      <xdr:rowOff>8942</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1071450" y="3389647"/>
          <a:ext cx="7228268" cy="2817253"/>
        </a:xfrm>
        <a:prstGeom prst="rect">
          <a:avLst/>
        </a:prstGeom>
        <a:gradFill flip="none" rotWithShape="1">
          <a:gsLst>
            <a:gs pos="22000">
              <a:schemeClr val="accent5">
                <a:lumMod val="50000"/>
              </a:schemeClr>
            </a:gs>
            <a:gs pos="95000">
              <a:srgbClr val="13213B"/>
            </a:gs>
            <a:gs pos="0">
              <a:schemeClr val="accent1">
                <a:lumMod val="40000"/>
                <a:lumOff val="60000"/>
              </a:schemeClr>
            </a:gs>
            <a:gs pos="84000">
              <a:schemeClr val="tx1">
                <a:lumMod val="95000"/>
                <a:lumOff val="5000"/>
              </a:schemeClr>
            </a:gs>
            <a:gs pos="25000">
              <a:schemeClr val="accent5">
                <a:lumMod val="50000"/>
              </a:schemeClr>
            </a:gs>
            <a:gs pos="18000">
              <a:schemeClr val="accent1">
                <a:lumMod val="50000"/>
              </a:schemeClr>
            </a:gs>
            <a:gs pos="2000">
              <a:schemeClr val="accent1">
                <a:lumMod val="75000"/>
              </a:schemeClr>
            </a:gs>
            <a:gs pos="32000">
              <a:schemeClr val="accent5">
                <a:lumMod val="50000"/>
              </a:schemeClr>
            </a:gs>
            <a:gs pos="34000">
              <a:schemeClr val="accent5">
                <a:lumMod val="50000"/>
              </a:schemeClr>
            </a:gs>
          </a:gsLst>
          <a:lin ang="2700000" scaled="1"/>
          <a:tileRect/>
        </a:gradFill>
        <a:ln>
          <a:noFill/>
        </a:ln>
        <a:effectLst>
          <a:outerShdw blurRad="50800" dist="50800" dir="5400000" algn="ctr" rotWithShape="0">
            <a:srgbClr val="000000">
              <a:alpha val="2000"/>
            </a:srgb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474014</xdr:colOff>
      <xdr:row>6</xdr:row>
      <xdr:rowOff>107324</xdr:rowOff>
    </xdr:from>
    <xdr:to>
      <xdr:col>20</xdr:col>
      <xdr:colOff>500845</xdr:colOff>
      <xdr:row>20</xdr:row>
      <xdr:rowOff>56366</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8380211" y="1234225"/>
          <a:ext cx="4284014" cy="2578479"/>
        </a:xfrm>
        <a:prstGeom prst="rect">
          <a:avLst/>
        </a:prstGeom>
        <a:gradFill flip="none" rotWithShape="1">
          <a:gsLst>
            <a:gs pos="54000">
              <a:schemeClr val="accent5">
                <a:lumMod val="50000"/>
              </a:schemeClr>
            </a:gs>
            <a:gs pos="100000">
              <a:srgbClr val="13213B"/>
            </a:gs>
            <a:gs pos="0">
              <a:schemeClr val="accent1">
                <a:lumMod val="40000"/>
                <a:lumOff val="60000"/>
              </a:schemeClr>
            </a:gs>
            <a:gs pos="100000">
              <a:schemeClr val="accent5">
                <a:lumMod val="50000"/>
              </a:schemeClr>
            </a:gs>
            <a:gs pos="34000">
              <a:schemeClr val="accent1">
                <a:lumMod val="50000"/>
              </a:schemeClr>
            </a:gs>
            <a:gs pos="23000">
              <a:schemeClr val="accent1">
                <a:lumMod val="75000"/>
              </a:schemeClr>
            </a:gs>
            <a:gs pos="81000">
              <a:schemeClr val="accent5">
                <a:lumMod val="50000"/>
              </a:schemeClr>
            </a:gs>
            <a:gs pos="75000">
              <a:schemeClr val="accent5">
                <a:lumMod val="50000"/>
              </a:schemeClr>
            </a:gs>
          </a:gsLst>
          <a:lin ang="2700000" scaled="1"/>
          <a:tileRect/>
        </a:gra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xdr:colOff>
      <xdr:row>1</xdr:row>
      <xdr:rowOff>71550</xdr:rowOff>
    </xdr:from>
    <xdr:to>
      <xdr:col>10</xdr:col>
      <xdr:colOff>599227</xdr:colOff>
      <xdr:row>8</xdr:row>
      <xdr:rowOff>143099</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2432677" y="259367"/>
          <a:ext cx="4248240" cy="1386267"/>
        </a:xfrm>
        <a:prstGeom prst="rect">
          <a:avLst/>
        </a:prstGeom>
        <a:gradFill flip="none" rotWithShape="1">
          <a:gsLst>
            <a:gs pos="54000">
              <a:schemeClr val="accent5">
                <a:lumMod val="50000"/>
              </a:schemeClr>
            </a:gs>
            <a:gs pos="100000">
              <a:srgbClr val="13213B"/>
            </a:gs>
            <a:gs pos="0">
              <a:schemeClr val="accent1">
                <a:lumMod val="40000"/>
                <a:lumOff val="60000"/>
              </a:schemeClr>
            </a:gs>
            <a:gs pos="100000">
              <a:schemeClr val="accent5">
                <a:lumMod val="50000"/>
              </a:schemeClr>
            </a:gs>
            <a:gs pos="34000">
              <a:schemeClr val="accent1">
                <a:lumMod val="50000"/>
              </a:schemeClr>
            </a:gs>
            <a:gs pos="23000">
              <a:schemeClr val="accent1">
                <a:lumMod val="75000"/>
              </a:schemeClr>
            </a:gs>
            <a:gs pos="81000">
              <a:schemeClr val="accent5">
                <a:lumMod val="50000"/>
              </a:schemeClr>
            </a:gs>
            <a:gs pos="75000">
              <a:schemeClr val="accent5">
                <a:lumMod val="50000"/>
              </a:schemeClr>
            </a:gs>
          </a:gsLst>
          <a:lin ang="2700000" scaled="1"/>
          <a:tileRect/>
        </a:gra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411409</xdr:colOff>
      <xdr:row>20</xdr:row>
      <xdr:rowOff>35775</xdr:rowOff>
    </xdr:from>
    <xdr:to>
      <xdr:col>20</xdr:col>
      <xdr:colOff>545564</xdr:colOff>
      <xdr:row>32</xdr:row>
      <xdr:rowOff>178873</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8317606" y="3792113"/>
          <a:ext cx="4391338" cy="2396901"/>
        </a:xfrm>
        <a:prstGeom prst="rect">
          <a:avLst/>
        </a:prstGeom>
        <a:gradFill flip="none" rotWithShape="1">
          <a:gsLst>
            <a:gs pos="22000">
              <a:schemeClr val="accent5">
                <a:lumMod val="50000"/>
              </a:schemeClr>
            </a:gs>
            <a:gs pos="95000">
              <a:srgbClr val="13213B"/>
            </a:gs>
            <a:gs pos="0">
              <a:schemeClr val="accent1">
                <a:lumMod val="40000"/>
                <a:lumOff val="60000"/>
              </a:schemeClr>
            </a:gs>
            <a:gs pos="84000">
              <a:schemeClr val="tx1">
                <a:lumMod val="95000"/>
                <a:lumOff val="5000"/>
              </a:schemeClr>
            </a:gs>
            <a:gs pos="25000">
              <a:schemeClr val="accent5">
                <a:lumMod val="50000"/>
              </a:schemeClr>
            </a:gs>
            <a:gs pos="18000">
              <a:schemeClr val="accent1">
                <a:lumMod val="50000"/>
              </a:schemeClr>
            </a:gs>
            <a:gs pos="2000">
              <a:schemeClr val="accent1">
                <a:lumMod val="75000"/>
              </a:schemeClr>
            </a:gs>
            <a:gs pos="32000">
              <a:schemeClr val="accent5">
                <a:lumMod val="50000"/>
              </a:schemeClr>
            </a:gs>
            <a:gs pos="34000">
              <a:schemeClr val="accent5">
                <a:lumMod val="50000"/>
              </a:schemeClr>
            </a:gs>
          </a:gsLst>
          <a:lin ang="2700000" scaled="1"/>
          <a:tileRect/>
        </a:gradFill>
        <a:ln>
          <a:noFill/>
        </a:ln>
        <a:effectLst>
          <a:outerShdw blurRad="50800" dist="50800" dir="5400000" algn="ctr" rotWithShape="0">
            <a:srgbClr val="000000">
              <a:alpha val="2000"/>
            </a:srgb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456126</xdr:colOff>
      <xdr:row>22</xdr:row>
      <xdr:rowOff>44718</xdr:rowOff>
    </xdr:from>
    <xdr:to>
      <xdr:col>13</xdr:col>
      <xdr:colOff>268310</xdr:colOff>
      <xdr:row>32</xdr:row>
      <xdr:rowOff>169930</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375633</xdr:colOff>
      <xdr:row>9</xdr:row>
      <xdr:rowOff>134155</xdr:rowOff>
    </xdr:from>
    <xdr:to>
      <xdr:col>13</xdr:col>
      <xdr:colOff>223592</xdr:colOff>
      <xdr:row>17</xdr:row>
      <xdr:rowOff>80493</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503621</xdr:colOff>
      <xdr:row>0</xdr:row>
      <xdr:rowOff>104775</xdr:rowOff>
    </xdr:from>
    <xdr:to>
      <xdr:col>18</xdr:col>
      <xdr:colOff>32845</xdr:colOff>
      <xdr:row>25</xdr:row>
      <xdr:rowOff>153276</xdr:rowOff>
    </xdr:to>
    <xdr:sp macro="" textlink="">
      <xdr:nvSpPr>
        <xdr:cNvPr id="2" name="Rectangle 1">
          <a:extLst>
            <a:ext uri="{FF2B5EF4-FFF2-40B4-BE49-F238E27FC236}">
              <a16:creationId xmlns:a16="http://schemas.microsoft.com/office/drawing/2014/main" id="{E3FFD06A-B4A8-F3D4-4F3D-2A491178CCA7}"/>
            </a:ext>
          </a:extLst>
        </xdr:cNvPr>
        <xdr:cNvSpPr/>
      </xdr:nvSpPr>
      <xdr:spPr>
        <a:xfrm>
          <a:off x="503621" y="104775"/>
          <a:ext cx="10565086" cy="4701518"/>
        </a:xfrm>
        <a:prstGeom prst="rect">
          <a:avLst/>
        </a:prstGeom>
        <a:solidFill>
          <a:schemeClr val="tx1">
            <a:lumMod val="95000"/>
            <a:lumOff val="5000"/>
          </a:schemeClr>
        </a:solidFill>
        <a:ln>
          <a:solidFill>
            <a:schemeClr val="tx1">
              <a:lumMod val="85000"/>
              <a:lumOff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428625</xdr:colOff>
      <xdr:row>2</xdr:row>
      <xdr:rowOff>170573</xdr:rowOff>
    </xdr:from>
    <xdr:to>
      <xdr:col>5</xdr:col>
      <xdr:colOff>43792</xdr:colOff>
      <xdr:row>7</xdr:row>
      <xdr:rowOff>37223</xdr:rowOff>
    </xdr:to>
    <xdr:sp macro="" textlink="">
      <xdr:nvSpPr>
        <xdr:cNvPr id="3" name="Rectangle 2">
          <a:extLst>
            <a:ext uri="{FF2B5EF4-FFF2-40B4-BE49-F238E27FC236}">
              <a16:creationId xmlns:a16="http://schemas.microsoft.com/office/drawing/2014/main" id="{CA4221FB-34F1-13FA-BDFF-D842CA056CC1}"/>
            </a:ext>
          </a:extLst>
        </xdr:cNvPr>
        <xdr:cNvSpPr/>
      </xdr:nvSpPr>
      <xdr:spPr>
        <a:xfrm>
          <a:off x="1654832" y="542814"/>
          <a:ext cx="1454477" cy="797254"/>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324836</xdr:colOff>
      <xdr:row>7</xdr:row>
      <xdr:rowOff>120431</xdr:rowOff>
    </xdr:from>
    <xdr:to>
      <xdr:col>11</xdr:col>
      <xdr:colOff>186121</xdr:colOff>
      <xdr:row>16</xdr:row>
      <xdr:rowOff>98535</xdr:rowOff>
    </xdr:to>
    <xdr:sp macro="" textlink="">
      <xdr:nvSpPr>
        <xdr:cNvPr id="4" name="Rectangle 3">
          <a:extLst>
            <a:ext uri="{FF2B5EF4-FFF2-40B4-BE49-F238E27FC236}">
              <a16:creationId xmlns:a16="http://schemas.microsoft.com/office/drawing/2014/main" id="{B7CC6331-9607-49D5-B68F-35B1A6890C0F}"/>
            </a:ext>
          </a:extLst>
        </xdr:cNvPr>
        <xdr:cNvSpPr/>
      </xdr:nvSpPr>
      <xdr:spPr>
        <a:xfrm>
          <a:off x="1551043" y="1423276"/>
          <a:ext cx="5379216" cy="165319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5</xdr:col>
      <xdr:colOff>154946</xdr:colOff>
      <xdr:row>3</xdr:row>
      <xdr:rowOff>6349</xdr:rowOff>
    </xdr:from>
    <xdr:to>
      <xdr:col>7</xdr:col>
      <xdr:colOff>311067</xdr:colOff>
      <xdr:row>7</xdr:row>
      <xdr:rowOff>59120</xdr:rowOff>
    </xdr:to>
    <xdr:sp macro="" textlink="">
      <xdr:nvSpPr>
        <xdr:cNvPr id="5" name="Rectangle 4">
          <a:extLst>
            <a:ext uri="{FF2B5EF4-FFF2-40B4-BE49-F238E27FC236}">
              <a16:creationId xmlns:a16="http://schemas.microsoft.com/office/drawing/2014/main" id="{59E1A422-E9E4-4DDA-8DBC-5E2EE29463DC}"/>
            </a:ext>
          </a:extLst>
        </xdr:cNvPr>
        <xdr:cNvSpPr/>
      </xdr:nvSpPr>
      <xdr:spPr>
        <a:xfrm>
          <a:off x="3220463" y="564711"/>
          <a:ext cx="1382328" cy="797254"/>
        </a:xfrm>
        <a:prstGeom prst="rect">
          <a:avLst/>
        </a:prstGeom>
        <a:solidFill>
          <a:srgbClr val="C938E6">
            <a:alpha val="24000"/>
          </a:srgb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7</xdr:col>
      <xdr:colOff>378427</xdr:colOff>
      <xdr:row>2</xdr:row>
      <xdr:rowOff>170573</xdr:rowOff>
    </xdr:from>
    <xdr:to>
      <xdr:col>9</xdr:col>
      <xdr:colOff>509696</xdr:colOff>
      <xdr:row>7</xdr:row>
      <xdr:rowOff>37223</xdr:rowOff>
    </xdr:to>
    <xdr:sp macro="" textlink="">
      <xdr:nvSpPr>
        <xdr:cNvPr id="6" name="Rectangle 5">
          <a:extLst>
            <a:ext uri="{FF2B5EF4-FFF2-40B4-BE49-F238E27FC236}">
              <a16:creationId xmlns:a16="http://schemas.microsoft.com/office/drawing/2014/main" id="{FA2BE956-F049-59B9-08BD-7E0278AB416D}"/>
            </a:ext>
          </a:extLst>
        </xdr:cNvPr>
        <xdr:cNvSpPr/>
      </xdr:nvSpPr>
      <xdr:spPr>
        <a:xfrm>
          <a:off x="4670151" y="542814"/>
          <a:ext cx="1357476" cy="797254"/>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317499</xdr:colOff>
      <xdr:row>16</xdr:row>
      <xdr:rowOff>131379</xdr:rowOff>
    </xdr:from>
    <xdr:to>
      <xdr:col>6</xdr:col>
      <xdr:colOff>273707</xdr:colOff>
      <xdr:row>25</xdr:row>
      <xdr:rowOff>76638</xdr:rowOff>
    </xdr:to>
    <xdr:sp macro="" textlink="">
      <xdr:nvSpPr>
        <xdr:cNvPr id="7" name="Rectangle 6">
          <a:extLst>
            <a:ext uri="{FF2B5EF4-FFF2-40B4-BE49-F238E27FC236}">
              <a16:creationId xmlns:a16="http://schemas.microsoft.com/office/drawing/2014/main" id="{A42BC5EF-A02B-4469-9CA2-0E0E320CAB5E}"/>
            </a:ext>
          </a:extLst>
        </xdr:cNvPr>
        <xdr:cNvSpPr/>
      </xdr:nvSpPr>
      <xdr:spPr>
        <a:xfrm>
          <a:off x="1543706" y="3109310"/>
          <a:ext cx="2408622" cy="1620345"/>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295603</xdr:colOff>
      <xdr:row>16</xdr:row>
      <xdr:rowOff>131380</xdr:rowOff>
    </xdr:from>
    <xdr:to>
      <xdr:col>18</xdr:col>
      <xdr:colOff>0</xdr:colOff>
      <xdr:row>25</xdr:row>
      <xdr:rowOff>97110</xdr:rowOff>
    </xdr:to>
    <xdr:sp macro="" textlink="">
      <xdr:nvSpPr>
        <xdr:cNvPr id="8" name="Rectangle 7">
          <a:extLst>
            <a:ext uri="{FF2B5EF4-FFF2-40B4-BE49-F238E27FC236}">
              <a16:creationId xmlns:a16="http://schemas.microsoft.com/office/drawing/2014/main" id="{F654F6F5-4B9A-42DA-A58C-C05223C228B9}"/>
            </a:ext>
          </a:extLst>
        </xdr:cNvPr>
        <xdr:cNvSpPr/>
      </xdr:nvSpPr>
      <xdr:spPr>
        <a:xfrm>
          <a:off x="7039741" y="3109311"/>
          <a:ext cx="3996121" cy="1640816"/>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273707</xdr:colOff>
      <xdr:row>7</xdr:row>
      <xdr:rowOff>120430</xdr:rowOff>
    </xdr:from>
    <xdr:to>
      <xdr:col>18</xdr:col>
      <xdr:colOff>1</xdr:colOff>
      <xdr:row>16</xdr:row>
      <xdr:rowOff>65689</xdr:rowOff>
    </xdr:to>
    <xdr:sp macro="" textlink="">
      <xdr:nvSpPr>
        <xdr:cNvPr id="9" name="Rectangle 8">
          <a:extLst>
            <a:ext uri="{FF2B5EF4-FFF2-40B4-BE49-F238E27FC236}">
              <a16:creationId xmlns:a16="http://schemas.microsoft.com/office/drawing/2014/main" id="{C7825795-94E4-433B-B40A-F46634EBAE20}"/>
            </a:ext>
          </a:extLst>
        </xdr:cNvPr>
        <xdr:cNvSpPr/>
      </xdr:nvSpPr>
      <xdr:spPr>
        <a:xfrm>
          <a:off x="7017845" y="1423275"/>
          <a:ext cx="4018018" cy="1620345"/>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6</xdr:col>
      <xdr:colOff>383189</xdr:colOff>
      <xdr:row>16</xdr:row>
      <xdr:rowOff>131380</xdr:rowOff>
    </xdr:from>
    <xdr:to>
      <xdr:col>11</xdr:col>
      <xdr:colOff>197069</xdr:colOff>
      <xdr:row>25</xdr:row>
      <xdr:rowOff>85286</xdr:rowOff>
    </xdr:to>
    <xdr:sp macro="" textlink="">
      <xdr:nvSpPr>
        <xdr:cNvPr id="10" name="Rectangle 9">
          <a:extLst>
            <a:ext uri="{FF2B5EF4-FFF2-40B4-BE49-F238E27FC236}">
              <a16:creationId xmlns:a16="http://schemas.microsoft.com/office/drawing/2014/main" id="{980C0A9D-DA33-4BE7-AEC6-348A3ED5A3E5}"/>
            </a:ext>
          </a:extLst>
        </xdr:cNvPr>
        <xdr:cNvSpPr/>
      </xdr:nvSpPr>
      <xdr:spPr>
        <a:xfrm>
          <a:off x="4061810" y="3109311"/>
          <a:ext cx="2879397" cy="1628992"/>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10</xdr:col>
      <xdr:colOff>84384</xdr:colOff>
      <xdr:row>2</xdr:row>
      <xdr:rowOff>170573</xdr:rowOff>
    </xdr:from>
    <xdr:to>
      <xdr:col>12</xdr:col>
      <xdr:colOff>215653</xdr:colOff>
      <xdr:row>7</xdr:row>
      <xdr:rowOff>37223</xdr:rowOff>
    </xdr:to>
    <xdr:sp macro="" textlink="">
      <xdr:nvSpPr>
        <xdr:cNvPr id="11" name="Rectangle 10">
          <a:extLst>
            <a:ext uri="{FF2B5EF4-FFF2-40B4-BE49-F238E27FC236}">
              <a16:creationId xmlns:a16="http://schemas.microsoft.com/office/drawing/2014/main" id="{D26BA427-3D97-4D69-B3B3-FB9ACFDF3C59}"/>
            </a:ext>
          </a:extLst>
        </xdr:cNvPr>
        <xdr:cNvSpPr/>
      </xdr:nvSpPr>
      <xdr:spPr>
        <a:xfrm>
          <a:off x="6215418" y="542814"/>
          <a:ext cx="1357476" cy="797254"/>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12</xdr:col>
      <xdr:colOff>403444</xdr:colOff>
      <xdr:row>2</xdr:row>
      <xdr:rowOff>170573</xdr:rowOff>
    </xdr:from>
    <xdr:to>
      <xdr:col>15</xdr:col>
      <xdr:colOff>120431</xdr:colOff>
      <xdr:row>7</xdr:row>
      <xdr:rowOff>37223</xdr:rowOff>
    </xdr:to>
    <xdr:sp macro="" textlink="">
      <xdr:nvSpPr>
        <xdr:cNvPr id="12" name="Rectangle 11">
          <a:extLst>
            <a:ext uri="{FF2B5EF4-FFF2-40B4-BE49-F238E27FC236}">
              <a16:creationId xmlns:a16="http://schemas.microsoft.com/office/drawing/2014/main" id="{63130475-A41F-492A-8D3B-A48A1FCA5160}"/>
            </a:ext>
          </a:extLst>
        </xdr:cNvPr>
        <xdr:cNvSpPr/>
      </xdr:nvSpPr>
      <xdr:spPr>
        <a:xfrm>
          <a:off x="7760685" y="542814"/>
          <a:ext cx="1556298" cy="797254"/>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339396</xdr:colOff>
      <xdr:row>8</xdr:row>
      <xdr:rowOff>164224</xdr:rowOff>
    </xdr:from>
    <xdr:to>
      <xdr:col>17</xdr:col>
      <xdr:colOff>591207</xdr:colOff>
      <xdr:row>16</xdr:row>
      <xdr:rowOff>54741</xdr:rowOff>
    </xdr:to>
    <xdr:graphicFrame macro="">
      <xdr:nvGraphicFramePr>
        <xdr:cNvPr id="14" name="Chart 13">
          <a:extLst>
            <a:ext uri="{FF2B5EF4-FFF2-40B4-BE49-F238E27FC236}">
              <a16:creationId xmlns:a16="http://schemas.microsoft.com/office/drawing/2014/main" id="{4F566F59-1FF5-4C4A-82F6-4499CDD1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273706</xdr:colOff>
      <xdr:row>18</xdr:row>
      <xdr:rowOff>21898</xdr:rowOff>
    </xdr:from>
    <xdr:to>
      <xdr:col>17</xdr:col>
      <xdr:colOff>613102</xdr:colOff>
      <xdr:row>25</xdr:row>
      <xdr:rowOff>43795</xdr:rowOff>
    </xdr:to>
    <xdr:graphicFrame macro="">
      <xdr:nvGraphicFramePr>
        <xdr:cNvPr id="15" name="Chart 14">
          <a:extLst>
            <a:ext uri="{FF2B5EF4-FFF2-40B4-BE49-F238E27FC236}">
              <a16:creationId xmlns:a16="http://schemas.microsoft.com/office/drawing/2014/main" id="{A934758D-165E-4074-8D53-9464C28A1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350345</xdr:colOff>
      <xdr:row>18</xdr:row>
      <xdr:rowOff>164223</xdr:rowOff>
    </xdr:from>
    <xdr:to>
      <xdr:col>6</xdr:col>
      <xdr:colOff>197069</xdr:colOff>
      <xdr:row>25</xdr:row>
      <xdr:rowOff>120429</xdr:rowOff>
    </xdr:to>
    <xdr:graphicFrame macro="">
      <xdr:nvGraphicFramePr>
        <xdr:cNvPr id="16" name="Chart 15">
          <a:extLst>
            <a:ext uri="{FF2B5EF4-FFF2-40B4-BE49-F238E27FC236}">
              <a16:creationId xmlns:a16="http://schemas.microsoft.com/office/drawing/2014/main" id="{95B154CE-77A7-4A8C-911B-9427BD6FA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513694</xdr:colOff>
      <xdr:row>0</xdr:row>
      <xdr:rowOff>153275</xdr:rowOff>
    </xdr:from>
    <xdr:to>
      <xdr:col>2</xdr:col>
      <xdr:colOff>262759</xdr:colOff>
      <xdr:row>25</xdr:row>
      <xdr:rowOff>119555</xdr:rowOff>
    </xdr:to>
    <xdr:sp macro="" textlink="">
      <xdr:nvSpPr>
        <xdr:cNvPr id="18" name="Rectangle 17">
          <a:extLst>
            <a:ext uri="{FF2B5EF4-FFF2-40B4-BE49-F238E27FC236}">
              <a16:creationId xmlns:a16="http://schemas.microsoft.com/office/drawing/2014/main" id="{27219615-4E02-4F87-987E-704104A923BC}"/>
            </a:ext>
          </a:extLst>
        </xdr:cNvPr>
        <xdr:cNvSpPr/>
      </xdr:nvSpPr>
      <xdr:spPr>
        <a:xfrm>
          <a:off x="513694" y="153275"/>
          <a:ext cx="975272" cy="4619297"/>
        </a:xfrm>
        <a:prstGeom prst="rect">
          <a:avLst/>
        </a:prstGeom>
        <a:solidFill>
          <a:schemeClr val="tx1">
            <a:lumMod val="95000"/>
            <a:lumOff val="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7</xdr:col>
      <xdr:colOff>10948</xdr:colOff>
      <xdr:row>17</xdr:row>
      <xdr:rowOff>153276</xdr:rowOff>
    </xdr:from>
    <xdr:to>
      <xdr:col>10</xdr:col>
      <xdr:colOff>448880</xdr:colOff>
      <xdr:row>25</xdr:row>
      <xdr:rowOff>120431</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8316BD67-7158-4E3B-A568-3A59F7D40D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302672" y="3317328"/>
              <a:ext cx="2277242" cy="1456120"/>
            </a:xfrm>
            <a:prstGeom prst="rect">
              <a:avLst/>
            </a:prstGeom>
            <a:solidFill>
              <a:prstClr val="white"/>
            </a:solidFill>
            <a:ln w="1">
              <a:solidFill>
                <a:prstClr val="green"/>
              </a:solidFill>
            </a:ln>
          </xdr:spPr>
          <xdr:txBody>
            <a:bodyPr vertOverflow="clip" horzOverflow="clip"/>
            <a:lstStyle/>
            <a:p>
              <a:r>
                <a:rPr lang="en-ZW"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426983</xdr:colOff>
      <xdr:row>3</xdr:row>
      <xdr:rowOff>76638</xdr:rowOff>
    </xdr:from>
    <xdr:to>
      <xdr:col>4</xdr:col>
      <xdr:colOff>251810</xdr:colOff>
      <xdr:row>6</xdr:row>
      <xdr:rowOff>76638</xdr:rowOff>
    </xdr:to>
    <xdr:sp macro="" textlink="">
      <xdr:nvSpPr>
        <xdr:cNvPr id="21" name="TextBox 20">
          <a:extLst>
            <a:ext uri="{FF2B5EF4-FFF2-40B4-BE49-F238E27FC236}">
              <a16:creationId xmlns:a16="http://schemas.microsoft.com/office/drawing/2014/main" id="{FAD690CB-0404-A91A-6A74-17AE8A85DB69}"/>
            </a:ext>
          </a:extLst>
        </xdr:cNvPr>
        <xdr:cNvSpPr txBox="1"/>
      </xdr:nvSpPr>
      <xdr:spPr>
        <a:xfrm>
          <a:off x="1653190" y="635000"/>
          <a:ext cx="1051034"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Revenue</a:t>
          </a:r>
        </a:p>
      </xdr:txBody>
    </xdr:sp>
    <xdr:clientData/>
  </xdr:twoCellAnchor>
  <xdr:twoCellAnchor>
    <xdr:from>
      <xdr:col>5</xdr:col>
      <xdr:colOff>130503</xdr:colOff>
      <xdr:row>3</xdr:row>
      <xdr:rowOff>42918</xdr:rowOff>
    </xdr:from>
    <xdr:to>
      <xdr:col>7</xdr:col>
      <xdr:colOff>229037</xdr:colOff>
      <xdr:row>6</xdr:row>
      <xdr:rowOff>42918</xdr:rowOff>
    </xdr:to>
    <xdr:sp macro="" textlink="">
      <xdr:nvSpPr>
        <xdr:cNvPr id="22" name="TextBox 21">
          <a:extLst>
            <a:ext uri="{FF2B5EF4-FFF2-40B4-BE49-F238E27FC236}">
              <a16:creationId xmlns:a16="http://schemas.microsoft.com/office/drawing/2014/main" id="{7D1C6084-B83B-469A-9926-172CF956B384}"/>
            </a:ext>
          </a:extLst>
        </xdr:cNvPr>
        <xdr:cNvSpPr txBox="1"/>
      </xdr:nvSpPr>
      <xdr:spPr>
        <a:xfrm>
          <a:off x="3196020" y="601280"/>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Price</a:t>
          </a:r>
        </a:p>
      </xdr:txBody>
    </xdr:sp>
    <xdr:clientData/>
  </xdr:twoCellAnchor>
  <xdr:twoCellAnchor>
    <xdr:from>
      <xdr:col>7</xdr:col>
      <xdr:colOff>271954</xdr:colOff>
      <xdr:row>3</xdr:row>
      <xdr:rowOff>9197</xdr:rowOff>
    </xdr:from>
    <xdr:to>
      <xdr:col>9</xdr:col>
      <xdr:colOff>370488</xdr:colOff>
      <xdr:row>6</xdr:row>
      <xdr:rowOff>9197</xdr:rowOff>
    </xdr:to>
    <xdr:sp macro="" textlink="">
      <xdr:nvSpPr>
        <xdr:cNvPr id="23" name="TextBox 22">
          <a:extLst>
            <a:ext uri="{FF2B5EF4-FFF2-40B4-BE49-F238E27FC236}">
              <a16:creationId xmlns:a16="http://schemas.microsoft.com/office/drawing/2014/main" id="{C58F17B9-44B6-4666-8ED1-9D6902C4110B}"/>
            </a:ext>
          </a:extLst>
        </xdr:cNvPr>
        <xdr:cNvSpPr txBox="1"/>
      </xdr:nvSpPr>
      <xdr:spPr>
        <a:xfrm>
          <a:off x="4563678" y="567559"/>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Total Profit</a:t>
          </a:r>
        </a:p>
      </xdr:txBody>
    </xdr:sp>
    <xdr:clientData/>
  </xdr:twoCellAnchor>
  <xdr:twoCellAnchor>
    <xdr:from>
      <xdr:col>9</xdr:col>
      <xdr:colOff>579494</xdr:colOff>
      <xdr:row>2</xdr:row>
      <xdr:rowOff>181522</xdr:rowOff>
    </xdr:from>
    <xdr:to>
      <xdr:col>12</xdr:col>
      <xdr:colOff>64925</xdr:colOff>
      <xdr:row>5</xdr:row>
      <xdr:rowOff>181522</xdr:rowOff>
    </xdr:to>
    <xdr:sp macro="" textlink="">
      <xdr:nvSpPr>
        <xdr:cNvPr id="24" name="TextBox 23">
          <a:extLst>
            <a:ext uri="{FF2B5EF4-FFF2-40B4-BE49-F238E27FC236}">
              <a16:creationId xmlns:a16="http://schemas.microsoft.com/office/drawing/2014/main" id="{F4230A2F-E496-48FB-9AC3-ECA8B0D5864C}"/>
            </a:ext>
          </a:extLst>
        </xdr:cNvPr>
        <xdr:cNvSpPr txBox="1"/>
      </xdr:nvSpPr>
      <xdr:spPr>
        <a:xfrm>
          <a:off x="6097425" y="553763"/>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Quantity sold</a:t>
          </a:r>
        </a:p>
      </xdr:txBody>
    </xdr:sp>
    <xdr:clientData/>
  </xdr:twoCellAnchor>
  <xdr:twoCellAnchor>
    <xdr:from>
      <xdr:col>12</xdr:col>
      <xdr:colOff>470776</xdr:colOff>
      <xdr:row>2</xdr:row>
      <xdr:rowOff>180645</xdr:rowOff>
    </xdr:from>
    <xdr:to>
      <xdr:col>14</xdr:col>
      <xdr:colOff>501979</xdr:colOff>
      <xdr:row>5</xdr:row>
      <xdr:rowOff>180645</xdr:rowOff>
    </xdr:to>
    <xdr:sp macro="" textlink="">
      <xdr:nvSpPr>
        <xdr:cNvPr id="25" name="TextBox 24">
          <a:extLst>
            <a:ext uri="{FF2B5EF4-FFF2-40B4-BE49-F238E27FC236}">
              <a16:creationId xmlns:a16="http://schemas.microsoft.com/office/drawing/2014/main" id="{5436CA85-2824-4E4F-8DAA-E014407480BA}"/>
            </a:ext>
          </a:extLst>
        </xdr:cNvPr>
        <xdr:cNvSpPr txBox="1"/>
      </xdr:nvSpPr>
      <xdr:spPr>
        <a:xfrm>
          <a:off x="7828017" y="552886"/>
          <a:ext cx="1257410"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orders</a:t>
          </a:r>
        </a:p>
      </xdr:txBody>
    </xdr:sp>
    <xdr:clientData/>
  </xdr:twoCellAnchor>
  <xdr:twoCellAnchor>
    <xdr:from>
      <xdr:col>2</xdr:col>
      <xdr:colOff>470777</xdr:colOff>
      <xdr:row>10</xdr:row>
      <xdr:rowOff>54741</xdr:rowOff>
    </xdr:from>
    <xdr:to>
      <xdr:col>4</xdr:col>
      <xdr:colOff>416034</xdr:colOff>
      <xdr:row>15</xdr:row>
      <xdr:rowOff>109483</xdr:rowOff>
    </xdr:to>
    <xdr:graphicFrame macro="">
      <xdr:nvGraphicFramePr>
        <xdr:cNvPr id="26" name="Chart 25">
          <a:extLst>
            <a:ext uri="{FF2B5EF4-FFF2-40B4-BE49-F238E27FC236}">
              <a16:creationId xmlns:a16="http://schemas.microsoft.com/office/drawing/2014/main" id="{DC7C8548-0B08-457D-98F8-D3818D3E9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175172</xdr:colOff>
      <xdr:row>10</xdr:row>
      <xdr:rowOff>65690</xdr:rowOff>
    </xdr:from>
    <xdr:to>
      <xdr:col>7</xdr:col>
      <xdr:colOff>0</xdr:colOff>
      <xdr:row>15</xdr:row>
      <xdr:rowOff>120431</xdr:rowOff>
    </xdr:to>
    <xdr:graphicFrame macro="">
      <xdr:nvGraphicFramePr>
        <xdr:cNvPr id="27" name="Chart 26">
          <a:extLst>
            <a:ext uri="{FF2B5EF4-FFF2-40B4-BE49-F238E27FC236}">
              <a16:creationId xmlns:a16="http://schemas.microsoft.com/office/drawing/2014/main" id="{2ECDC5D6-6598-4C7E-9E5E-6378F6B60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197069</xdr:colOff>
      <xdr:row>10</xdr:row>
      <xdr:rowOff>87588</xdr:rowOff>
    </xdr:from>
    <xdr:to>
      <xdr:col>10</xdr:col>
      <xdr:colOff>109484</xdr:colOff>
      <xdr:row>15</xdr:row>
      <xdr:rowOff>120433</xdr:rowOff>
    </xdr:to>
    <xdr:graphicFrame macro="">
      <xdr:nvGraphicFramePr>
        <xdr:cNvPr id="28" name="Chart 27">
          <a:extLst>
            <a:ext uri="{FF2B5EF4-FFF2-40B4-BE49-F238E27FC236}">
              <a16:creationId xmlns:a16="http://schemas.microsoft.com/office/drawing/2014/main" id="{97464EDF-9E5A-4956-8BAC-D258A791A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598543</xdr:colOff>
      <xdr:row>14</xdr:row>
      <xdr:rowOff>175173</xdr:rowOff>
    </xdr:from>
    <xdr:to>
      <xdr:col>5</xdr:col>
      <xdr:colOff>83974</xdr:colOff>
      <xdr:row>16</xdr:row>
      <xdr:rowOff>142328</xdr:rowOff>
    </xdr:to>
    <xdr:sp macro="" textlink="">
      <xdr:nvSpPr>
        <xdr:cNvPr id="29" name="TextBox 28">
          <a:extLst>
            <a:ext uri="{FF2B5EF4-FFF2-40B4-BE49-F238E27FC236}">
              <a16:creationId xmlns:a16="http://schemas.microsoft.com/office/drawing/2014/main" id="{2485F168-A4A8-4AD0-89B2-97D91D1FD114}"/>
            </a:ext>
          </a:extLst>
        </xdr:cNvPr>
        <xdr:cNvSpPr txBox="1"/>
      </xdr:nvSpPr>
      <xdr:spPr>
        <a:xfrm>
          <a:off x="1824750" y="2780863"/>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Electronic</a:t>
          </a:r>
        </a:p>
      </xdr:txBody>
    </xdr:sp>
    <xdr:clientData/>
  </xdr:twoCellAnchor>
  <xdr:twoCellAnchor>
    <xdr:from>
      <xdr:col>5</xdr:col>
      <xdr:colOff>302064</xdr:colOff>
      <xdr:row>14</xdr:row>
      <xdr:rowOff>185245</xdr:rowOff>
    </xdr:from>
    <xdr:to>
      <xdr:col>7</xdr:col>
      <xdr:colOff>400598</xdr:colOff>
      <xdr:row>16</xdr:row>
      <xdr:rowOff>152400</xdr:rowOff>
    </xdr:to>
    <xdr:sp macro="" textlink="">
      <xdr:nvSpPr>
        <xdr:cNvPr id="30" name="TextBox 29">
          <a:extLst>
            <a:ext uri="{FF2B5EF4-FFF2-40B4-BE49-F238E27FC236}">
              <a16:creationId xmlns:a16="http://schemas.microsoft.com/office/drawing/2014/main" id="{B48E610D-9F62-4D4B-8E2A-2E59FA9A6885}"/>
            </a:ext>
          </a:extLst>
        </xdr:cNvPr>
        <xdr:cNvSpPr txBox="1"/>
      </xdr:nvSpPr>
      <xdr:spPr>
        <a:xfrm>
          <a:off x="3367581" y="2790935"/>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Furniture</a:t>
          </a:r>
        </a:p>
      </xdr:txBody>
    </xdr:sp>
    <xdr:clientData/>
  </xdr:twoCellAnchor>
  <xdr:twoCellAnchor>
    <xdr:from>
      <xdr:col>8</xdr:col>
      <xdr:colOff>115066</xdr:colOff>
      <xdr:row>14</xdr:row>
      <xdr:rowOff>162473</xdr:rowOff>
    </xdr:from>
    <xdr:to>
      <xdr:col>10</xdr:col>
      <xdr:colOff>213601</xdr:colOff>
      <xdr:row>16</xdr:row>
      <xdr:rowOff>129628</xdr:rowOff>
    </xdr:to>
    <xdr:sp macro="" textlink="">
      <xdr:nvSpPr>
        <xdr:cNvPr id="31" name="TextBox 30">
          <a:extLst>
            <a:ext uri="{FF2B5EF4-FFF2-40B4-BE49-F238E27FC236}">
              <a16:creationId xmlns:a16="http://schemas.microsoft.com/office/drawing/2014/main" id="{F7B67F36-A451-409F-B33C-B28A001E75FF}"/>
            </a:ext>
          </a:extLst>
        </xdr:cNvPr>
        <xdr:cNvSpPr txBox="1"/>
      </xdr:nvSpPr>
      <xdr:spPr>
        <a:xfrm>
          <a:off x="5019894" y="2768163"/>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Office</a:t>
          </a:r>
          <a:r>
            <a:rPr lang="en-ZW" sz="1200" baseline="0">
              <a:solidFill>
                <a:schemeClr val="bg1"/>
              </a:solidFill>
            </a:rPr>
            <a:t> supplies</a:t>
          </a:r>
          <a:endParaRPr lang="en-ZW" sz="1200">
            <a:solidFill>
              <a:schemeClr val="bg1"/>
            </a:solidFill>
          </a:endParaRPr>
        </a:p>
      </xdr:txBody>
    </xdr:sp>
    <xdr:clientData/>
  </xdr:twoCellAnchor>
  <xdr:twoCellAnchor>
    <xdr:from>
      <xdr:col>3</xdr:col>
      <xdr:colOff>159736</xdr:colOff>
      <xdr:row>12</xdr:row>
      <xdr:rowOff>53867</xdr:rowOff>
    </xdr:from>
    <xdr:to>
      <xdr:col>5</xdr:col>
      <xdr:colOff>258270</xdr:colOff>
      <xdr:row>14</xdr:row>
      <xdr:rowOff>21021</xdr:rowOff>
    </xdr:to>
    <xdr:sp macro="" textlink="Analysis1!A10">
      <xdr:nvSpPr>
        <xdr:cNvPr id="32" name="TextBox 31">
          <a:extLst>
            <a:ext uri="{FF2B5EF4-FFF2-40B4-BE49-F238E27FC236}">
              <a16:creationId xmlns:a16="http://schemas.microsoft.com/office/drawing/2014/main" id="{FEB046E4-7229-42D3-A4F2-756695B0B36E}"/>
            </a:ext>
          </a:extLst>
        </xdr:cNvPr>
        <xdr:cNvSpPr txBox="1"/>
      </xdr:nvSpPr>
      <xdr:spPr>
        <a:xfrm>
          <a:off x="1999046" y="2287315"/>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21422-D41C-43E1-ACCF-1A2958189676}" type="TxLink">
            <a:rPr lang="en-US" sz="1100" b="1" i="0" u="none" strike="noStrike">
              <a:solidFill>
                <a:schemeClr val="bg1"/>
              </a:solidFill>
              <a:latin typeface="Calibri"/>
              <a:cs typeface="Calibri"/>
            </a:rPr>
            <a:t>33.2%</a:t>
          </a:fld>
          <a:endParaRPr lang="en-ZW" sz="1100" b="1">
            <a:solidFill>
              <a:schemeClr val="bg1"/>
            </a:solidFill>
          </a:endParaRPr>
        </a:p>
      </xdr:txBody>
    </xdr:sp>
    <xdr:clientData/>
  </xdr:twoCellAnchor>
  <xdr:twoCellAnchor>
    <xdr:from>
      <xdr:col>5</xdr:col>
      <xdr:colOff>432567</xdr:colOff>
      <xdr:row>12</xdr:row>
      <xdr:rowOff>31094</xdr:rowOff>
    </xdr:from>
    <xdr:to>
      <xdr:col>7</xdr:col>
      <xdr:colOff>531101</xdr:colOff>
      <xdr:row>13</xdr:row>
      <xdr:rowOff>184369</xdr:rowOff>
    </xdr:to>
    <xdr:sp macro="" textlink="Analysis1!A12">
      <xdr:nvSpPr>
        <xdr:cNvPr id="33" name="TextBox 32">
          <a:extLst>
            <a:ext uri="{FF2B5EF4-FFF2-40B4-BE49-F238E27FC236}">
              <a16:creationId xmlns:a16="http://schemas.microsoft.com/office/drawing/2014/main" id="{E9059C11-B7DB-490C-9341-BCF64E70E403}"/>
            </a:ext>
          </a:extLst>
        </xdr:cNvPr>
        <xdr:cNvSpPr txBox="1"/>
      </xdr:nvSpPr>
      <xdr:spPr>
        <a:xfrm>
          <a:off x="3498084" y="2264542"/>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DA7C50-96A3-4DC2-948D-A4FB451F4AEB}" type="TxLink">
            <a:rPr lang="en-US" sz="1100" b="0" i="0" u="none" strike="noStrike">
              <a:solidFill>
                <a:schemeClr val="bg1"/>
              </a:solidFill>
              <a:latin typeface="Calibri"/>
              <a:cs typeface="Calibri"/>
            </a:rPr>
            <a:t>33.0%</a:t>
          </a:fld>
          <a:endParaRPr lang="en-ZW" sz="1100" b="1">
            <a:solidFill>
              <a:schemeClr val="bg1"/>
            </a:solidFill>
          </a:endParaRPr>
        </a:p>
      </xdr:txBody>
    </xdr:sp>
    <xdr:clientData/>
  </xdr:twoCellAnchor>
  <xdr:twoCellAnchor>
    <xdr:from>
      <xdr:col>8</xdr:col>
      <xdr:colOff>190829</xdr:colOff>
      <xdr:row>12</xdr:row>
      <xdr:rowOff>52115</xdr:rowOff>
    </xdr:from>
    <xdr:to>
      <xdr:col>10</xdr:col>
      <xdr:colOff>289364</xdr:colOff>
      <xdr:row>14</xdr:row>
      <xdr:rowOff>19269</xdr:rowOff>
    </xdr:to>
    <xdr:sp macro="" textlink="Analysis1!B12">
      <xdr:nvSpPr>
        <xdr:cNvPr id="34" name="TextBox 33">
          <a:extLst>
            <a:ext uri="{FF2B5EF4-FFF2-40B4-BE49-F238E27FC236}">
              <a16:creationId xmlns:a16="http://schemas.microsoft.com/office/drawing/2014/main" id="{A1C569D0-6D53-4B74-AE68-F0C2F84EEA42}"/>
            </a:ext>
          </a:extLst>
        </xdr:cNvPr>
        <xdr:cNvSpPr txBox="1"/>
      </xdr:nvSpPr>
      <xdr:spPr>
        <a:xfrm>
          <a:off x="5095657" y="2285563"/>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48E28F-C6C6-4715-A93A-689B9B09B956}" type="TxLink">
            <a:rPr lang="en-US" sz="1100" b="0" i="0" u="none" strike="noStrike">
              <a:solidFill>
                <a:schemeClr val="bg1"/>
              </a:solidFill>
              <a:latin typeface="Calibri"/>
              <a:cs typeface="Calibri"/>
            </a:rPr>
            <a:t>33.8%</a:t>
          </a:fld>
          <a:endParaRPr lang="en-ZW" sz="1100" b="1">
            <a:solidFill>
              <a:schemeClr val="bg1"/>
            </a:solidFill>
          </a:endParaRPr>
        </a:p>
      </xdr:txBody>
    </xdr:sp>
    <xdr:clientData/>
  </xdr:twoCellAnchor>
  <xdr:twoCellAnchor>
    <xdr:from>
      <xdr:col>2</xdr:col>
      <xdr:colOff>551246</xdr:colOff>
      <xdr:row>5</xdr:row>
      <xdr:rowOff>29343</xdr:rowOff>
    </xdr:from>
    <xdr:to>
      <xdr:col>5</xdr:col>
      <xdr:colOff>36677</xdr:colOff>
      <xdr:row>6</xdr:row>
      <xdr:rowOff>182618</xdr:rowOff>
    </xdr:to>
    <xdr:sp macro="" textlink="Analysis1!B32">
      <xdr:nvSpPr>
        <xdr:cNvPr id="35" name="TextBox 34">
          <a:extLst>
            <a:ext uri="{FF2B5EF4-FFF2-40B4-BE49-F238E27FC236}">
              <a16:creationId xmlns:a16="http://schemas.microsoft.com/office/drawing/2014/main" id="{CD0BA611-87A8-47FD-B179-93C4AF0B8881}"/>
            </a:ext>
          </a:extLst>
        </xdr:cNvPr>
        <xdr:cNvSpPr txBox="1"/>
      </xdr:nvSpPr>
      <xdr:spPr>
        <a:xfrm>
          <a:off x="1777453" y="959946"/>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48E28F-C6C6-4715-A93A-689B9B09B956}" type="TxLink">
            <a:rPr lang="en-US" sz="1200" b="0" i="0" u="none" strike="noStrike">
              <a:solidFill>
                <a:schemeClr val="bg1"/>
              </a:solidFill>
              <a:latin typeface="Calibri"/>
              <a:cs typeface="Calibri"/>
            </a:rPr>
            <a:t> </a:t>
          </a:fld>
          <a:endParaRPr lang="en-ZW" sz="1200" b="1">
            <a:solidFill>
              <a:schemeClr val="bg1"/>
            </a:solidFill>
          </a:endParaRPr>
        </a:p>
      </xdr:txBody>
    </xdr:sp>
    <xdr:clientData/>
  </xdr:twoCellAnchor>
  <xdr:twoCellAnchor>
    <xdr:from>
      <xdr:col>5</xdr:col>
      <xdr:colOff>153277</xdr:colOff>
      <xdr:row>4</xdr:row>
      <xdr:rowOff>153275</xdr:rowOff>
    </xdr:from>
    <xdr:to>
      <xdr:col>7</xdr:col>
      <xdr:colOff>506576</xdr:colOff>
      <xdr:row>7</xdr:row>
      <xdr:rowOff>127000</xdr:rowOff>
    </xdr:to>
    <xdr:sp macro="" textlink="Analysis1!C5">
      <xdr:nvSpPr>
        <xdr:cNvPr id="36" name="TextBox 35">
          <a:extLst>
            <a:ext uri="{FF2B5EF4-FFF2-40B4-BE49-F238E27FC236}">
              <a16:creationId xmlns:a16="http://schemas.microsoft.com/office/drawing/2014/main" id="{4B84AB4E-408E-4D19-ABE4-5BDFEE3B2609}"/>
            </a:ext>
          </a:extLst>
        </xdr:cNvPr>
        <xdr:cNvSpPr txBox="1"/>
      </xdr:nvSpPr>
      <xdr:spPr>
        <a:xfrm>
          <a:off x="3218794" y="897758"/>
          <a:ext cx="1579506" cy="532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8E6B70-E029-4715-BCE4-3D117AE4CC84}" type="TxLink">
            <a:rPr lang="en-US" sz="1600" b="0" i="0" u="none" strike="noStrike">
              <a:solidFill>
                <a:schemeClr val="bg1"/>
              </a:solidFill>
              <a:latin typeface="Calibri"/>
              <a:cs typeface="Calibri"/>
            </a:rPr>
            <a:t> $6,182,639 </a:t>
          </a:fld>
          <a:endParaRPr lang="en-US" sz="1600" b="0" i="0" u="none" strike="noStrike">
            <a:solidFill>
              <a:schemeClr val="bg1"/>
            </a:solidFill>
            <a:latin typeface="Calibri"/>
            <a:cs typeface="Calibri"/>
          </a:endParaRPr>
        </a:p>
      </xdr:txBody>
    </xdr:sp>
    <xdr:clientData/>
  </xdr:twoCellAnchor>
  <xdr:twoCellAnchor>
    <xdr:from>
      <xdr:col>7</xdr:col>
      <xdr:colOff>305678</xdr:colOff>
      <xdr:row>4</xdr:row>
      <xdr:rowOff>64812</xdr:rowOff>
    </xdr:from>
    <xdr:to>
      <xdr:col>10</xdr:col>
      <xdr:colOff>45874</xdr:colOff>
      <xdr:row>7</xdr:row>
      <xdr:rowOff>38537</xdr:rowOff>
    </xdr:to>
    <xdr:sp macro="" textlink="Analysis1!D5">
      <xdr:nvSpPr>
        <xdr:cNvPr id="37" name="TextBox 36">
          <a:extLst>
            <a:ext uri="{FF2B5EF4-FFF2-40B4-BE49-F238E27FC236}">
              <a16:creationId xmlns:a16="http://schemas.microsoft.com/office/drawing/2014/main" id="{78B3A877-A640-4259-A855-90759C5AF10C}"/>
            </a:ext>
          </a:extLst>
        </xdr:cNvPr>
        <xdr:cNvSpPr txBox="1"/>
      </xdr:nvSpPr>
      <xdr:spPr>
        <a:xfrm>
          <a:off x="4597402" y="809295"/>
          <a:ext cx="1579506" cy="532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243E79-4662-4521-9F12-F019D4C572F7}" type="TxLink">
            <a:rPr lang="en-US" sz="1600" b="0" i="0" u="none" strike="noStrike">
              <a:solidFill>
                <a:schemeClr val="bg1"/>
              </a:solidFill>
              <a:latin typeface="Calibri"/>
              <a:cs typeface="Calibri"/>
            </a:rPr>
            <a:t> $1,610,697 </a:t>
          </a:fld>
          <a:endParaRPr lang="en-US" sz="1600" b="0" i="0" u="none" strike="noStrike">
            <a:solidFill>
              <a:schemeClr val="bg1"/>
            </a:solidFill>
            <a:latin typeface="Calibri"/>
            <a:cs typeface="Calibri"/>
          </a:endParaRPr>
        </a:p>
      </xdr:txBody>
    </xdr:sp>
    <xdr:clientData/>
  </xdr:twoCellAnchor>
  <xdr:twoCellAnchor>
    <xdr:from>
      <xdr:col>10</xdr:col>
      <xdr:colOff>85837</xdr:colOff>
      <xdr:row>4</xdr:row>
      <xdr:rowOff>87586</xdr:rowOff>
    </xdr:from>
    <xdr:to>
      <xdr:col>12</xdr:col>
      <xdr:colOff>317501</xdr:colOff>
      <xdr:row>7</xdr:row>
      <xdr:rowOff>103352</xdr:rowOff>
    </xdr:to>
    <xdr:sp macro="" textlink="Analysis1!E5">
      <xdr:nvSpPr>
        <xdr:cNvPr id="38" name="TextBox 37">
          <a:extLst>
            <a:ext uri="{FF2B5EF4-FFF2-40B4-BE49-F238E27FC236}">
              <a16:creationId xmlns:a16="http://schemas.microsoft.com/office/drawing/2014/main" id="{A607435D-912D-46E4-80C1-6411199F8BF7}"/>
            </a:ext>
          </a:extLst>
        </xdr:cNvPr>
        <xdr:cNvSpPr txBox="1"/>
      </xdr:nvSpPr>
      <xdr:spPr>
        <a:xfrm>
          <a:off x="6216871" y="832069"/>
          <a:ext cx="1457871" cy="57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CEF1EF-813F-43EE-A7CD-5D9B86FB75A4}" type="TxLink">
            <a:rPr lang="en-US" sz="1600" b="0" i="0" u="none" strike="noStrike">
              <a:solidFill>
                <a:schemeClr val="bg1"/>
              </a:solidFill>
              <a:latin typeface="Calibri"/>
              <a:cs typeface="Calibri"/>
            </a:rPr>
            <a:t>12745</a:t>
          </a:fld>
          <a:endParaRPr lang="en-US" sz="1600" b="0" i="0" u="none" strike="noStrike">
            <a:solidFill>
              <a:schemeClr val="bg1"/>
            </a:solidFill>
            <a:latin typeface="Calibri"/>
            <a:cs typeface="Calibri"/>
          </a:endParaRPr>
        </a:p>
      </xdr:txBody>
    </xdr:sp>
    <xdr:clientData/>
  </xdr:twoCellAnchor>
  <xdr:twoCellAnchor>
    <xdr:from>
      <xdr:col>12</xdr:col>
      <xdr:colOff>514569</xdr:colOff>
      <xdr:row>4</xdr:row>
      <xdr:rowOff>19270</xdr:rowOff>
    </xdr:from>
    <xdr:to>
      <xdr:col>15</xdr:col>
      <xdr:colOff>142656</xdr:colOff>
      <xdr:row>6</xdr:row>
      <xdr:rowOff>54743</xdr:rowOff>
    </xdr:to>
    <xdr:sp macro="" textlink="Analysis1!F5">
      <xdr:nvSpPr>
        <xdr:cNvPr id="39" name="TextBox 38">
          <a:extLst>
            <a:ext uri="{FF2B5EF4-FFF2-40B4-BE49-F238E27FC236}">
              <a16:creationId xmlns:a16="http://schemas.microsoft.com/office/drawing/2014/main" id="{D076C741-48D6-4ABE-8F79-30B6906F0C6F}"/>
            </a:ext>
          </a:extLst>
        </xdr:cNvPr>
        <xdr:cNvSpPr txBox="1"/>
      </xdr:nvSpPr>
      <xdr:spPr>
        <a:xfrm>
          <a:off x="7871810" y="763753"/>
          <a:ext cx="1467398" cy="40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BC0CC4-20F0-4932-9765-0DBCE7FAE706}" type="TxLink">
            <a:rPr lang="en-US" sz="1600" b="0" i="0" u="none" strike="noStrike">
              <a:solidFill>
                <a:schemeClr val="bg1"/>
              </a:solidFill>
              <a:latin typeface="Calibri"/>
              <a:cs typeface="Calibri"/>
            </a:rPr>
            <a:t>1194</a:t>
          </a:fld>
          <a:endParaRPr lang="en-US" sz="1600" b="0" i="0" u="none" strike="noStrike">
            <a:solidFill>
              <a:schemeClr val="bg1"/>
            </a:solidFill>
            <a:latin typeface="Calibri"/>
            <a:cs typeface="Calibri"/>
          </a:endParaRPr>
        </a:p>
      </xdr:txBody>
    </xdr:sp>
    <xdr:clientData/>
  </xdr:twoCellAnchor>
  <xdr:twoCellAnchor>
    <xdr:from>
      <xdr:col>8</xdr:col>
      <xdr:colOff>566681</xdr:colOff>
      <xdr:row>5</xdr:row>
      <xdr:rowOff>139701</xdr:rowOff>
    </xdr:from>
    <xdr:to>
      <xdr:col>11</xdr:col>
      <xdr:colOff>52112</xdr:colOff>
      <xdr:row>8</xdr:row>
      <xdr:rowOff>139700</xdr:rowOff>
    </xdr:to>
    <xdr:sp macro="" textlink="Analysis1!I5">
      <xdr:nvSpPr>
        <xdr:cNvPr id="40" name="TextBox 39">
          <a:extLst>
            <a:ext uri="{FF2B5EF4-FFF2-40B4-BE49-F238E27FC236}">
              <a16:creationId xmlns:a16="http://schemas.microsoft.com/office/drawing/2014/main" id="{58AA751A-C78B-4154-AA93-56437753E4D3}"/>
            </a:ext>
          </a:extLst>
        </xdr:cNvPr>
        <xdr:cNvSpPr txBox="1"/>
      </xdr:nvSpPr>
      <xdr:spPr>
        <a:xfrm>
          <a:off x="5471509" y="1070304"/>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651441-9574-4C52-9861-D54241B97A1B}" type="TxLink">
            <a:rPr lang="en-US" sz="1100" b="0" i="0" u="none" strike="noStrike">
              <a:solidFill>
                <a:srgbClr val="C938E6"/>
              </a:solidFill>
              <a:latin typeface="Calibri"/>
              <a:cs typeface="Calibri"/>
            </a:rPr>
            <a:t>26%</a:t>
          </a:fld>
          <a:endParaRPr lang="en-ZW" sz="1200">
            <a:solidFill>
              <a:srgbClr val="C938E6"/>
            </a:solidFill>
          </a:endParaRPr>
        </a:p>
      </xdr:txBody>
    </xdr:sp>
    <xdr:clientData/>
  </xdr:twoCellAnchor>
  <xdr:twoCellAnchor>
    <xdr:from>
      <xdr:col>8</xdr:col>
      <xdr:colOff>127874</xdr:colOff>
      <xdr:row>5</xdr:row>
      <xdr:rowOff>149773</xdr:rowOff>
    </xdr:from>
    <xdr:to>
      <xdr:col>9</xdr:col>
      <xdr:colOff>175172</xdr:colOff>
      <xdr:row>8</xdr:row>
      <xdr:rowOff>149772</xdr:rowOff>
    </xdr:to>
    <xdr:sp macro="" textlink="">
      <xdr:nvSpPr>
        <xdr:cNvPr id="41" name="TextBox 40">
          <a:extLst>
            <a:ext uri="{FF2B5EF4-FFF2-40B4-BE49-F238E27FC236}">
              <a16:creationId xmlns:a16="http://schemas.microsoft.com/office/drawing/2014/main" id="{9DA40E33-1C67-4D53-A94F-61B5B3668E88}"/>
            </a:ext>
          </a:extLst>
        </xdr:cNvPr>
        <xdr:cNvSpPr txBox="1"/>
      </xdr:nvSpPr>
      <xdr:spPr>
        <a:xfrm>
          <a:off x="5032702" y="1080376"/>
          <a:ext cx="66040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C938E6"/>
              </a:solidFill>
            </a:rPr>
            <a:t>profit %</a:t>
          </a:r>
        </a:p>
      </xdr:txBody>
    </xdr:sp>
    <xdr:clientData/>
  </xdr:twoCellAnchor>
  <xdr:twoCellAnchor>
    <xdr:from>
      <xdr:col>12</xdr:col>
      <xdr:colOff>367860</xdr:colOff>
      <xdr:row>5</xdr:row>
      <xdr:rowOff>127001</xdr:rowOff>
    </xdr:from>
    <xdr:to>
      <xdr:col>14</xdr:col>
      <xdr:colOff>466394</xdr:colOff>
      <xdr:row>8</xdr:row>
      <xdr:rowOff>127000</xdr:rowOff>
    </xdr:to>
    <xdr:sp macro="" textlink="Analysis1!H4">
      <xdr:nvSpPr>
        <xdr:cNvPr id="42" name="TextBox 41">
          <a:extLst>
            <a:ext uri="{FF2B5EF4-FFF2-40B4-BE49-F238E27FC236}">
              <a16:creationId xmlns:a16="http://schemas.microsoft.com/office/drawing/2014/main" id="{D4EA9A63-9564-4886-9D5A-3C7FC6F43461}"/>
            </a:ext>
          </a:extLst>
        </xdr:cNvPr>
        <xdr:cNvSpPr txBox="1"/>
      </xdr:nvSpPr>
      <xdr:spPr>
        <a:xfrm>
          <a:off x="7725101" y="1057604"/>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73559-141D-4ADF-982B-FBA350D656CF}" type="TxLink">
            <a:rPr lang="en-US" sz="800" b="0" i="0" u="none" strike="noStrike">
              <a:solidFill>
                <a:srgbClr val="C938E6"/>
              </a:solidFill>
              <a:latin typeface="Calibri"/>
              <a:cs typeface="Calibri"/>
            </a:rPr>
            <a:t>average items per order</a:t>
          </a:fld>
          <a:endParaRPr lang="en-US" sz="800" b="0" i="0" u="none" strike="noStrike">
            <a:solidFill>
              <a:srgbClr val="C938E6"/>
            </a:solidFill>
            <a:latin typeface="Calibri"/>
            <a:cs typeface="Calibri"/>
          </a:endParaRPr>
        </a:p>
      </xdr:txBody>
    </xdr:sp>
    <xdr:clientData/>
  </xdr:twoCellAnchor>
  <xdr:twoCellAnchor>
    <xdr:from>
      <xdr:col>14</xdr:col>
      <xdr:colOff>160719</xdr:colOff>
      <xdr:row>5</xdr:row>
      <xdr:rowOff>105980</xdr:rowOff>
    </xdr:from>
    <xdr:to>
      <xdr:col>16</xdr:col>
      <xdr:colOff>259253</xdr:colOff>
      <xdr:row>8</xdr:row>
      <xdr:rowOff>105979</xdr:rowOff>
    </xdr:to>
    <xdr:sp macro="" textlink="Analysis1!H5">
      <xdr:nvSpPr>
        <xdr:cNvPr id="43" name="TextBox 42">
          <a:extLst>
            <a:ext uri="{FF2B5EF4-FFF2-40B4-BE49-F238E27FC236}">
              <a16:creationId xmlns:a16="http://schemas.microsoft.com/office/drawing/2014/main" id="{2DDCDE20-1885-49AB-9620-05E96A68A0B8}"/>
            </a:ext>
          </a:extLst>
        </xdr:cNvPr>
        <xdr:cNvSpPr txBox="1"/>
      </xdr:nvSpPr>
      <xdr:spPr>
        <a:xfrm>
          <a:off x="8744167" y="1036583"/>
          <a:ext cx="1324741"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F85380-BEF0-4BCB-9CB5-C4D890622208}" type="TxLink">
            <a:rPr lang="en-US" sz="1100" b="0" i="0" u="none" strike="noStrike">
              <a:solidFill>
                <a:srgbClr val="C938E6"/>
              </a:solidFill>
              <a:latin typeface="Calibri"/>
              <a:cs typeface="Calibri"/>
            </a:rPr>
            <a:t>10.67</a:t>
          </a:fld>
          <a:endParaRPr lang="en-ZW" sz="1200">
            <a:solidFill>
              <a:srgbClr val="C938E6"/>
            </a:solidFill>
          </a:endParaRPr>
        </a:p>
      </xdr:txBody>
    </xdr:sp>
    <xdr:clientData/>
  </xdr:twoCellAnchor>
  <xdr:twoCellAnchor>
    <xdr:from>
      <xdr:col>2</xdr:col>
      <xdr:colOff>372241</xdr:colOff>
      <xdr:row>4</xdr:row>
      <xdr:rowOff>174296</xdr:rowOff>
    </xdr:from>
    <xdr:to>
      <xdr:col>5</xdr:col>
      <xdr:colOff>54741</xdr:colOff>
      <xdr:row>7</xdr:row>
      <xdr:rowOff>148021</xdr:rowOff>
    </xdr:to>
    <xdr:sp macro="" textlink="Analysis1!G4">
      <xdr:nvSpPr>
        <xdr:cNvPr id="45" name="TextBox 44">
          <a:extLst>
            <a:ext uri="{FF2B5EF4-FFF2-40B4-BE49-F238E27FC236}">
              <a16:creationId xmlns:a16="http://schemas.microsoft.com/office/drawing/2014/main" id="{550ECA1C-0E14-440F-AF53-8112F2611C7C}"/>
            </a:ext>
          </a:extLst>
        </xdr:cNvPr>
        <xdr:cNvSpPr txBox="1"/>
      </xdr:nvSpPr>
      <xdr:spPr>
        <a:xfrm>
          <a:off x="1598448" y="918779"/>
          <a:ext cx="1521810" cy="532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C1BB70-4925-4B98-BFD0-2C1B7B160356}" type="TxLink">
            <a:rPr lang="en-US" sz="1400" b="0" i="0" u="none" strike="noStrike">
              <a:solidFill>
                <a:schemeClr val="bg1"/>
              </a:solidFill>
              <a:latin typeface="Calibri"/>
              <a:cs typeface="Calibri"/>
            </a:rPr>
            <a:t> $78,797,734,055 </a:t>
          </a:fld>
          <a:endParaRPr lang="en-US" sz="1400" b="0" i="0" u="none" strike="noStrike">
            <a:solidFill>
              <a:schemeClr val="bg1"/>
            </a:solidFill>
            <a:latin typeface="Calibri"/>
            <a:cs typeface="Calibri"/>
          </a:endParaRPr>
        </a:p>
      </xdr:txBody>
    </xdr:sp>
    <xdr:clientData/>
  </xdr:twoCellAnchor>
  <xdr:twoCellAnchor>
    <xdr:from>
      <xdr:col>2</xdr:col>
      <xdr:colOff>305674</xdr:colOff>
      <xdr:row>0</xdr:row>
      <xdr:rowOff>141451</xdr:rowOff>
    </xdr:from>
    <xdr:to>
      <xdr:col>7</xdr:col>
      <xdr:colOff>536466</xdr:colOff>
      <xdr:row>3</xdr:row>
      <xdr:rowOff>10948</xdr:rowOff>
    </xdr:to>
    <xdr:sp macro="" textlink="">
      <xdr:nvSpPr>
        <xdr:cNvPr id="51" name="TextBox 50">
          <a:extLst>
            <a:ext uri="{FF2B5EF4-FFF2-40B4-BE49-F238E27FC236}">
              <a16:creationId xmlns:a16="http://schemas.microsoft.com/office/drawing/2014/main" id="{3D082470-7EC4-41B2-9107-A47F482DB4BD}"/>
            </a:ext>
          </a:extLst>
        </xdr:cNvPr>
        <xdr:cNvSpPr txBox="1"/>
      </xdr:nvSpPr>
      <xdr:spPr>
        <a:xfrm>
          <a:off x="1531881" y="141451"/>
          <a:ext cx="3296309" cy="42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600">
              <a:solidFill>
                <a:schemeClr val="bg1"/>
              </a:solidFill>
            </a:rPr>
            <a:t>Business</a:t>
          </a:r>
          <a:r>
            <a:rPr lang="en-ZW" sz="1600" baseline="0">
              <a:solidFill>
                <a:schemeClr val="bg1"/>
              </a:solidFill>
            </a:rPr>
            <a:t> Performace </a:t>
          </a:r>
          <a:r>
            <a:rPr lang="en-ZW" sz="1600">
              <a:solidFill>
                <a:schemeClr val="bg1"/>
              </a:solidFill>
            </a:rPr>
            <a:t>Dashbohboard</a:t>
          </a:r>
          <a:r>
            <a:rPr lang="en-ZW" sz="1600" baseline="0">
              <a:solidFill>
                <a:schemeClr val="bg1"/>
              </a:solidFill>
            </a:rPr>
            <a:t> </a:t>
          </a:r>
          <a:endParaRPr lang="en-ZW" sz="1600">
            <a:solidFill>
              <a:schemeClr val="bg1"/>
            </a:solidFill>
          </a:endParaRPr>
        </a:p>
      </xdr:txBody>
    </xdr:sp>
    <xdr:clientData/>
  </xdr:twoCellAnchor>
  <xdr:twoCellAnchor>
    <xdr:from>
      <xdr:col>2</xdr:col>
      <xdr:colOff>606864</xdr:colOff>
      <xdr:row>9</xdr:row>
      <xdr:rowOff>128753</xdr:rowOff>
    </xdr:from>
    <xdr:to>
      <xdr:col>5</xdr:col>
      <xdr:colOff>92295</xdr:colOff>
      <xdr:row>11</xdr:row>
      <xdr:rowOff>95907</xdr:rowOff>
    </xdr:to>
    <xdr:sp macro="" textlink="Analysis1!D15">
      <xdr:nvSpPr>
        <xdr:cNvPr id="52" name="TextBox 51">
          <a:extLst>
            <a:ext uri="{FF2B5EF4-FFF2-40B4-BE49-F238E27FC236}">
              <a16:creationId xmlns:a16="http://schemas.microsoft.com/office/drawing/2014/main" id="{AB9D792C-8C36-40FB-80D9-D9734255E0A4}"/>
            </a:ext>
          </a:extLst>
        </xdr:cNvPr>
        <xdr:cNvSpPr txBox="1"/>
      </xdr:nvSpPr>
      <xdr:spPr>
        <a:xfrm>
          <a:off x="1833071" y="1803839"/>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693EC-C6EF-4905-B25B-FD493AEC257E}" type="TxLink">
            <a:rPr lang="en-US" sz="1200" b="0" i="0" u="none" strike="noStrike">
              <a:solidFill>
                <a:schemeClr val="bg1"/>
              </a:solidFill>
              <a:latin typeface="Calibri"/>
              <a:cs typeface="Calibri"/>
            </a:rPr>
            <a:t>$2,054,456</a:t>
          </a:fld>
          <a:endParaRPr lang="en-ZW" sz="1200" b="1">
            <a:solidFill>
              <a:schemeClr val="bg1"/>
            </a:solidFill>
          </a:endParaRPr>
        </a:p>
      </xdr:txBody>
    </xdr:sp>
    <xdr:clientData/>
  </xdr:twoCellAnchor>
  <xdr:twoCellAnchor>
    <xdr:from>
      <xdr:col>5</xdr:col>
      <xdr:colOff>255643</xdr:colOff>
      <xdr:row>9</xdr:row>
      <xdr:rowOff>138826</xdr:rowOff>
    </xdr:from>
    <xdr:to>
      <xdr:col>7</xdr:col>
      <xdr:colOff>354177</xdr:colOff>
      <xdr:row>11</xdr:row>
      <xdr:rowOff>105980</xdr:rowOff>
    </xdr:to>
    <xdr:sp macro="" textlink="Analysis1!D16">
      <xdr:nvSpPr>
        <xdr:cNvPr id="53" name="TextBox 52">
          <a:extLst>
            <a:ext uri="{FF2B5EF4-FFF2-40B4-BE49-F238E27FC236}">
              <a16:creationId xmlns:a16="http://schemas.microsoft.com/office/drawing/2014/main" id="{3F343B31-8CCB-4DFC-8F56-0C275C930E04}"/>
            </a:ext>
          </a:extLst>
        </xdr:cNvPr>
        <xdr:cNvSpPr txBox="1"/>
      </xdr:nvSpPr>
      <xdr:spPr>
        <a:xfrm>
          <a:off x="3321160" y="1813912"/>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8A6F6B-1BE8-4CB9-89DE-1D2EDD56579A}" type="TxLink">
            <a:rPr lang="en-US" sz="1200" b="0" i="0" u="none" strike="noStrike">
              <a:solidFill>
                <a:schemeClr val="bg1"/>
              </a:solidFill>
              <a:latin typeface="Calibri"/>
              <a:cs typeface="Calibri"/>
            </a:rPr>
            <a:t>$2,038,673</a:t>
          </a:fld>
          <a:endParaRPr lang="en-ZW" sz="1200" b="1">
            <a:solidFill>
              <a:schemeClr val="bg1"/>
            </a:solidFill>
          </a:endParaRPr>
        </a:p>
      </xdr:txBody>
    </xdr:sp>
    <xdr:clientData/>
  </xdr:twoCellAnchor>
  <xdr:twoCellAnchor>
    <xdr:from>
      <xdr:col>8</xdr:col>
      <xdr:colOff>79594</xdr:colOff>
      <xdr:row>9</xdr:row>
      <xdr:rowOff>181743</xdr:rowOff>
    </xdr:from>
    <xdr:to>
      <xdr:col>10</xdr:col>
      <xdr:colOff>178129</xdr:colOff>
      <xdr:row>11</xdr:row>
      <xdr:rowOff>148897</xdr:rowOff>
    </xdr:to>
    <xdr:sp macro="" textlink="Analysis1!D17">
      <xdr:nvSpPr>
        <xdr:cNvPr id="54" name="TextBox 53">
          <a:extLst>
            <a:ext uri="{FF2B5EF4-FFF2-40B4-BE49-F238E27FC236}">
              <a16:creationId xmlns:a16="http://schemas.microsoft.com/office/drawing/2014/main" id="{D9D1EA71-B94D-4BD5-8709-B0554934A566}"/>
            </a:ext>
          </a:extLst>
        </xdr:cNvPr>
        <xdr:cNvSpPr txBox="1"/>
      </xdr:nvSpPr>
      <xdr:spPr>
        <a:xfrm>
          <a:off x="4984422" y="1856829"/>
          <a:ext cx="1324741" cy="33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CD6F72-B4EC-40C3-A6B3-E6A98BE035F2}" type="TxLink">
            <a:rPr lang="en-US" sz="1200" b="0" i="0" u="none" strike="noStrike">
              <a:solidFill>
                <a:schemeClr val="bg1"/>
              </a:solidFill>
              <a:latin typeface="Calibri"/>
              <a:cs typeface="Calibri"/>
            </a:rPr>
            <a:t>$2,089,510</a:t>
          </a:fld>
          <a:endParaRPr lang="en-ZW" sz="1200" b="1">
            <a:solidFill>
              <a:schemeClr val="bg1"/>
            </a:solidFill>
          </a:endParaRPr>
        </a:p>
      </xdr:txBody>
    </xdr:sp>
    <xdr:clientData/>
  </xdr:twoCellAnchor>
  <xdr:twoCellAnchor editAs="oneCell">
    <xdr:from>
      <xdr:col>15</xdr:col>
      <xdr:colOff>197070</xdr:colOff>
      <xdr:row>3</xdr:row>
      <xdr:rowOff>131378</xdr:rowOff>
    </xdr:from>
    <xdr:to>
      <xdr:col>17</xdr:col>
      <xdr:colOff>372242</xdr:colOff>
      <xdr:row>7</xdr:row>
      <xdr:rowOff>120430</xdr:rowOff>
    </xdr:to>
    <mc:AlternateContent xmlns:mc="http://schemas.openxmlformats.org/markup-compatibility/2006">
      <mc:Choice xmlns:a14="http://schemas.microsoft.com/office/drawing/2010/main" Requires="a14">
        <xdr:graphicFrame macro="">
          <xdr:nvGraphicFramePr>
            <xdr:cNvPr id="55" name="PaymentMode">
              <a:extLst>
                <a:ext uri="{FF2B5EF4-FFF2-40B4-BE49-F238E27FC236}">
                  <a16:creationId xmlns:a16="http://schemas.microsoft.com/office/drawing/2014/main" id="{8532EE83-38F5-44AE-9AEA-4A5928EA8EFE}"/>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9289115" y="688034"/>
              <a:ext cx="1387445" cy="73126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547415</xdr:colOff>
      <xdr:row>2</xdr:row>
      <xdr:rowOff>156548</xdr:rowOff>
    </xdr:from>
    <xdr:to>
      <xdr:col>2</xdr:col>
      <xdr:colOff>251811</xdr:colOff>
      <xdr:row>4</xdr:row>
      <xdr:rowOff>91428</xdr:rowOff>
    </xdr:to>
    <xdr:sp macro="" textlink="">
      <xdr:nvSpPr>
        <xdr:cNvPr id="60" name="Rectangle: Rounded Corners 59">
          <a:extLst>
            <a:ext uri="{FF2B5EF4-FFF2-40B4-BE49-F238E27FC236}">
              <a16:creationId xmlns:a16="http://schemas.microsoft.com/office/drawing/2014/main" id="{54DFC781-7B10-123F-068C-DACCAAE98656}"/>
            </a:ext>
          </a:extLst>
        </xdr:cNvPr>
        <xdr:cNvSpPr/>
      </xdr:nvSpPr>
      <xdr:spPr>
        <a:xfrm>
          <a:off x="547415" y="527652"/>
          <a:ext cx="916669" cy="305984"/>
        </a:xfrm>
        <a:prstGeom prst="roundRect">
          <a:avLst/>
        </a:prstGeom>
        <a:solidFill>
          <a:srgbClr val="7B1290"/>
        </a:solidFill>
        <a:ln>
          <a:solidFill>
            <a:srgbClr val="7B129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0</xdr:col>
      <xdr:colOff>555733</xdr:colOff>
      <xdr:row>5</xdr:row>
      <xdr:rowOff>117803</xdr:rowOff>
    </xdr:from>
    <xdr:to>
      <xdr:col>2</xdr:col>
      <xdr:colOff>437056</xdr:colOff>
      <xdr:row>7</xdr:row>
      <xdr:rowOff>31968</xdr:rowOff>
    </xdr:to>
    <xdr:sp macro="" textlink="">
      <xdr:nvSpPr>
        <xdr:cNvPr id="57" name="TextBox 56">
          <a:extLst>
            <a:ext uri="{FF2B5EF4-FFF2-40B4-BE49-F238E27FC236}">
              <a16:creationId xmlns:a16="http://schemas.microsoft.com/office/drawing/2014/main" id="{9B74F743-2274-417F-85CE-799EBA645A62}"/>
            </a:ext>
          </a:extLst>
        </xdr:cNvPr>
        <xdr:cNvSpPr txBox="1"/>
      </xdr:nvSpPr>
      <xdr:spPr>
        <a:xfrm>
          <a:off x="555733" y="1048406"/>
          <a:ext cx="1107530" cy="28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Analysis</a:t>
          </a:r>
          <a:r>
            <a:rPr lang="en-ZW" sz="1100" baseline="0">
              <a:solidFill>
                <a:schemeClr val="bg1"/>
              </a:solidFill>
            </a:rPr>
            <a:t> </a:t>
          </a:r>
          <a:endParaRPr lang="en-ZW" sz="1100">
            <a:solidFill>
              <a:schemeClr val="bg1"/>
            </a:solidFill>
          </a:endParaRPr>
        </a:p>
      </xdr:txBody>
    </xdr:sp>
    <xdr:clientData/>
  </xdr:twoCellAnchor>
  <xdr:twoCellAnchor>
    <xdr:from>
      <xdr:col>0</xdr:col>
      <xdr:colOff>565806</xdr:colOff>
      <xdr:row>8</xdr:row>
      <xdr:rowOff>40288</xdr:rowOff>
    </xdr:from>
    <xdr:to>
      <xdr:col>2</xdr:col>
      <xdr:colOff>153276</xdr:colOff>
      <xdr:row>9</xdr:row>
      <xdr:rowOff>140575</xdr:rowOff>
    </xdr:to>
    <xdr:sp macro="" textlink="">
      <xdr:nvSpPr>
        <xdr:cNvPr id="58" name="TextBox 57">
          <a:extLst>
            <a:ext uri="{FF2B5EF4-FFF2-40B4-BE49-F238E27FC236}">
              <a16:creationId xmlns:a16="http://schemas.microsoft.com/office/drawing/2014/main" id="{B6BD1BDC-FCE7-4504-AC43-1A55D53C777A}"/>
            </a:ext>
          </a:extLst>
        </xdr:cNvPr>
        <xdr:cNvSpPr txBox="1"/>
      </xdr:nvSpPr>
      <xdr:spPr>
        <a:xfrm>
          <a:off x="565806" y="1529254"/>
          <a:ext cx="813677" cy="28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Data sets </a:t>
          </a:r>
        </a:p>
      </xdr:txBody>
    </xdr:sp>
    <xdr:clientData/>
  </xdr:twoCellAnchor>
  <xdr:twoCellAnchor>
    <xdr:from>
      <xdr:col>15</xdr:col>
      <xdr:colOff>294727</xdr:colOff>
      <xdr:row>2</xdr:row>
      <xdr:rowOff>114079</xdr:rowOff>
    </xdr:from>
    <xdr:to>
      <xdr:col>17</xdr:col>
      <xdr:colOff>325930</xdr:colOff>
      <xdr:row>5</xdr:row>
      <xdr:rowOff>114079</xdr:rowOff>
    </xdr:to>
    <xdr:sp macro="" textlink="">
      <xdr:nvSpPr>
        <xdr:cNvPr id="61" name="TextBox 60">
          <a:extLst>
            <a:ext uri="{FF2B5EF4-FFF2-40B4-BE49-F238E27FC236}">
              <a16:creationId xmlns:a16="http://schemas.microsoft.com/office/drawing/2014/main" id="{FB933D21-6370-4243-BD33-94CDC45CC46F}"/>
            </a:ext>
          </a:extLst>
        </xdr:cNvPr>
        <xdr:cNvSpPr txBox="1"/>
      </xdr:nvSpPr>
      <xdr:spPr>
        <a:xfrm>
          <a:off x="9491279" y="486320"/>
          <a:ext cx="1257410" cy="55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Payment method</a:t>
          </a:r>
        </a:p>
      </xdr:txBody>
    </xdr:sp>
    <xdr:clientData/>
  </xdr:twoCellAnchor>
  <xdr:twoCellAnchor>
    <xdr:from>
      <xdr:col>0</xdr:col>
      <xdr:colOff>556610</xdr:colOff>
      <xdr:row>22</xdr:row>
      <xdr:rowOff>173423</xdr:rowOff>
    </xdr:from>
    <xdr:to>
      <xdr:col>2</xdr:col>
      <xdr:colOff>470776</xdr:colOff>
      <xdr:row>26</xdr:row>
      <xdr:rowOff>21897</xdr:rowOff>
    </xdr:to>
    <xdr:sp macro="" textlink="">
      <xdr:nvSpPr>
        <xdr:cNvPr id="62" name="TextBox 61">
          <a:extLst>
            <a:ext uri="{FF2B5EF4-FFF2-40B4-BE49-F238E27FC236}">
              <a16:creationId xmlns:a16="http://schemas.microsoft.com/office/drawing/2014/main" id="{7EDB5B7A-596E-4B02-9DC2-C2A1104B8430}"/>
            </a:ext>
          </a:extLst>
        </xdr:cNvPr>
        <xdr:cNvSpPr txBox="1"/>
      </xdr:nvSpPr>
      <xdr:spPr>
        <a:xfrm>
          <a:off x="556610" y="4268078"/>
          <a:ext cx="1140373" cy="592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Onuh</a:t>
          </a:r>
          <a:r>
            <a:rPr lang="en-ZW" sz="1200" baseline="0">
              <a:solidFill>
                <a:schemeClr val="bg1"/>
              </a:solidFill>
            </a:rPr>
            <a:t> chinecherem</a:t>
          </a:r>
          <a:endParaRPr lang="en-ZW" sz="1200">
            <a:solidFill>
              <a:schemeClr val="bg1"/>
            </a:solidFill>
          </a:endParaRPr>
        </a:p>
      </xdr:txBody>
    </xdr:sp>
    <xdr:clientData/>
  </xdr:twoCellAnchor>
  <xdr:twoCellAnchor editAs="oneCell">
    <xdr:from>
      <xdr:col>1</xdr:col>
      <xdr:colOff>21897</xdr:colOff>
      <xdr:row>21</xdr:row>
      <xdr:rowOff>54742</xdr:rowOff>
    </xdr:from>
    <xdr:to>
      <xdr:col>1</xdr:col>
      <xdr:colOff>295605</xdr:colOff>
      <xdr:row>22</xdr:row>
      <xdr:rowOff>142329</xdr:rowOff>
    </xdr:to>
    <xdr:pic>
      <xdr:nvPicPr>
        <xdr:cNvPr id="64" name="Picture 63">
          <a:extLst>
            <a:ext uri="{FF2B5EF4-FFF2-40B4-BE49-F238E27FC236}">
              <a16:creationId xmlns:a16="http://schemas.microsoft.com/office/drawing/2014/main" id="{E8E7658C-04DE-AE9E-79F8-999D116D704B}"/>
            </a:ext>
          </a:extLst>
        </xdr:cNvPr>
        <xdr:cNvPicPr>
          <a:picLocks noChangeAspect="1"/>
        </xdr:cNvPicPr>
      </xdr:nvPicPr>
      <xdr:blipFill>
        <a:blip xmlns:r="http://schemas.openxmlformats.org/officeDocument/2006/relationships" r:embed="rId8" cstate="print">
          <a:biLevel thresh="50000"/>
          <a:extLst>
            <a:ext uri="{28A0092B-C50C-407E-A947-70E740481C1C}">
              <a14:useLocalDpi xmlns:a14="http://schemas.microsoft.com/office/drawing/2010/main" val="0"/>
            </a:ext>
          </a:extLst>
        </a:blip>
        <a:stretch>
          <a:fillRect/>
        </a:stretch>
      </xdr:blipFill>
      <xdr:spPr>
        <a:xfrm>
          <a:off x="635000" y="3963276"/>
          <a:ext cx="273708" cy="273708"/>
        </a:xfrm>
        <a:prstGeom prst="rect">
          <a:avLst/>
        </a:prstGeom>
      </xdr:spPr>
    </xdr:pic>
    <xdr:clientData/>
  </xdr:twoCellAnchor>
  <xdr:twoCellAnchor>
    <xdr:from>
      <xdr:col>16</xdr:col>
      <xdr:colOff>445326</xdr:colOff>
      <xdr:row>16</xdr:row>
      <xdr:rowOff>174491</xdr:rowOff>
    </xdr:from>
    <xdr:to>
      <xdr:col>18</xdr:col>
      <xdr:colOff>148441</xdr:colOff>
      <xdr:row>20</xdr:row>
      <xdr:rowOff>86591</xdr:rowOff>
    </xdr:to>
    <xdr:sp macro="" textlink="Analysis1!D17">
      <xdr:nvSpPr>
        <xdr:cNvPr id="65" name="TextBox 64">
          <a:extLst>
            <a:ext uri="{FF2B5EF4-FFF2-40B4-BE49-F238E27FC236}">
              <a16:creationId xmlns:a16="http://schemas.microsoft.com/office/drawing/2014/main" id="{0EFF32E4-BABF-42EB-98CE-8020527993C0}"/>
            </a:ext>
          </a:extLst>
        </xdr:cNvPr>
        <xdr:cNvSpPr txBox="1"/>
      </xdr:nvSpPr>
      <xdr:spPr>
        <a:xfrm>
          <a:off x="10143508" y="3143322"/>
          <a:ext cx="915388" cy="654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0">
              <a:solidFill>
                <a:schemeClr val="bg1"/>
              </a:solidFill>
            </a:rPr>
            <a:t>Electronics</a:t>
          </a:r>
        </a:p>
        <a:p>
          <a:r>
            <a:rPr lang="en-ZW" sz="1200" b="0">
              <a:solidFill>
                <a:schemeClr val="bg1"/>
              </a:solidFill>
            </a:rPr>
            <a:t>furniture</a:t>
          </a:r>
        </a:p>
        <a:p>
          <a:r>
            <a:rPr lang="en-ZW" sz="1200" b="0">
              <a:solidFill>
                <a:schemeClr val="bg1"/>
              </a:solidFill>
            </a:rPr>
            <a:t>office supplies</a:t>
          </a:r>
        </a:p>
      </xdr:txBody>
    </xdr:sp>
    <xdr:clientData/>
  </xdr:twoCellAnchor>
  <xdr:twoCellAnchor>
    <xdr:from>
      <xdr:col>16</xdr:col>
      <xdr:colOff>420586</xdr:colOff>
      <xdr:row>17</xdr:row>
      <xdr:rowOff>86592</xdr:rowOff>
    </xdr:from>
    <xdr:to>
      <xdr:col>16</xdr:col>
      <xdr:colOff>531916</xdr:colOff>
      <xdr:row>17</xdr:row>
      <xdr:rowOff>148442</xdr:rowOff>
    </xdr:to>
    <xdr:sp macro="" textlink="">
      <xdr:nvSpPr>
        <xdr:cNvPr id="66" name="Oval 65">
          <a:extLst>
            <a:ext uri="{FF2B5EF4-FFF2-40B4-BE49-F238E27FC236}">
              <a16:creationId xmlns:a16="http://schemas.microsoft.com/office/drawing/2014/main" id="{B6E597D5-81CF-7131-8AC1-29B9344DA693}"/>
            </a:ext>
          </a:extLst>
        </xdr:cNvPr>
        <xdr:cNvSpPr/>
      </xdr:nvSpPr>
      <xdr:spPr>
        <a:xfrm>
          <a:off x="10118768" y="3240975"/>
          <a:ext cx="111330" cy="61850"/>
        </a:xfrm>
        <a:prstGeom prst="ellipse">
          <a:avLst/>
        </a:prstGeom>
        <a:solidFill>
          <a:srgbClr val="682AC4"/>
        </a:solidFill>
        <a:ln>
          <a:solidFill>
            <a:srgbClr val="682AC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16</xdr:col>
      <xdr:colOff>399804</xdr:colOff>
      <xdr:row>18</xdr:row>
      <xdr:rowOff>90550</xdr:rowOff>
    </xdr:from>
    <xdr:to>
      <xdr:col>16</xdr:col>
      <xdr:colOff>511134</xdr:colOff>
      <xdr:row>18</xdr:row>
      <xdr:rowOff>152400</xdr:rowOff>
    </xdr:to>
    <xdr:sp macro="" textlink="">
      <xdr:nvSpPr>
        <xdr:cNvPr id="67" name="Oval 66">
          <a:extLst>
            <a:ext uri="{FF2B5EF4-FFF2-40B4-BE49-F238E27FC236}">
              <a16:creationId xmlns:a16="http://schemas.microsoft.com/office/drawing/2014/main" id="{5359AA09-64BF-48C0-892F-75EABB6B0FAA}"/>
            </a:ext>
          </a:extLst>
        </xdr:cNvPr>
        <xdr:cNvSpPr/>
      </xdr:nvSpPr>
      <xdr:spPr>
        <a:xfrm>
          <a:off x="10097986" y="3430485"/>
          <a:ext cx="111330" cy="61850"/>
        </a:xfrm>
        <a:prstGeom prst="ellipse">
          <a:avLst/>
        </a:prstGeom>
        <a:solidFill>
          <a:srgbClr val="A484E4"/>
        </a:solidFill>
        <a:ln>
          <a:solidFill>
            <a:srgbClr val="A484E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16</xdr:col>
      <xdr:colOff>403763</xdr:colOff>
      <xdr:row>19</xdr:row>
      <xdr:rowOff>69768</xdr:rowOff>
    </xdr:from>
    <xdr:to>
      <xdr:col>16</xdr:col>
      <xdr:colOff>515093</xdr:colOff>
      <xdr:row>19</xdr:row>
      <xdr:rowOff>131618</xdr:rowOff>
    </xdr:to>
    <xdr:sp macro="" textlink="">
      <xdr:nvSpPr>
        <xdr:cNvPr id="68" name="Oval 67">
          <a:extLst>
            <a:ext uri="{FF2B5EF4-FFF2-40B4-BE49-F238E27FC236}">
              <a16:creationId xmlns:a16="http://schemas.microsoft.com/office/drawing/2014/main" id="{160071FE-EC28-4F46-B12D-2B24EF03E091}"/>
            </a:ext>
          </a:extLst>
        </xdr:cNvPr>
        <xdr:cNvSpPr/>
      </xdr:nvSpPr>
      <xdr:spPr>
        <a:xfrm>
          <a:off x="10101945" y="3595255"/>
          <a:ext cx="111330" cy="61850"/>
        </a:xfrm>
        <a:prstGeom prst="ellipse">
          <a:avLst/>
        </a:prstGeom>
        <a:solidFill>
          <a:srgbClr val="C938E6"/>
        </a:solidFill>
        <a:ln>
          <a:solidFill>
            <a:srgbClr val="C938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373394</xdr:colOff>
      <xdr:row>17</xdr:row>
      <xdr:rowOff>72021</xdr:rowOff>
    </xdr:from>
    <xdr:to>
      <xdr:col>6</xdr:col>
      <xdr:colOff>37110</xdr:colOff>
      <xdr:row>19</xdr:row>
      <xdr:rowOff>39174</xdr:rowOff>
    </xdr:to>
    <xdr:sp macro="" textlink="Analysis1!D15">
      <xdr:nvSpPr>
        <xdr:cNvPr id="69" name="TextBox 68">
          <a:extLst>
            <a:ext uri="{FF2B5EF4-FFF2-40B4-BE49-F238E27FC236}">
              <a16:creationId xmlns:a16="http://schemas.microsoft.com/office/drawing/2014/main" id="{3F39C7A9-8B4D-4FC1-AACC-9BAF49232E57}"/>
            </a:ext>
          </a:extLst>
        </xdr:cNvPr>
        <xdr:cNvSpPr txBox="1"/>
      </xdr:nvSpPr>
      <xdr:spPr>
        <a:xfrm>
          <a:off x="1585667" y="3226404"/>
          <a:ext cx="2088261" cy="3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0">
              <a:solidFill>
                <a:schemeClr val="bg1"/>
              </a:solidFill>
            </a:rPr>
            <a:t>Top-5</a:t>
          </a:r>
          <a:r>
            <a:rPr lang="en-ZW" sz="1200" b="0" baseline="0">
              <a:solidFill>
                <a:schemeClr val="bg1"/>
              </a:solidFill>
            </a:rPr>
            <a:t> Customers by sales</a:t>
          </a:r>
          <a:endParaRPr lang="en-ZW" sz="1200" b="0">
            <a:solidFill>
              <a:schemeClr val="bg1"/>
            </a:solidFill>
          </a:endParaRPr>
        </a:p>
      </xdr:txBody>
    </xdr:sp>
    <xdr:clientData/>
  </xdr:twoCellAnchor>
  <xdr:twoCellAnchor>
    <xdr:from>
      <xdr:col>11</xdr:col>
      <xdr:colOff>327874</xdr:colOff>
      <xdr:row>16</xdr:row>
      <xdr:rowOff>162570</xdr:rowOff>
    </xdr:from>
    <xdr:to>
      <xdr:col>14</xdr:col>
      <xdr:colOff>177141</xdr:colOff>
      <xdr:row>18</xdr:row>
      <xdr:rowOff>129723</xdr:rowOff>
    </xdr:to>
    <xdr:sp macro="" textlink="Analysis1!D15">
      <xdr:nvSpPr>
        <xdr:cNvPr id="70" name="TextBox 69">
          <a:extLst>
            <a:ext uri="{FF2B5EF4-FFF2-40B4-BE49-F238E27FC236}">
              <a16:creationId xmlns:a16="http://schemas.microsoft.com/office/drawing/2014/main" id="{DF52FF1A-7F77-47AE-ABED-87B4C5A85D3C}"/>
            </a:ext>
          </a:extLst>
        </xdr:cNvPr>
        <xdr:cNvSpPr txBox="1"/>
      </xdr:nvSpPr>
      <xdr:spPr>
        <a:xfrm>
          <a:off x="6995374" y="3131401"/>
          <a:ext cx="1667676" cy="3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1">
              <a:solidFill>
                <a:schemeClr val="bg1"/>
              </a:solidFill>
            </a:rPr>
            <a:t>yearly</a:t>
          </a:r>
          <a:r>
            <a:rPr lang="en-ZW" sz="1200" b="1" baseline="0">
              <a:solidFill>
                <a:schemeClr val="bg1"/>
              </a:solidFill>
            </a:rPr>
            <a:t> performance</a:t>
          </a:r>
          <a:endParaRPr lang="en-ZW" sz="1200" b="1">
            <a:solidFill>
              <a:schemeClr val="bg1"/>
            </a:solidFill>
          </a:endParaRPr>
        </a:p>
      </xdr:txBody>
    </xdr:sp>
    <xdr:clientData/>
  </xdr:twoCellAnchor>
  <xdr:twoCellAnchor>
    <xdr:from>
      <xdr:col>2</xdr:col>
      <xdr:colOff>364984</xdr:colOff>
      <xdr:row>7</xdr:row>
      <xdr:rowOff>150199</xdr:rowOff>
    </xdr:from>
    <xdr:to>
      <xdr:col>5</xdr:col>
      <xdr:colOff>214251</xdr:colOff>
      <xdr:row>9</xdr:row>
      <xdr:rowOff>117352</xdr:rowOff>
    </xdr:to>
    <xdr:sp macro="" textlink="Analysis1!D15">
      <xdr:nvSpPr>
        <xdr:cNvPr id="71" name="TextBox 70">
          <a:extLst>
            <a:ext uri="{FF2B5EF4-FFF2-40B4-BE49-F238E27FC236}">
              <a16:creationId xmlns:a16="http://schemas.microsoft.com/office/drawing/2014/main" id="{FCB902ED-17C5-423D-8DD9-D8851EEF2FFC}"/>
            </a:ext>
          </a:extLst>
        </xdr:cNvPr>
        <xdr:cNvSpPr txBox="1"/>
      </xdr:nvSpPr>
      <xdr:spPr>
        <a:xfrm>
          <a:off x="1577257" y="1449063"/>
          <a:ext cx="1667676" cy="3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0">
              <a:solidFill>
                <a:schemeClr val="bg1"/>
              </a:solidFill>
            </a:rPr>
            <a:t>Categories</a:t>
          </a:r>
          <a:r>
            <a:rPr lang="en-ZW" sz="1200" b="0" baseline="0">
              <a:solidFill>
                <a:schemeClr val="bg1"/>
              </a:solidFill>
            </a:rPr>
            <a:t> overview</a:t>
          </a:r>
          <a:endParaRPr lang="en-ZW" sz="1200" b="0">
            <a:solidFill>
              <a:schemeClr val="bg1"/>
            </a:solidFill>
          </a:endParaRPr>
        </a:p>
      </xdr:txBody>
    </xdr:sp>
    <xdr:clientData/>
  </xdr:twoCellAnchor>
  <xdr:twoCellAnchor>
    <xdr:from>
      <xdr:col>6</xdr:col>
      <xdr:colOff>426833</xdr:colOff>
      <xdr:row>16</xdr:row>
      <xdr:rowOff>125460</xdr:rowOff>
    </xdr:from>
    <xdr:to>
      <xdr:col>10</xdr:col>
      <xdr:colOff>90548</xdr:colOff>
      <xdr:row>18</xdr:row>
      <xdr:rowOff>92613</xdr:rowOff>
    </xdr:to>
    <xdr:sp macro="" textlink="Analysis1!D15">
      <xdr:nvSpPr>
        <xdr:cNvPr id="72" name="TextBox 71">
          <a:extLst>
            <a:ext uri="{FF2B5EF4-FFF2-40B4-BE49-F238E27FC236}">
              <a16:creationId xmlns:a16="http://schemas.microsoft.com/office/drawing/2014/main" id="{D81E222A-BEA3-4669-8F2A-53DF3737812C}"/>
            </a:ext>
          </a:extLst>
        </xdr:cNvPr>
        <xdr:cNvSpPr txBox="1"/>
      </xdr:nvSpPr>
      <xdr:spPr>
        <a:xfrm>
          <a:off x="4063651" y="3094291"/>
          <a:ext cx="2088261" cy="3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0">
              <a:solidFill>
                <a:schemeClr val="bg1"/>
              </a:solidFill>
            </a:rPr>
            <a:t>Sales</a:t>
          </a:r>
          <a:r>
            <a:rPr lang="en-ZW" sz="1200" b="0" baseline="0">
              <a:solidFill>
                <a:schemeClr val="bg1"/>
              </a:solidFill>
            </a:rPr>
            <a:t> by country(usa)</a:t>
          </a:r>
          <a:endParaRPr lang="en-ZW" sz="1200" b="0">
            <a:solidFill>
              <a:schemeClr val="bg1"/>
            </a:solidFill>
          </a:endParaRPr>
        </a:p>
      </xdr:txBody>
    </xdr:sp>
    <xdr:clientData/>
  </xdr:twoCellAnchor>
  <xdr:twoCellAnchor>
    <xdr:from>
      <xdr:col>11</xdr:col>
      <xdr:colOff>368943</xdr:colOff>
      <xdr:row>7</xdr:row>
      <xdr:rowOff>129417</xdr:rowOff>
    </xdr:from>
    <xdr:to>
      <xdr:col>14</xdr:col>
      <xdr:colOff>531916</xdr:colOff>
      <xdr:row>9</xdr:row>
      <xdr:rowOff>96570</xdr:rowOff>
    </xdr:to>
    <xdr:sp macro="" textlink="Analysis1!D15">
      <xdr:nvSpPr>
        <xdr:cNvPr id="73" name="TextBox 72">
          <a:extLst>
            <a:ext uri="{FF2B5EF4-FFF2-40B4-BE49-F238E27FC236}">
              <a16:creationId xmlns:a16="http://schemas.microsoft.com/office/drawing/2014/main" id="{2F5D95F3-2978-43B1-94AC-71CA5B60F774}"/>
            </a:ext>
          </a:extLst>
        </xdr:cNvPr>
        <xdr:cNvSpPr txBox="1"/>
      </xdr:nvSpPr>
      <xdr:spPr>
        <a:xfrm>
          <a:off x="7036443" y="1428281"/>
          <a:ext cx="1981382" cy="3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b="1">
              <a:solidFill>
                <a:schemeClr val="bg1"/>
              </a:solidFill>
            </a:rPr>
            <a:t>Sub-catergories</a:t>
          </a:r>
          <a:r>
            <a:rPr lang="en-ZW" sz="1200" b="1" baseline="0">
              <a:solidFill>
                <a:schemeClr val="bg1"/>
              </a:solidFill>
            </a:rPr>
            <a:t> by sales</a:t>
          </a:r>
          <a:endParaRPr lang="en-ZW" sz="1200" b="1">
            <a:solidFill>
              <a:schemeClr val="bg1"/>
            </a:solidFill>
          </a:endParaRPr>
        </a:p>
      </xdr:txBody>
    </xdr:sp>
    <xdr:clientData/>
  </xdr:twoCellAnchor>
  <xdr:twoCellAnchor>
    <xdr:from>
      <xdr:col>0</xdr:col>
      <xdr:colOff>479971</xdr:colOff>
      <xdr:row>3</xdr:row>
      <xdr:rowOff>9196</xdr:rowOff>
    </xdr:from>
    <xdr:to>
      <xdr:col>2</xdr:col>
      <xdr:colOff>361294</xdr:colOff>
      <xdr:row>4</xdr:row>
      <xdr:rowOff>109482</xdr:rowOff>
    </xdr:to>
    <xdr:sp macro="" textlink="">
      <xdr:nvSpPr>
        <xdr:cNvPr id="56" name="TextBox 55">
          <a:extLst>
            <a:ext uri="{FF2B5EF4-FFF2-40B4-BE49-F238E27FC236}">
              <a16:creationId xmlns:a16="http://schemas.microsoft.com/office/drawing/2014/main" id="{AEC23344-B664-4498-B5E6-B53244B706E8}"/>
            </a:ext>
          </a:extLst>
        </xdr:cNvPr>
        <xdr:cNvSpPr txBox="1"/>
      </xdr:nvSpPr>
      <xdr:spPr>
        <a:xfrm>
          <a:off x="479971" y="567558"/>
          <a:ext cx="1107530" cy="28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Dashbohboard</a:t>
          </a:r>
          <a:r>
            <a:rPr lang="en-ZW" sz="1100" baseline="0">
              <a:solidFill>
                <a:schemeClr val="bg1"/>
              </a:solidFill>
            </a:rPr>
            <a:t> </a:t>
          </a:r>
          <a:endParaRPr lang="en-ZW"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503621</xdr:colOff>
      <xdr:row>0</xdr:row>
      <xdr:rowOff>104775</xdr:rowOff>
    </xdr:from>
    <xdr:to>
      <xdr:col>18</xdr:col>
      <xdr:colOff>32845</xdr:colOff>
      <xdr:row>25</xdr:row>
      <xdr:rowOff>153276</xdr:rowOff>
    </xdr:to>
    <xdr:sp macro="" textlink="">
      <xdr:nvSpPr>
        <xdr:cNvPr id="2" name="Rectangle 1">
          <a:extLst>
            <a:ext uri="{FF2B5EF4-FFF2-40B4-BE49-F238E27FC236}">
              <a16:creationId xmlns:a16="http://schemas.microsoft.com/office/drawing/2014/main" id="{FDF18FA9-9019-4C44-89D5-3D8D36F4D108}"/>
            </a:ext>
          </a:extLst>
        </xdr:cNvPr>
        <xdr:cNvSpPr/>
      </xdr:nvSpPr>
      <xdr:spPr>
        <a:xfrm>
          <a:off x="503621" y="104775"/>
          <a:ext cx="10502024" cy="4811001"/>
        </a:xfrm>
        <a:prstGeom prst="rect">
          <a:avLst/>
        </a:prstGeom>
        <a:solidFill>
          <a:schemeClr val="tx1">
            <a:lumMod val="95000"/>
            <a:lumOff val="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428625</xdr:colOff>
      <xdr:row>2</xdr:row>
      <xdr:rowOff>170573</xdr:rowOff>
    </xdr:from>
    <xdr:to>
      <xdr:col>5</xdr:col>
      <xdr:colOff>43792</xdr:colOff>
      <xdr:row>7</xdr:row>
      <xdr:rowOff>37223</xdr:rowOff>
    </xdr:to>
    <xdr:sp macro="" textlink="">
      <xdr:nvSpPr>
        <xdr:cNvPr id="3" name="Rectangle 2">
          <a:extLst>
            <a:ext uri="{FF2B5EF4-FFF2-40B4-BE49-F238E27FC236}">
              <a16:creationId xmlns:a16="http://schemas.microsoft.com/office/drawing/2014/main" id="{00764690-AB3C-4AD6-94F5-C00D4D54E138}"/>
            </a:ext>
          </a:extLst>
        </xdr:cNvPr>
        <xdr:cNvSpPr/>
      </xdr:nvSpPr>
      <xdr:spPr>
        <a:xfrm>
          <a:off x="1647825" y="551573"/>
          <a:ext cx="1443967" cy="81915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324836</xdr:colOff>
      <xdr:row>7</xdr:row>
      <xdr:rowOff>120431</xdr:rowOff>
    </xdr:from>
    <xdr:to>
      <xdr:col>11</xdr:col>
      <xdr:colOff>186121</xdr:colOff>
      <xdr:row>16</xdr:row>
      <xdr:rowOff>98535</xdr:rowOff>
    </xdr:to>
    <xdr:sp macro="" textlink="">
      <xdr:nvSpPr>
        <xdr:cNvPr id="4" name="Rectangle 3">
          <a:extLst>
            <a:ext uri="{FF2B5EF4-FFF2-40B4-BE49-F238E27FC236}">
              <a16:creationId xmlns:a16="http://schemas.microsoft.com/office/drawing/2014/main" id="{D1D091CA-6E48-4043-A5D2-C41467480BD7}"/>
            </a:ext>
          </a:extLst>
        </xdr:cNvPr>
        <xdr:cNvSpPr/>
      </xdr:nvSpPr>
      <xdr:spPr>
        <a:xfrm>
          <a:off x="1544036" y="1453931"/>
          <a:ext cx="5347685" cy="1692604"/>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5</xdr:col>
      <xdr:colOff>154946</xdr:colOff>
      <xdr:row>3</xdr:row>
      <xdr:rowOff>6349</xdr:rowOff>
    </xdr:from>
    <xdr:to>
      <xdr:col>7</xdr:col>
      <xdr:colOff>311067</xdr:colOff>
      <xdr:row>7</xdr:row>
      <xdr:rowOff>59120</xdr:rowOff>
    </xdr:to>
    <xdr:sp macro="" textlink="">
      <xdr:nvSpPr>
        <xdr:cNvPr id="5" name="Rectangle 4">
          <a:extLst>
            <a:ext uri="{FF2B5EF4-FFF2-40B4-BE49-F238E27FC236}">
              <a16:creationId xmlns:a16="http://schemas.microsoft.com/office/drawing/2014/main" id="{CA40E822-B12B-4AD7-B6B4-913C2FAF0999}"/>
            </a:ext>
          </a:extLst>
        </xdr:cNvPr>
        <xdr:cNvSpPr/>
      </xdr:nvSpPr>
      <xdr:spPr>
        <a:xfrm>
          <a:off x="3202946" y="577849"/>
          <a:ext cx="1375321" cy="814771"/>
        </a:xfrm>
        <a:prstGeom prst="rect">
          <a:avLst/>
        </a:prstGeom>
        <a:solidFill>
          <a:srgbClr val="C938E6">
            <a:alpha val="24000"/>
          </a:srgb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7</xdr:col>
      <xdr:colOff>378427</xdr:colOff>
      <xdr:row>2</xdr:row>
      <xdr:rowOff>170573</xdr:rowOff>
    </xdr:from>
    <xdr:to>
      <xdr:col>9</xdr:col>
      <xdr:colOff>509696</xdr:colOff>
      <xdr:row>7</xdr:row>
      <xdr:rowOff>37223</xdr:rowOff>
    </xdr:to>
    <xdr:sp macro="" textlink="">
      <xdr:nvSpPr>
        <xdr:cNvPr id="6" name="Rectangle 5">
          <a:extLst>
            <a:ext uri="{FF2B5EF4-FFF2-40B4-BE49-F238E27FC236}">
              <a16:creationId xmlns:a16="http://schemas.microsoft.com/office/drawing/2014/main" id="{5BF53B7B-0F23-4A0E-ACA5-B7D1D8B0748F}"/>
            </a:ext>
          </a:extLst>
        </xdr:cNvPr>
        <xdr:cNvSpPr/>
      </xdr:nvSpPr>
      <xdr:spPr>
        <a:xfrm>
          <a:off x="4645627" y="551573"/>
          <a:ext cx="1350469" cy="81915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317499</xdr:colOff>
      <xdr:row>16</xdr:row>
      <xdr:rowOff>131379</xdr:rowOff>
    </xdr:from>
    <xdr:to>
      <xdr:col>6</xdr:col>
      <xdr:colOff>273707</xdr:colOff>
      <xdr:row>25</xdr:row>
      <xdr:rowOff>76638</xdr:rowOff>
    </xdr:to>
    <xdr:sp macro="" textlink="">
      <xdr:nvSpPr>
        <xdr:cNvPr id="7" name="Rectangle 6">
          <a:extLst>
            <a:ext uri="{FF2B5EF4-FFF2-40B4-BE49-F238E27FC236}">
              <a16:creationId xmlns:a16="http://schemas.microsoft.com/office/drawing/2014/main" id="{90786C1C-60BF-4FB0-8310-F773D4594CC3}"/>
            </a:ext>
          </a:extLst>
        </xdr:cNvPr>
        <xdr:cNvSpPr/>
      </xdr:nvSpPr>
      <xdr:spPr>
        <a:xfrm>
          <a:off x="1536699" y="3179379"/>
          <a:ext cx="2394608" cy="1659759"/>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295603</xdr:colOff>
      <xdr:row>16</xdr:row>
      <xdr:rowOff>131380</xdr:rowOff>
    </xdr:from>
    <xdr:to>
      <xdr:col>18</xdr:col>
      <xdr:colOff>0</xdr:colOff>
      <xdr:row>25</xdr:row>
      <xdr:rowOff>97110</xdr:rowOff>
    </xdr:to>
    <xdr:sp macro="" textlink="">
      <xdr:nvSpPr>
        <xdr:cNvPr id="8" name="Rectangle 7">
          <a:extLst>
            <a:ext uri="{FF2B5EF4-FFF2-40B4-BE49-F238E27FC236}">
              <a16:creationId xmlns:a16="http://schemas.microsoft.com/office/drawing/2014/main" id="{FD1B2B4A-5027-43F2-9D34-4D143A980A47}"/>
            </a:ext>
          </a:extLst>
        </xdr:cNvPr>
        <xdr:cNvSpPr/>
      </xdr:nvSpPr>
      <xdr:spPr>
        <a:xfrm>
          <a:off x="7001203" y="3179380"/>
          <a:ext cx="3971597" cy="168023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273707</xdr:colOff>
      <xdr:row>7</xdr:row>
      <xdr:rowOff>120430</xdr:rowOff>
    </xdr:from>
    <xdr:to>
      <xdr:col>18</xdr:col>
      <xdr:colOff>1</xdr:colOff>
      <xdr:row>16</xdr:row>
      <xdr:rowOff>65689</xdr:rowOff>
    </xdr:to>
    <xdr:sp macro="" textlink="">
      <xdr:nvSpPr>
        <xdr:cNvPr id="9" name="Rectangle 8">
          <a:extLst>
            <a:ext uri="{FF2B5EF4-FFF2-40B4-BE49-F238E27FC236}">
              <a16:creationId xmlns:a16="http://schemas.microsoft.com/office/drawing/2014/main" id="{AB7B468B-0E69-4FD0-82EF-1074065BE18D}"/>
            </a:ext>
          </a:extLst>
        </xdr:cNvPr>
        <xdr:cNvSpPr/>
      </xdr:nvSpPr>
      <xdr:spPr>
        <a:xfrm>
          <a:off x="6979307" y="1453930"/>
          <a:ext cx="3993494" cy="1659759"/>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6</xdr:col>
      <xdr:colOff>383189</xdr:colOff>
      <xdr:row>16</xdr:row>
      <xdr:rowOff>131380</xdr:rowOff>
    </xdr:from>
    <xdr:to>
      <xdr:col>11</xdr:col>
      <xdr:colOff>197069</xdr:colOff>
      <xdr:row>25</xdr:row>
      <xdr:rowOff>85286</xdr:rowOff>
    </xdr:to>
    <xdr:sp macro="" textlink="">
      <xdr:nvSpPr>
        <xdr:cNvPr id="10" name="Rectangle 9">
          <a:extLst>
            <a:ext uri="{FF2B5EF4-FFF2-40B4-BE49-F238E27FC236}">
              <a16:creationId xmlns:a16="http://schemas.microsoft.com/office/drawing/2014/main" id="{B73075A8-A041-42A8-A3CC-B939F74DC1DA}"/>
            </a:ext>
          </a:extLst>
        </xdr:cNvPr>
        <xdr:cNvSpPr/>
      </xdr:nvSpPr>
      <xdr:spPr>
        <a:xfrm>
          <a:off x="4040789" y="3179380"/>
          <a:ext cx="2861880" cy="1668406"/>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10</xdr:col>
      <xdr:colOff>84384</xdr:colOff>
      <xdr:row>2</xdr:row>
      <xdr:rowOff>170573</xdr:rowOff>
    </xdr:from>
    <xdr:to>
      <xdr:col>12</xdr:col>
      <xdr:colOff>215653</xdr:colOff>
      <xdr:row>7</xdr:row>
      <xdr:rowOff>37223</xdr:rowOff>
    </xdr:to>
    <xdr:sp macro="" textlink="">
      <xdr:nvSpPr>
        <xdr:cNvPr id="11" name="Rectangle 10">
          <a:extLst>
            <a:ext uri="{FF2B5EF4-FFF2-40B4-BE49-F238E27FC236}">
              <a16:creationId xmlns:a16="http://schemas.microsoft.com/office/drawing/2014/main" id="{A6A0B20F-BCB1-498C-A0B7-29188FB8E344}"/>
            </a:ext>
          </a:extLst>
        </xdr:cNvPr>
        <xdr:cNvSpPr/>
      </xdr:nvSpPr>
      <xdr:spPr>
        <a:xfrm>
          <a:off x="6180384" y="551573"/>
          <a:ext cx="1350469" cy="81915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12</xdr:col>
      <xdr:colOff>403444</xdr:colOff>
      <xdr:row>2</xdr:row>
      <xdr:rowOff>170573</xdr:rowOff>
    </xdr:from>
    <xdr:to>
      <xdr:col>15</xdr:col>
      <xdr:colOff>120431</xdr:colOff>
      <xdr:row>7</xdr:row>
      <xdr:rowOff>37223</xdr:rowOff>
    </xdr:to>
    <xdr:sp macro="" textlink="">
      <xdr:nvSpPr>
        <xdr:cNvPr id="12" name="Rectangle 11">
          <a:extLst>
            <a:ext uri="{FF2B5EF4-FFF2-40B4-BE49-F238E27FC236}">
              <a16:creationId xmlns:a16="http://schemas.microsoft.com/office/drawing/2014/main" id="{97C4E405-AF4F-4819-AE65-D7E1F31C5F33}"/>
            </a:ext>
          </a:extLst>
        </xdr:cNvPr>
        <xdr:cNvSpPr/>
      </xdr:nvSpPr>
      <xdr:spPr>
        <a:xfrm>
          <a:off x="7718644" y="551573"/>
          <a:ext cx="1545787" cy="819150"/>
        </a:xfrm>
        <a:prstGeom prst="rect">
          <a:avLst/>
        </a:prstGeom>
        <a:solidFill>
          <a:schemeClr val="tx1">
            <a:lumMod val="85000"/>
            <a:lumOff val="15000"/>
            <a:alpha val="62000"/>
          </a:schemeClr>
        </a:solidFill>
        <a:ln>
          <a:noFill/>
        </a:ln>
        <a:effectLst>
          <a:outerShdw blurRad="107950" dist="12700" dir="5400000" algn="ctr">
            <a:srgbClr val="000000">
              <a:alpha val="9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339396</xdr:colOff>
      <xdr:row>8</xdr:row>
      <xdr:rowOff>164224</xdr:rowOff>
    </xdr:from>
    <xdr:to>
      <xdr:col>17</xdr:col>
      <xdr:colOff>591207</xdr:colOff>
      <xdr:row>16</xdr:row>
      <xdr:rowOff>54741</xdr:rowOff>
    </xdr:to>
    <xdr:graphicFrame macro="">
      <xdr:nvGraphicFramePr>
        <xdr:cNvPr id="13" name="Chart 12">
          <a:extLst>
            <a:ext uri="{FF2B5EF4-FFF2-40B4-BE49-F238E27FC236}">
              <a16:creationId xmlns:a16="http://schemas.microsoft.com/office/drawing/2014/main" id="{4E4C478C-747C-4A38-88E0-05C968CDE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273706</xdr:colOff>
      <xdr:row>18</xdr:row>
      <xdr:rowOff>21898</xdr:rowOff>
    </xdr:from>
    <xdr:to>
      <xdr:col>17</xdr:col>
      <xdr:colOff>613102</xdr:colOff>
      <xdr:row>25</xdr:row>
      <xdr:rowOff>43795</xdr:rowOff>
    </xdr:to>
    <xdr:graphicFrame macro="">
      <xdr:nvGraphicFramePr>
        <xdr:cNvPr id="14" name="Chart 13">
          <a:extLst>
            <a:ext uri="{FF2B5EF4-FFF2-40B4-BE49-F238E27FC236}">
              <a16:creationId xmlns:a16="http://schemas.microsoft.com/office/drawing/2014/main" id="{FC13770B-D35E-4851-B53F-95853346D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350345</xdr:colOff>
      <xdr:row>18</xdr:row>
      <xdr:rowOff>164223</xdr:rowOff>
    </xdr:from>
    <xdr:to>
      <xdr:col>6</xdr:col>
      <xdr:colOff>197069</xdr:colOff>
      <xdr:row>25</xdr:row>
      <xdr:rowOff>120429</xdr:rowOff>
    </xdr:to>
    <xdr:graphicFrame macro="">
      <xdr:nvGraphicFramePr>
        <xdr:cNvPr id="15" name="Chart 14">
          <a:extLst>
            <a:ext uri="{FF2B5EF4-FFF2-40B4-BE49-F238E27FC236}">
              <a16:creationId xmlns:a16="http://schemas.microsoft.com/office/drawing/2014/main" id="{BA0C836D-F8C1-4943-9CCF-9CE16FAFF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513694</xdr:colOff>
      <xdr:row>0</xdr:row>
      <xdr:rowOff>153275</xdr:rowOff>
    </xdr:from>
    <xdr:to>
      <xdr:col>2</xdr:col>
      <xdr:colOff>262759</xdr:colOff>
      <xdr:row>25</xdr:row>
      <xdr:rowOff>119555</xdr:rowOff>
    </xdr:to>
    <xdr:sp macro="" textlink="">
      <xdr:nvSpPr>
        <xdr:cNvPr id="16" name="Rectangle 15">
          <a:extLst>
            <a:ext uri="{FF2B5EF4-FFF2-40B4-BE49-F238E27FC236}">
              <a16:creationId xmlns:a16="http://schemas.microsoft.com/office/drawing/2014/main" id="{E87F9D5A-945F-4DAC-B982-B88716271D8F}"/>
            </a:ext>
          </a:extLst>
        </xdr:cNvPr>
        <xdr:cNvSpPr/>
      </xdr:nvSpPr>
      <xdr:spPr>
        <a:xfrm>
          <a:off x="513694" y="153275"/>
          <a:ext cx="968265" cy="4728780"/>
        </a:xfrm>
        <a:prstGeom prst="rect">
          <a:avLst/>
        </a:prstGeom>
        <a:solidFill>
          <a:schemeClr val="tx1">
            <a:lumMod val="95000"/>
            <a:lumOff val="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7</xdr:col>
      <xdr:colOff>10948</xdr:colOff>
      <xdr:row>17</xdr:row>
      <xdr:rowOff>153276</xdr:rowOff>
    </xdr:from>
    <xdr:to>
      <xdr:col>10</xdr:col>
      <xdr:colOff>448880</xdr:colOff>
      <xdr:row>25</xdr:row>
      <xdr:rowOff>120431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7F143733-BF7E-4A81-949C-30ED97CC84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278148" y="3391776"/>
              <a:ext cx="2266732" cy="1491155"/>
            </a:xfrm>
            <a:prstGeom prst="rect">
              <a:avLst/>
            </a:prstGeom>
            <a:solidFill>
              <a:prstClr val="white"/>
            </a:solidFill>
            <a:ln w="1">
              <a:solidFill>
                <a:prstClr val="green"/>
              </a:solidFill>
            </a:ln>
          </xdr:spPr>
          <xdr:txBody>
            <a:bodyPr vertOverflow="clip" horzOverflow="clip"/>
            <a:lstStyle/>
            <a:p>
              <a:r>
                <a:rPr lang="en-ZW"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426983</xdr:colOff>
      <xdr:row>3</xdr:row>
      <xdr:rowOff>76638</xdr:rowOff>
    </xdr:from>
    <xdr:to>
      <xdr:col>4</xdr:col>
      <xdr:colOff>251810</xdr:colOff>
      <xdr:row>6</xdr:row>
      <xdr:rowOff>76638</xdr:rowOff>
    </xdr:to>
    <xdr:sp macro="" textlink="">
      <xdr:nvSpPr>
        <xdr:cNvPr id="18" name="TextBox 17">
          <a:extLst>
            <a:ext uri="{FF2B5EF4-FFF2-40B4-BE49-F238E27FC236}">
              <a16:creationId xmlns:a16="http://schemas.microsoft.com/office/drawing/2014/main" id="{6D5F9879-957F-46D7-9C0A-2674F9211C70}"/>
            </a:ext>
          </a:extLst>
        </xdr:cNvPr>
        <xdr:cNvSpPr txBox="1"/>
      </xdr:nvSpPr>
      <xdr:spPr>
        <a:xfrm>
          <a:off x="1646183" y="648138"/>
          <a:ext cx="104402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Revenue</a:t>
          </a:r>
        </a:p>
      </xdr:txBody>
    </xdr:sp>
    <xdr:clientData/>
  </xdr:twoCellAnchor>
  <xdr:twoCellAnchor>
    <xdr:from>
      <xdr:col>5</xdr:col>
      <xdr:colOff>130503</xdr:colOff>
      <xdr:row>3</xdr:row>
      <xdr:rowOff>42918</xdr:rowOff>
    </xdr:from>
    <xdr:to>
      <xdr:col>7</xdr:col>
      <xdr:colOff>229037</xdr:colOff>
      <xdr:row>6</xdr:row>
      <xdr:rowOff>42918</xdr:rowOff>
    </xdr:to>
    <xdr:sp macro="" textlink="">
      <xdr:nvSpPr>
        <xdr:cNvPr id="19" name="TextBox 18">
          <a:extLst>
            <a:ext uri="{FF2B5EF4-FFF2-40B4-BE49-F238E27FC236}">
              <a16:creationId xmlns:a16="http://schemas.microsoft.com/office/drawing/2014/main" id="{6A10ED12-66E3-4725-866F-266851976C67}"/>
            </a:ext>
          </a:extLst>
        </xdr:cNvPr>
        <xdr:cNvSpPr txBox="1"/>
      </xdr:nvSpPr>
      <xdr:spPr>
        <a:xfrm>
          <a:off x="3178503" y="614418"/>
          <a:ext cx="131773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Price</a:t>
          </a:r>
        </a:p>
      </xdr:txBody>
    </xdr:sp>
    <xdr:clientData/>
  </xdr:twoCellAnchor>
  <xdr:twoCellAnchor>
    <xdr:from>
      <xdr:col>7</xdr:col>
      <xdr:colOff>271954</xdr:colOff>
      <xdr:row>3</xdr:row>
      <xdr:rowOff>9197</xdr:rowOff>
    </xdr:from>
    <xdr:to>
      <xdr:col>9</xdr:col>
      <xdr:colOff>370488</xdr:colOff>
      <xdr:row>6</xdr:row>
      <xdr:rowOff>9197</xdr:rowOff>
    </xdr:to>
    <xdr:sp macro="" textlink="">
      <xdr:nvSpPr>
        <xdr:cNvPr id="20" name="TextBox 19">
          <a:extLst>
            <a:ext uri="{FF2B5EF4-FFF2-40B4-BE49-F238E27FC236}">
              <a16:creationId xmlns:a16="http://schemas.microsoft.com/office/drawing/2014/main" id="{FB1C9D17-6C16-4B43-AA50-5E329746E894}"/>
            </a:ext>
          </a:extLst>
        </xdr:cNvPr>
        <xdr:cNvSpPr txBox="1"/>
      </xdr:nvSpPr>
      <xdr:spPr>
        <a:xfrm>
          <a:off x="4539154" y="580697"/>
          <a:ext cx="131773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Total Profit</a:t>
          </a:r>
        </a:p>
      </xdr:txBody>
    </xdr:sp>
    <xdr:clientData/>
  </xdr:twoCellAnchor>
  <xdr:twoCellAnchor>
    <xdr:from>
      <xdr:col>9</xdr:col>
      <xdr:colOff>579494</xdr:colOff>
      <xdr:row>2</xdr:row>
      <xdr:rowOff>181522</xdr:rowOff>
    </xdr:from>
    <xdr:to>
      <xdr:col>12</xdr:col>
      <xdr:colOff>64925</xdr:colOff>
      <xdr:row>5</xdr:row>
      <xdr:rowOff>181522</xdr:rowOff>
    </xdr:to>
    <xdr:sp macro="" textlink="">
      <xdr:nvSpPr>
        <xdr:cNvPr id="21" name="TextBox 20">
          <a:extLst>
            <a:ext uri="{FF2B5EF4-FFF2-40B4-BE49-F238E27FC236}">
              <a16:creationId xmlns:a16="http://schemas.microsoft.com/office/drawing/2014/main" id="{D840F099-2BDF-486A-8D7F-5D51BB3DEE15}"/>
            </a:ext>
          </a:extLst>
        </xdr:cNvPr>
        <xdr:cNvSpPr txBox="1"/>
      </xdr:nvSpPr>
      <xdr:spPr>
        <a:xfrm>
          <a:off x="6065894" y="562522"/>
          <a:ext cx="131423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Quantity sold</a:t>
          </a:r>
        </a:p>
      </xdr:txBody>
    </xdr:sp>
    <xdr:clientData/>
  </xdr:twoCellAnchor>
  <xdr:twoCellAnchor>
    <xdr:from>
      <xdr:col>12</xdr:col>
      <xdr:colOff>470776</xdr:colOff>
      <xdr:row>2</xdr:row>
      <xdr:rowOff>180645</xdr:rowOff>
    </xdr:from>
    <xdr:to>
      <xdr:col>14</xdr:col>
      <xdr:colOff>501979</xdr:colOff>
      <xdr:row>5</xdr:row>
      <xdr:rowOff>180645</xdr:rowOff>
    </xdr:to>
    <xdr:sp macro="" textlink="">
      <xdr:nvSpPr>
        <xdr:cNvPr id="22" name="TextBox 21">
          <a:extLst>
            <a:ext uri="{FF2B5EF4-FFF2-40B4-BE49-F238E27FC236}">
              <a16:creationId xmlns:a16="http://schemas.microsoft.com/office/drawing/2014/main" id="{8C472F2C-6ED8-4466-960F-1E8FB7576995}"/>
            </a:ext>
          </a:extLst>
        </xdr:cNvPr>
        <xdr:cNvSpPr txBox="1"/>
      </xdr:nvSpPr>
      <xdr:spPr>
        <a:xfrm>
          <a:off x="7785976" y="561645"/>
          <a:ext cx="125040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1"/>
              </a:solidFill>
            </a:rPr>
            <a:t>Total orders</a:t>
          </a:r>
        </a:p>
      </xdr:txBody>
    </xdr:sp>
    <xdr:clientData/>
  </xdr:twoCellAnchor>
  <xdr:twoCellAnchor>
    <xdr:from>
      <xdr:col>2</xdr:col>
      <xdr:colOff>470777</xdr:colOff>
      <xdr:row>10</xdr:row>
      <xdr:rowOff>54741</xdr:rowOff>
    </xdr:from>
    <xdr:to>
      <xdr:col>4</xdr:col>
      <xdr:colOff>416034</xdr:colOff>
      <xdr:row>15</xdr:row>
      <xdr:rowOff>109483</xdr:rowOff>
    </xdr:to>
    <xdr:graphicFrame macro="">
      <xdr:nvGraphicFramePr>
        <xdr:cNvPr id="23" name="Chart 22">
          <a:extLst>
            <a:ext uri="{FF2B5EF4-FFF2-40B4-BE49-F238E27FC236}">
              <a16:creationId xmlns:a16="http://schemas.microsoft.com/office/drawing/2014/main" id="{924607D6-6A5D-40C0-B9AF-5BFE92AFF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175172</xdr:colOff>
      <xdr:row>10</xdr:row>
      <xdr:rowOff>65690</xdr:rowOff>
    </xdr:from>
    <xdr:to>
      <xdr:col>7</xdr:col>
      <xdr:colOff>0</xdr:colOff>
      <xdr:row>15</xdr:row>
      <xdr:rowOff>120431</xdr:rowOff>
    </xdr:to>
    <xdr:graphicFrame macro="">
      <xdr:nvGraphicFramePr>
        <xdr:cNvPr id="24" name="Chart 23">
          <a:extLst>
            <a:ext uri="{FF2B5EF4-FFF2-40B4-BE49-F238E27FC236}">
              <a16:creationId xmlns:a16="http://schemas.microsoft.com/office/drawing/2014/main" id="{C54D89E7-F522-4A0A-83FF-BE602C57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197069</xdr:colOff>
      <xdr:row>10</xdr:row>
      <xdr:rowOff>87588</xdr:rowOff>
    </xdr:from>
    <xdr:to>
      <xdr:col>10</xdr:col>
      <xdr:colOff>109484</xdr:colOff>
      <xdr:row>15</xdr:row>
      <xdr:rowOff>120433</xdr:rowOff>
    </xdr:to>
    <xdr:graphicFrame macro="">
      <xdr:nvGraphicFramePr>
        <xdr:cNvPr id="25" name="Chart 24">
          <a:extLst>
            <a:ext uri="{FF2B5EF4-FFF2-40B4-BE49-F238E27FC236}">
              <a16:creationId xmlns:a16="http://schemas.microsoft.com/office/drawing/2014/main" id="{8F9A0A17-E88B-474C-9909-4D17D53BD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598543</xdr:colOff>
      <xdr:row>14</xdr:row>
      <xdr:rowOff>175173</xdr:rowOff>
    </xdr:from>
    <xdr:to>
      <xdr:col>5</xdr:col>
      <xdr:colOff>83974</xdr:colOff>
      <xdr:row>16</xdr:row>
      <xdr:rowOff>142328</xdr:rowOff>
    </xdr:to>
    <xdr:sp macro="" textlink="">
      <xdr:nvSpPr>
        <xdr:cNvPr id="26" name="TextBox 25">
          <a:extLst>
            <a:ext uri="{FF2B5EF4-FFF2-40B4-BE49-F238E27FC236}">
              <a16:creationId xmlns:a16="http://schemas.microsoft.com/office/drawing/2014/main" id="{884E4A3D-4117-4BB3-8895-EA7972423EBB}"/>
            </a:ext>
          </a:extLst>
        </xdr:cNvPr>
        <xdr:cNvSpPr txBox="1"/>
      </xdr:nvSpPr>
      <xdr:spPr>
        <a:xfrm>
          <a:off x="1817743" y="2842173"/>
          <a:ext cx="1314231" cy="34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Electronic</a:t>
          </a:r>
        </a:p>
      </xdr:txBody>
    </xdr:sp>
    <xdr:clientData/>
  </xdr:twoCellAnchor>
  <xdr:twoCellAnchor>
    <xdr:from>
      <xdr:col>5</xdr:col>
      <xdr:colOff>302064</xdr:colOff>
      <xdr:row>14</xdr:row>
      <xdr:rowOff>185245</xdr:rowOff>
    </xdr:from>
    <xdr:to>
      <xdr:col>7</xdr:col>
      <xdr:colOff>400598</xdr:colOff>
      <xdr:row>16</xdr:row>
      <xdr:rowOff>152400</xdr:rowOff>
    </xdr:to>
    <xdr:sp macro="" textlink="">
      <xdr:nvSpPr>
        <xdr:cNvPr id="27" name="TextBox 26">
          <a:extLst>
            <a:ext uri="{FF2B5EF4-FFF2-40B4-BE49-F238E27FC236}">
              <a16:creationId xmlns:a16="http://schemas.microsoft.com/office/drawing/2014/main" id="{FAFB2FD9-DD39-463B-BC7C-884E62A0D702}"/>
            </a:ext>
          </a:extLst>
        </xdr:cNvPr>
        <xdr:cNvSpPr txBox="1"/>
      </xdr:nvSpPr>
      <xdr:spPr>
        <a:xfrm>
          <a:off x="3350064" y="2852245"/>
          <a:ext cx="1317734" cy="34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Furniture</a:t>
          </a:r>
        </a:p>
      </xdr:txBody>
    </xdr:sp>
    <xdr:clientData/>
  </xdr:twoCellAnchor>
  <xdr:twoCellAnchor>
    <xdr:from>
      <xdr:col>8</xdr:col>
      <xdr:colOff>115066</xdr:colOff>
      <xdr:row>14</xdr:row>
      <xdr:rowOff>162473</xdr:rowOff>
    </xdr:from>
    <xdr:to>
      <xdr:col>10</xdr:col>
      <xdr:colOff>213601</xdr:colOff>
      <xdr:row>16</xdr:row>
      <xdr:rowOff>129628</xdr:rowOff>
    </xdr:to>
    <xdr:sp macro="" textlink="">
      <xdr:nvSpPr>
        <xdr:cNvPr id="28" name="TextBox 27">
          <a:extLst>
            <a:ext uri="{FF2B5EF4-FFF2-40B4-BE49-F238E27FC236}">
              <a16:creationId xmlns:a16="http://schemas.microsoft.com/office/drawing/2014/main" id="{BC712337-1F19-4D64-A277-3EA81B471F08}"/>
            </a:ext>
          </a:extLst>
        </xdr:cNvPr>
        <xdr:cNvSpPr txBox="1"/>
      </xdr:nvSpPr>
      <xdr:spPr>
        <a:xfrm>
          <a:off x="4991866" y="2829473"/>
          <a:ext cx="1317735" cy="34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200">
              <a:solidFill>
                <a:schemeClr val="bg1"/>
              </a:solidFill>
            </a:rPr>
            <a:t>Office</a:t>
          </a:r>
          <a:r>
            <a:rPr lang="en-ZW" sz="1200" baseline="0">
              <a:solidFill>
                <a:schemeClr val="bg1"/>
              </a:solidFill>
            </a:rPr>
            <a:t> supplies</a:t>
          </a:r>
          <a:endParaRPr lang="en-ZW" sz="1200">
            <a:solidFill>
              <a:schemeClr val="bg1"/>
            </a:solidFill>
          </a:endParaRPr>
        </a:p>
      </xdr:txBody>
    </xdr:sp>
    <xdr:clientData/>
  </xdr:twoCellAnchor>
  <xdr:twoCellAnchor>
    <xdr:from>
      <xdr:col>3</xdr:col>
      <xdr:colOff>159736</xdr:colOff>
      <xdr:row>12</xdr:row>
      <xdr:rowOff>53867</xdr:rowOff>
    </xdr:from>
    <xdr:to>
      <xdr:col>5</xdr:col>
      <xdr:colOff>258270</xdr:colOff>
      <xdr:row>14</xdr:row>
      <xdr:rowOff>21021</xdr:rowOff>
    </xdr:to>
    <xdr:sp macro="" textlink="Analysis1!A10">
      <xdr:nvSpPr>
        <xdr:cNvPr id="29" name="TextBox 28">
          <a:extLst>
            <a:ext uri="{FF2B5EF4-FFF2-40B4-BE49-F238E27FC236}">
              <a16:creationId xmlns:a16="http://schemas.microsoft.com/office/drawing/2014/main" id="{E2C8BE63-9ED6-4251-86FC-3DB8D586939B}"/>
            </a:ext>
          </a:extLst>
        </xdr:cNvPr>
        <xdr:cNvSpPr txBox="1"/>
      </xdr:nvSpPr>
      <xdr:spPr>
        <a:xfrm>
          <a:off x="1988536" y="2339867"/>
          <a:ext cx="1317734" cy="34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21422-D41C-43E1-ACCF-1A2958189676}" type="TxLink">
            <a:rPr lang="en-US" sz="1100" b="1" i="0" u="none" strike="noStrike">
              <a:solidFill>
                <a:schemeClr val="bg1"/>
              </a:solidFill>
              <a:latin typeface="Calibri"/>
              <a:cs typeface="Calibri"/>
            </a:rPr>
            <a:t>33.2%</a:t>
          </a:fld>
          <a:endParaRPr lang="en-ZW" sz="1100" b="1">
            <a:solidFill>
              <a:schemeClr val="bg1"/>
            </a:solidFill>
          </a:endParaRPr>
        </a:p>
      </xdr:txBody>
    </xdr:sp>
    <xdr:clientData/>
  </xdr:twoCellAnchor>
  <xdr:twoCellAnchor>
    <xdr:from>
      <xdr:col>5</xdr:col>
      <xdr:colOff>432567</xdr:colOff>
      <xdr:row>12</xdr:row>
      <xdr:rowOff>31094</xdr:rowOff>
    </xdr:from>
    <xdr:to>
      <xdr:col>7</xdr:col>
      <xdr:colOff>531101</xdr:colOff>
      <xdr:row>13</xdr:row>
      <xdr:rowOff>184369</xdr:rowOff>
    </xdr:to>
    <xdr:sp macro="" textlink="Analysis1!A12">
      <xdr:nvSpPr>
        <xdr:cNvPr id="30" name="TextBox 29">
          <a:extLst>
            <a:ext uri="{FF2B5EF4-FFF2-40B4-BE49-F238E27FC236}">
              <a16:creationId xmlns:a16="http://schemas.microsoft.com/office/drawing/2014/main" id="{1964B45C-C72D-4677-B8B6-41B9396EC6A1}"/>
            </a:ext>
          </a:extLst>
        </xdr:cNvPr>
        <xdr:cNvSpPr txBox="1"/>
      </xdr:nvSpPr>
      <xdr:spPr>
        <a:xfrm>
          <a:off x="3480567" y="2317094"/>
          <a:ext cx="1317734" cy="343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DA7C50-96A3-4DC2-948D-A4FB451F4AEB}" type="TxLink">
            <a:rPr lang="en-US" sz="1100" b="0" i="0" u="none" strike="noStrike">
              <a:solidFill>
                <a:schemeClr val="bg1"/>
              </a:solidFill>
              <a:latin typeface="Calibri"/>
              <a:cs typeface="Calibri"/>
            </a:rPr>
            <a:t>33.0%</a:t>
          </a:fld>
          <a:endParaRPr lang="en-ZW" sz="1100" b="1">
            <a:solidFill>
              <a:schemeClr val="bg1"/>
            </a:solidFill>
          </a:endParaRPr>
        </a:p>
      </xdr:txBody>
    </xdr:sp>
    <xdr:clientData/>
  </xdr:twoCellAnchor>
  <xdr:twoCellAnchor>
    <xdr:from>
      <xdr:col>8</xdr:col>
      <xdr:colOff>190829</xdr:colOff>
      <xdr:row>12</xdr:row>
      <xdr:rowOff>52115</xdr:rowOff>
    </xdr:from>
    <xdr:to>
      <xdr:col>10</xdr:col>
      <xdr:colOff>289364</xdr:colOff>
      <xdr:row>14</xdr:row>
      <xdr:rowOff>19269</xdr:rowOff>
    </xdr:to>
    <xdr:sp macro="" textlink="Analysis1!B12">
      <xdr:nvSpPr>
        <xdr:cNvPr id="31" name="TextBox 30">
          <a:extLst>
            <a:ext uri="{FF2B5EF4-FFF2-40B4-BE49-F238E27FC236}">
              <a16:creationId xmlns:a16="http://schemas.microsoft.com/office/drawing/2014/main" id="{FA39EDC7-D4D3-45FA-9F35-8111CBEDB907}"/>
            </a:ext>
          </a:extLst>
        </xdr:cNvPr>
        <xdr:cNvSpPr txBox="1"/>
      </xdr:nvSpPr>
      <xdr:spPr>
        <a:xfrm>
          <a:off x="5067629" y="2338115"/>
          <a:ext cx="1317735" cy="34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48E28F-C6C6-4715-A93A-689B9B09B956}" type="TxLink">
            <a:rPr lang="en-US" sz="1100" b="0" i="0" u="none" strike="noStrike">
              <a:solidFill>
                <a:schemeClr val="bg1"/>
              </a:solidFill>
              <a:latin typeface="Calibri"/>
              <a:cs typeface="Calibri"/>
            </a:rPr>
            <a:t>33.8%</a:t>
          </a:fld>
          <a:endParaRPr lang="en-ZW" sz="1100" b="1">
            <a:solidFill>
              <a:schemeClr val="bg1"/>
            </a:solidFill>
          </a:endParaRPr>
        </a:p>
      </xdr:txBody>
    </xdr:sp>
    <xdr:clientData/>
  </xdr:twoCellAnchor>
  <xdr:twoCellAnchor>
    <xdr:from>
      <xdr:col>2</xdr:col>
      <xdr:colOff>551246</xdr:colOff>
      <xdr:row>5</xdr:row>
      <xdr:rowOff>29343</xdr:rowOff>
    </xdr:from>
    <xdr:to>
      <xdr:col>5</xdr:col>
      <xdr:colOff>36677</xdr:colOff>
      <xdr:row>6</xdr:row>
      <xdr:rowOff>182618</xdr:rowOff>
    </xdr:to>
    <xdr:sp macro="" textlink="Analysis1!B32">
      <xdr:nvSpPr>
        <xdr:cNvPr id="32" name="TextBox 31">
          <a:extLst>
            <a:ext uri="{FF2B5EF4-FFF2-40B4-BE49-F238E27FC236}">
              <a16:creationId xmlns:a16="http://schemas.microsoft.com/office/drawing/2014/main" id="{556CA71F-83D5-4D80-8A37-BA700F805BF2}"/>
            </a:ext>
          </a:extLst>
        </xdr:cNvPr>
        <xdr:cNvSpPr txBox="1"/>
      </xdr:nvSpPr>
      <xdr:spPr>
        <a:xfrm>
          <a:off x="1770446" y="981843"/>
          <a:ext cx="1314231" cy="343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48E28F-C6C6-4715-A93A-689B9B09B956}" type="TxLink">
            <a:rPr lang="en-US" sz="1200" b="0" i="0" u="none" strike="noStrike">
              <a:solidFill>
                <a:schemeClr val="bg1"/>
              </a:solidFill>
              <a:latin typeface="Calibri"/>
              <a:cs typeface="Calibri"/>
            </a:rPr>
            <a:t> </a:t>
          </a:fld>
          <a:endParaRPr lang="en-ZW" sz="1200" b="1">
            <a:solidFill>
              <a:schemeClr val="bg1"/>
            </a:solidFill>
          </a:endParaRPr>
        </a:p>
      </xdr:txBody>
    </xdr:sp>
    <xdr:clientData/>
  </xdr:twoCellAnchor>
  <xdr:twoCellAnchor>
    <xdr:from>
      <xdr:col>5</xdr:col>
      <xdr:colOff>153277</xdr:colOff>
      <xdr:row>4</xdr:row>
      <xdr:rowOff>153275</xdr:rowOff>
    </xdr:from>
    <xdr:to>
      <xdr:col>7</xdr:col>
      <xdr:colOff>506576</xdr:colOff>
      <xdr:row>7</xdr:row>
      <xdr:rowOff>127000</xdr:rowOff>
    </xdr:to>
    <xdr:sp macro="" textlink="Analysis1!C5">
      <xdr:nvSpPr>
        <xdr:cNvPr id="33" name="TextBox 32">
          <a:extLst>
            <a:ext uri="{FF2B5EF4-FFF2-40B4-BE49-F238E27FC236}">
              <a16:creationId xmlns:a16="http://schemas.microsoft.com/office/drawing/2014/main" id="{C993CDCD-A362-468C-AF0F-03BCFC284652}"/>
            </a:ext>
          </a:extLst>
        </xdr:cNvPr>
        <xdr:cNvSpPr txBox="1"/>
      </xdr:nvSpPr>
      <xdr:spPr>
        <a:xfrm>
          <a:off x="3201277" y="915275"/>
          <a:ext cx="1572499" cy="54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8E6B70-E029-4715-BCE4-3D117AE4CC84}" type="TxLink">
            <a:rPr lang="en-US" sz="1600" b="0" i="0" u="none" strike="noStrike">
              <a:solidFill>
                <a:schemeClr val="bg1"/>
              </a:solidFill>
              <a:latin typeface="Calibri"/>
              <a:cs typeface="Calibri"/>
            </a:rPr>
            <a:t> $6,182,639 </a:t>
          </a:fld>
          <a:endParaRPr lang="en-US" sz="1600" b="0" i="0" u="none" strike="noStrike">
            <a:solidFill>
              <a:schemeClr val="bg1"/>
            </a:solidFill>
            <a:latin typeface="Calibri"/>
            <a:cs typeface="Calibri"/>
          </a:endParaRPr>
        </a:p>
      </xdr:txBody>
    </xdr:sp>
    <xdr:clientData/>
  </xdr:twoCellAnchor>
  <xdr:twoCellAnchor>
    <xdr:from>
      <xdr:col>7</xdr:col>
      <xdr:colOff>305678</xdr:colOff>
      <xdr:row>4</xdr:row>
      <xdr:rowOff>64812</xdr:rowOff>
    </xdr:from>
    <xdr:to>
      <xdr:col>10</xdr:col>
      <xdr:colOff>45874</xdr:colOff>
      <xdr:row>7</xdr:row>
      <xdr:rowOff>38537</xdr:rowOff>
    </xdr:to>
    <xdr:sp macro="" textlink="Analysis1!D5">
      <xdr:nvSpPr>
        <xdr:cNvPr id="34" name="TextBox 33">
          <a:extLst>
            <a:ext uri="{FF2B5EF4-FFF2-40B4-BE49-F238E27FC236}">
              <a16:creationId xmlns:a16="http://schemas.microsoft.com/office/drawing/2014/main" id="{9EE66E56-05A6-4904-A4C7-7EDADFD31A40}"/>
            </a:ext>
          </a:extLst>
        </xdr:cNvPr>
        <xdr:cNvSpPr txBox="1"/>
      </xdr:nvSpPr>
      <xdr:spPr>
        <a:xfrm>
          <a:off x="4572878" y="826812"/>
          <a:ext cx="1568996" cy="54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243E79-4662-4521-9F12-F019D4C572F7}" type="TxLink">
            <a:rPr lang="en-US" sz="1600" b="0" i="0" u="none" strike="noStrike">
              <a:solidFill>
                <a:schemeClr val="bg1"/>
              </a:solidFill>
              <a:latin typeface="Calibri"/>
              <a:cs typeface="Calibri"/>
            </a:rPr>
            <a:t> $1,610,697 </a:t>
          </a:fld>
          <a:endParaRPr lang="en-US" sz="1600" b="0" i="0" u="none" strike="noStrike">
            <a:solidFill>
              <a:schemeClr val="bg1"/>
            </a:solidFill>
            <a:latin typeface="Calibri"/>
            <a:cs typeface="Calibri"/>
          </a:endParaRPr>
        </a:p>
      </xdr:txBody>
    </xdr:sp>
    <xdr:clientData/>
  </xdr:twoCellAnchor>
  <xdr:twoCellAnchor>
    <xdr:from>
      <xdr:col>10</xdr:col>
      <xdr:colOff>85837</xdr:colOff>
      <xdr:row>4</xdr:row>
      <xdr:rowOff>87586</xdr:rowOff>
    </xdr:from>
    <xdr:to>
      <xdr:col>12</xdr:col>
      <xdr:colOff>317501</xdr:colOff>
      <xdr:row>7</xdr:row>
      <xdr:rowOff>103352</xdr:rowOff>
    </xdr:to>
    <xdr:sp macro="" textlink="Analysis1!E5">
      <xdr:nvSpPr>
        <xdr:cNvPr id="35" name="TextBox 34">
          <a:extLst>
            <a:ext uri="{FF2B5EF4-FFF2-40B4-BE49-F238E27FC236}">
              <a16:creationId xmlns:a16="http://schemas.microsoft.com/office/drawing/2014/main" id="{D3569279-CC69-4812-985C-F6D4A6F2C3B4}"/>
            </a:ext>
          </a:extLst>
        </xdr:cNvPr>
        <xdr:cNvSpPr txBox="1"/>
      </xdr:nvSpPr>
      <xdr:spPr>
        <a:xfrm>
          <a:off x="6181837" y="849586"/>
          <a:ext cx="1450864" cy="58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CEF1EF-813F-43EE-A7CD-5D9B86FB75A4}" type="TxLink">
            <a:rPr lang="en-US" sz="1600" b="0" i="0" u="none" strike="noStrike">
              <a:solidFill>
                <a:schemeClr val="bg1"/>
              </a:solidFill>
              <a:latin typeface="Calibri"/>
              <a:cs typeface="Calibri"/>
            </a:rPr>
            <a:t>12745</a:t>
          </a:fld>
          <a:endParaRPr lang="en-US" sz="1600" b="0" i="0" u="none" strike="noStrike">
            <a:solidFill>
              <a:schemeClr val="bg1"/>
            </a:solidFill>
            <a:latin typeface="Calibri"/>
            <a:cs typeface="Calibri"/>
          </a:endParaRPr>
        </a:p>
      </xdr:txBody>
    </xdr:sp>
    <xdr:clientData/>
  </xdr:twoCellAnchor>
  <xdr:twoCellAnchor>
    <xdr:from>
      <xdr:col>12</xdr:col>
      <xdr:colOff>514569</xdr:colOff>
      <xdr:row>4</xdr:row>
      <xdr:rowOff>19270</xdr:rowOff>
    </xdr:from>
    <xdr:to>
      <xdr:col>15</xdr:col>
      <xdr:colOff>142656</xdr:colOff>
      <xdr:row>6</xdr:row>
      <xdr:rowOff>54743</xdr:rowOff>
    </xdr:to>
    <xdr:sp macro="" textlink="Analysis1!F5">
      <xdr:nvSpPr>
        <xdr:cNvPr id="36" name="TextBox 35">
          <a:extLst>
            <a:ext uri="{FF2B5EF4-FFF2-40B4-BE49-F238E27FC236}">
              <a16:creationId xmlns:a16="http://schemas.microsoft.com/office/drawing/2014/main" id="{2C0ECDA9-2B2A-49E6-A5AD-CC27FD7B021A}"/>
            </a:ext>
          </a:extLst>
        </xdr:cNvPr>
        <xdr:cNvSpPr txBox="1"/>
      </xdr:nvSpPr>
      <xdr:spPr>
        <a:xfrm>
          <a:off x="7829769" y="781270"/>
          <a:ext cx="1456887" cy="41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BC0CC4-20F0-4932-9765-0DBCE7FAE706}" type="TxLink">
            <a:rPr lang="en-US" sz="1600" b="0" i="0" u="none" strike="noStrike">
              <a:solidFill>
                <a:schemeClr val="bg1"/>
              </a:solidFill>
              <a:latin typeface="Calibri"/>
              <a:cs typeface="Calibri"/>
            </a:rPr>
            <a:t>1194</a:t>
          </a:fld>
          <a:endParaRPr lang="en-US" sz="1600" b="0" i="0" u="none" strike="noStrike">
            <a:solidFill>
              <a:schemeClr val="bg1"/>
            </a:solidFill>
            <a:latin typeface="Calibri"/>
            <a:cs typeface="Calibri"/>
          </a:endParaRPr>
        </a:p>
      </xdr:txBody>
    </xdr:sp>
    <xdr:clientData/>
  </xdr:twoCellAnchor>
  <xdr:twoCellAnchor>
    <xdr:from>
      <xdr:col>8</xdr:col>
      <xdr:colOff>566681</xdr:colOff>
      <xdr:row>5</xdr:row>
      <xdr:rowOff>139701</xdr:rowOff>
    </xdr:from>
    <xdr:to>
      <xdr:col>11</xdr:col>
      <xdr:colOff>52112</xdr:colOff>
      <xdr:row>8</xdr:row>
      <xdr:rowOff>139700</xdr:rowOff>
    </xdr:to>
    <xdr:sp macro="" textlink="Analysis1!I5">
      <xdr:nvSpPr>
        <xdr:cNvPr id="37" name="TextBox 36">
          <a:extLst>
            <a:ext uri="{FF2B5EF4-FFF2-40B4-BE49-F238E27FC236}">
              <a16:creationId xmlns:a16="http://schemas.microsoft.com/office/drawing/2014/main" id="{2EE5C1F7-69E1-4F67-8D6B-DDFBD279545D}"/>
            </a:ext>
          </a:extLst>
        </xdr:cNvPr>
        <xdr:cNvSpPr txBox="1"/>
      </xdr:nvSpPr>
      <xdr:spPr>
        <a:xfrm>
          <a:off x="5443481" y="1092201"/>
          <a:ext cx="1314231"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651441-9574-4C52-9861-D54241B97A1B}" type="TxLink">
            <a:rPr lang="en-US" sz="1100" b="0" i="0" u="none" strike="noStrike">
              <a:solidFill>
                <a:srgbClr val="C938E6"/>
              </a:solidFill>
              <a:latin typeface="Calibri"/>
              <a:cs typeface="Calibri"/>
            </a:rPr>
            <a:t>26%</a:t>
          </a:fld>
          <a:endParaRPr lang="en-ZW" sz="1200">
            <a:solidFill>
              <a:srgbClr val="C938E6"/>
            </a:solidFill>
          </a:endParaRPr>
        </a:p>
      </xdr:txBody>
    </xdr:sp>
    <xdr:clientData/>
  </xdr:twoCellAnchor>
  <xdr:twoCellAnchor>
    <xdr:from>
      <xdr:col>7</xdr:col>
      <xdr:colOff>609599</xdr:colOff>
      <xdr:row>5</xdr:row>
      <xdr:rowOff>127877</xdr:rowOff>
    </xdr:from>
    <xdr:to>
      <xdr:col>9</xdr:col>
      <xdr:colOff>43793</xdr:colOff>
      <xdr:row>8</xdr:row>
      <xdr:rowOff>127876</xdr:rowOff>
    </xdr:to>
    <xdr:sp macro="" textlink="">
      <xdr:nvSpPr>
        <xdr:cNvPr id="38" name="TextBox 37">
          <a:extLst>
            <a:ext uri="{FF2B5EF4-FFF2-40B4-BE49-F238E27FC236}">
              <a16:creationId xmlns:a16="http://schemas.microsoft.com/office/drawing/2014/main" id="{6394FEAD-2CBC-4803-A090-19D66A2E004F}"/>
            </a:ext>
          </a:extLst>
        </xdr:cNvPr>
        <xdr:cNvSpPr txBox="1"/>
      </xdr:nvSpPr>
      <xdr:spPr>
        <a:xfrm>
          <a:off x="4876799" y="1080377"/>
          <a:ext cx="653394"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C938E6"/>
              </a:solidFill>
            </a:rPr>
            <a:t>profit %</a:t>
          </a:r>
        </a:p>
      </xdr:txBody>
    </xdr:sp>
    <xdr:clientData/>
  </xdr:twoCellAnchor>
  <xdr:twoCellAnchor>
    <xdr:from>
      <xdr:col>12</xdr:col>
      <xdr:colOff>367860</xdr:colOff>
      <xdr:row>5</xdr:row>
      <xdr:rowOff>127001</xdr:rowOff>
    </xdr:from>
    <xdr:to>
      <xdr:col>14</xdr:col>
      <xdr:colOff>466394</xdr:colOff>
      <xdr:row>8</xdr:row>
      <xdr:rowOff>127000</xdr:rowOff>
    </xdr:to>
    <xdr:sp macro="" textlink="Analysis1!H4">
      <xdr:nvSpPr>
        <xdr:cNvPr id="39" name="TextBox 38">
          <a:extLst>
            <a:ext uri="{FF2B5EF4-FFF2-40B4-BE49-F238E27FC236}">
              <a16:creationId xmlns:a16="http://schemas.microsoft.com/office/drawing/2014/main" id="{1FED899C-AC63-4526-A012-E8F17EF9F4F5}"/>
            </a:ext>
          </a:extLst>
        </xdr:cNvPr>
        <xdr:cNvSpPr txBox="1"/>
      </xdr:nvSpPr>
      <xdr:spPr>
        <a:xfrm>
          <a:off x="7683060" y="1079501"/>
          <a:ext cx="1317734"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73559-141D-4ADF-982B-FBA350D656CF}" type="TxLink">
            <a:rPr lang="en-US" sz="800" b="0" i="0" u="none" strike="noStrike">
              <a:solidFill>
                <a:srgbClr val="C938E6"/>
              </a:solidFill>
              <a:latin typeface="Calibri"/>
              <a:cs typeface="Calibri"/>
            </a:rPr>
            <a:t>average items per order</a:t>
          </a:fld>
          <a:endParaRPr lang="en-US" sz="800" b="0" i="0" u="none" strike="noStrike">
            <a:solidFill>
              <a:srgbClr val="C938E6"/>
            </a:solidFill>
            <a:latin typeface="Calibri"/>
            <a:cs typeface="Calibri"/>
          </a:endParaRPr>
        </a:p>
      </xdr:txBody>
    </xdr:sp>
    <xdr:clientData/>
  </xdr:twoCellAnchor>
  <xdr:twoCellAnchor>
    <xdr:from>
      <xdr:col>14</xdr:col>
      <xdr:colOff>160719</xdr:colOff>
      <xdr:row>5</xdr:row>
      <xdr:rowOff>105980</xdr:rowOff>
    </xdr:from>
    <xdr:to>
      <xdr:col>16</xdr:col>
      <xdr:colOff>259253</xdr:colOff>
      <xdr:row>8</xdr:row>
      <xdr:rowOff>105979</xdr:rowOff>
    </xdr:to>
    <xdr:sp macro="" textlink="Analysis1!H5">
      <xdr:nvSpPr>
        <xdr:cNvPr id="40" name="TextBox 39">
          <a:extLst>
            <a:ext uri="{FF2B5EF4-FFF2-40B4-BE49-F238E27FC236}">
              <a16:creationId xmlns:a16="http://schemas.microsoft.com/office/drawing/2014/main" id="{B01D6D5F-062A-400C-B21F-7B179922BFB2}"/>
            </a:ext>
          </a:extLst>
        </xdr:cNvPr>
        <xdr:cNvSpPr txBox="1"/>
      </xdr:nvSpPr>
      <xdr:spPr>
        <a:xfrm>
          <a:off x="8695119" y="1058480"/>
          <a:ext cx="1317734"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F85380-BEF0-4BCB-9CB5-C4D890622208}" type="TxLink">
            <a:rPr lang="en-US" sz="1100" b="0" i="0" u="none" strike="noStrike">
              <a:solidFill>
                <a:srgbClr val="C938E6"/>
              </a:solidFill>
              <a:latin typeface="Calibri"/>
              <a:cs typeface="Calibri"/>
            </a:rPr>
            <a:t>10.67</a:t>
          </a:fld>
          <a:endParaRPr lang="en-ZW" sz="1200">
            <a:solidFill>
              <a:srgbClr val="C938E6"/>
            </a:solidFill>
          </a:endParaRPr>
        </a:p>
      </xdr:txBody>
    </xdr:sp>
    <xdr:clientData/>
  </xdr:twoCellAnchor>
  <xdr:twoCellAnchor>
    <xdr:from>
      <xdr:col>2</xdr:col>
      <xdr:colOff>372241</xdr:colOff>
      <xdr:row>4</xdr:row>
      <xdr:rowOff>174296</xdr:rowOff>
    </xdr:from>
    <xdr:to>
      <xdr:col>5</xdr:col>
      <xdr:colOff>54741</xdr:colOff>
      <xdr:row>7</xdr:row>
      <xdr:rowOff>148021</xdr:rowOff>
    </xdr:to>
    <xdr:sp macro="" textlink="Analysis1!G4">
      <xdr:nvSpPr>
        <xdr:cNvPr id="41" name="TextBox 40">
          <a:extLst>
            <a:ext uri="{FF2B5EF4-FFF2-40B4-BE49-F238E27FC236}">
              <a16:creationId xmlns:a16="http://schemas.microsoft.com/office/drawing/2014/main" id="{13334CCC-1F55-486B-8148-D1603A168FBA}"/>
            </a:ext>
          </a:extLst>
        </xdr:cNvPr>
        <xdr:cNvSpPr txBox="1"/>
      </xdr:nvSpPr>
      <xdr:spPr>
        <a:xfrm>
          <a:off x="1591441" y="936296"/>
          <a:ext cx="1511300" cy="54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C1BB70-4925-4B98-BFD0-2C1B7B160356}" type="TxLink">
            <a:rPr lang="en-US" sz="1400" b="0" i="0" u="none" strike="noStrike">
              <a:solidFill>
                <a:schemeClr val="bg1"/>
              </a:solidFill>
              <a:latin typeface="Calibri"/>
              <a:cs typeface="Calibri"/>
            </a:rPr>
            <a:t> $78,797,734,055 </a:t>
          </a:fld>
          <a:endParaRPr lang="en-US" sz="1400" b="0" i="0" u="none" strike="noStrike">
            <a:solidFill>
              <a:schemeClr val="bg1"/>
            </a:solidFill>
            <a:latin typeface="Calibri"/>
            <a:cs typeface="Calibri"/>
          </a:endParaRPr>
        </a:p>
      </xdr:txBody>
    </xdr:sp>
    <xdr:clientData/>
  </xdr:twoCellAnchor>
  <xdr:twoCellAnchor>
    <xdr:from>
      <xdr:col>2</xdr:col>
      <xdr:colOff>305674</xdr:colOff>
      <xdr:row>0</xdr:row>
      <xdr:rowOff>141451</xdr:rowOff>
    </xdr:from>
    <xdr:to>
      <xdr:col>7</xdr:col>
      <xdr:colOff>536466</xdr:colOff>
      <xdr:row>3</xdr:row>
      <xdr:rowOff>10948</xdr:rowOff>
    </xdr:to>
    <xdr:sp macro="" textlink="">
      <xdr:nvSpPr>
        <xdr:cNvPr id="42" name="TextBox 41">
          <a:extLst>
            <a:ext uri="{FF2B5EF4-FFF2-40B4-BE49-F238E27FC236}">
              <a16:creationId xmlns:a16="http://schemas.microsoft.com/office/drawing/2014/main" id="{EB0A116F-759F-48DC-BE14-1133F50604E9}"/>
            </a:ext>
          </a:extLst>
        </xdr:cNvPr>
        <xdr:cNvSpPr txBox="1"/>
      </xdr:nvSpPr>
      <xdr:spPr>
        <a:xfrm>
          <a:off x="1524874" y="141451"/>
          <a:ext cx="3278792" cy="44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600">
              <a:solidFill>
                <a:schemeClr val="bg1"/>
              </a:solidFill>
            </a:rPr>
            <a:t>Business</a:t>
          </a:r>
          <a:r>
            <a:rPr lang="en-ZW" sz="1600" baseline="0">
              <a:solidFill>
                <a:schemeClr val="bg1"/>
              </a:solidFill>
            </a:rPr>
            <a:t> Performace </a:t>
          </a:r>
          <a:r>
            <a:rPr lang="en-ZW" sz="1600">
              <a:solidFill>
                <a:schemeClr val="bg1"/>
              </a:solidFill>
            </a:rPr>
            <a:t>Dashbohboard</a:t>
          </a:r>
          <a:r>
            <a:rPr lang="en-ZW" sz="1600" baseline="0">
              <a:solidFill>
                <a:schemeClr val="bg1"/>
              </a:solidFill>
            </a:rPr>
            <a:t> </a:t>
          </a:r>
          <a:endParaRPr lang="en-ZW" sz="1600">
            <a:solidFill>
              <a:schemeClr val="bg1"/>
            </a:solidFill>
          </a:endParaRPr>
        </a:p>
      </xdr:txBody>
    </xdr:sp>
    <xdr:clientData/>
  </xdr:twoCellAnchor>
  <xdr:twoCellAnchor>
    <xdr:from>
      <xdr:col>2</xdr:col>
      <xdr:colOff>606864</xdr:colOff>
      <xdr:row>9</xdr:row>
      <xdr:rowOff>128753</xdr:rowOff>
    </xdr:from>
    <xdr:to>
      <xdr:col>5</xdr:col>
      <xdr:colOff>92295</xdr:colOff>
      <xdr:row>11</xdr:row>
      <xdr:rowOff>95907</xdr:rowOff>
    </xdr:to>
    <xdr:sp macro="" textlink="Analysis1!D15">
      <xdr:nvSpPr>
        <xdr:cNvPr id="43" name="TextBox 42">
          <a:extLst>
            <a:ext uri="{FF2B5EF4-FFF2-40B4-BE49-F238E27FC236}">
              <a16:creationId xmlns:a16="http://schemas.microsoft.com/office/drawing/2014/main" id="{160F1C45-41BB-4AB2-A400-CE09B1006354}"/>
            </a:ext>
          </a:extLst>
        </xdr:cNvPr>
        <xdr:cNvSpPr txBox="1"/>
      </xdr:nvSpPr>
      <xdr:spPr>
        <a:xfrm>
          <a:off x="1826064" y="1843253"/>
          <a:ext cx="1314231" cy="34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693EC-C6EF-4905-B25B-FD493AEC257E}" type="TxLink">
            <a:rPr lang="en-US" sz="1200" b="0" i="0" u="none" strike="noStrike">
              <a:solidFill>
                <a:schemeClr val="bg1"/>
              </a:solidFill>
              <a:latin typeface="Calibri"/>
              <a:cs typeface="Calibri"/>
            </a:rPr>
            <a:t>$2,054,456</a:t>
          </a:fld>
          <a:endParaRPr lang="en-ZW" sz="1200" b="1">
            <a:solidFill>
              <a:schemeClr val="bg1"/>
            </a:solidFill>
          </a:endParaRPr>
        </a:p>
      </xdr:txBody>
    </xdr:sp>
    <xdr:clientData/>
  </xdr:twoCellAnchor>
  <xdr:twoCellAnchor>
    <xdr:from>
      <xdr:col>5</xdr:col>
      <xdr:colOff>255643</xdr:colOff>
      <xdr:row>9</xdr:row>
      <xdr:rowOff>138826</xdr:rowOff>
    </xdr:from>
    <xdr:to>
      <xdr:col>7</xdr:col>
      <xdr:colOff>354177</xdr:colOff>
      <xdr:row>11</xdr:row>
      <xdr:rowOff>105980</xdr:rowOff>
    </xdr:to>
    <xdr:sp macro="" textlink="Analysis1!D16">
      <xdr:nvSpPr>
        <xdr:cNvPr id="44" name="TextBox 43">
          <a:extLst>
            <a:ext uri="{FF2B5EF4-FFF2-40B4-BE49-F238E27FC236}">
              <a16:creationId xmlns:a16="http://schemas.microsoft.com/office/drawing/2014/main" id="{F1780607-592E-4986-9DC6-D22468F37BBC}"/>
            </a:ext>
          </a:extLst>
        </xdr:cNvPr>
        <xdr:cNvSpPr txBox="1"/>
      </xdr:nvSpPr>
      <xdr:spPr>
        <a:xfrm>
          <a:off x="3303643" y="1853326"/>
          <a:ext cx="1317734" cy="34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8A6F6B-1BE8-4CB9-89DE-1D2EDD56579A}" type="TxLink">
            <a:rPr lang="en-US" sz="1200" b="0" i="0" u="none" strike="noStrike">
              <a:solidFill>
                <a:schemeClr val="bg1"/>
              </a:solidFill>
              <a:latin typeface="Calibri"/>
              <a:cs typeface="Calibri"/>
            </a:rPr>
            <a:t>$2,038,673</a:t>
          </a:fld>
          <a:endParaRPr lang="en-ZW" sz="1200" b="1">
            <a:solidFill>
              <a:schemeClr val="bg1"/>
            </a:solidFill>
          </a:endParaRPr>
        </a:p>
      </xdr:txBody>
    </xdr:sp>
    <xdr:clientData/>
  </xdr:twoCellAnchor>
  <xdr:twoCellAnchor>
    <xdr:from>
      <xdr:col>8</xdr:col>
      <xdr:colOff>79594</xdr:colOff>
      <xdr:row>9</xdr:row>
      <xdr:rowOff>181743</xdr:rowOff>
    </xdr:from>
    <xdr:to>
      <xdr:col>10</xdr:col>
      <xdr:colOff>178129</xdr:colOff>
      <xdr:row>11</xdr:row>
      <xdr:rowOff>148897</xdr:rowOff>
    </xdr:to>
    <xdr:sp macro="" textlink="Analysis1!D17">
      <xdr:nvSpPr>
        <xdr:cNvPr id="45" name="TextBox 44">
          <a:extLst>
            <a:ext uri="{FF2B5EF4-FFF2-40B4-BE49-F238E27FC236}">
              <a16:creationId xmlns:a16="http://schemas.microsoft.com/office/drawing/2014/main" id="{DF2E43A8-9417-4EE4-9FD0-CC78FD2D764A}"/>
            </a:ext>
          </a:extLst>
        </xdr:cNvPr>
        <xdr:cNvSpPr txBox="1"/>
      </xdr:nvSpPr>
      <xdr:spPr>
        <a:xfrm>
          <a:off x="4956394" y="1896243"/>
          <a:ext cx="1317735" cy="34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CD6F72-B4EC-40C3-A6B3-E6A98BE035F2}" type="TxLink">
            <a:rPr lang="en-US" sz="1200" b="0" i="0" u="none" strike="noStrike">
              <a:solidFill>
                <a:schemeClr val="bg1"/>
              </a:solidFill>
              <a:latin typeface="Calibri"/>
              <a:cs typeface="Calibri"/>
            </a:rPr>
            <a:t>$2,089,510</a:t>
          </a:fld>
          <a:endParaRPr lang="en-ZW" sz="1200" b="1">
            <a:solidFill>
              <a:schemeClr val="bg1"/>
            </a:solidFill>
          </a:endParaRPr>
        </a:p>
      </xdr:txBody>
    </xdr:sp>
    <xdr:clientData/>
  </xdr:twoCellAnchor>
  <xdr:twoCellAnchor editAs="oneCell">
    <xdr:from>
      <xdr:col>15</xdr:col>
      <xdr:colOff>197070</xdr:colOff>
      <xdr:row>1</xdr:row>
      <xdr:rowOff>32845</xdr:rowOff>
    </xdr:from>
    <xdr:to>
      <xdr:col>17</xdr:col>
      <xdr:colOff>372242</xdr:colOff>
      <xdr:row>7</xdr:row>
      <xdr:rowOff>120432</xdr:rowOff>
    </xdr:to>
    <mc:AlternateContent xmlns:mc="http://schemas.openxmlformats.org/markup-compatibility/2006">
      <mc:Choice xmlns:a14="http://schemas.microsoft.com/office/drawing/2010/main" Requires="a14">
        <xdr:graphicFrame macro="">
          <xdr:nvGraphicFramePr>
            <xdr:cNvPr id="46" name="PaymentMode 1">
              <a:extLst>
                <a:ext uri="{FF2B5EF4-FFF2-40B4-BE49-F238E27FC236}">
                  <a16:creationId xmlns:a16="http://schemas.microsoft.com/office/drawing/2014/main" id="{B8D91246-14FF-4793-AFD1-6A58CC1437D8}"/>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9393622" y="218966"/>
              <a:ext cx="1401379" cy="1204311"/>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ECHEREM" refreshedDate="46073.940716087964" createdVersion="8" refreshedVersion="8" minRefreshableVersion="3" recordCount="1194" xr:uid="{509FF97E-A145-4CAE-A7C8-2D8FD7CD845D}">
  <cacheSource type="worksheet">
    <worksheetSource name="Table1"/>
  </cacheSource>
  <cacheFields count="12">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164">
      <sharedItems containsSemiMixedTypes="0" containsString="0" containsNumber="1" containsInteger="1" minValue="508" maxValue="9992"/>
    </cacheField>
    <cacheField name="Profit" numFmtId="164">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s>
  <extLst>
    <ext xmlns:x14="http://schemas.microsoft.com/office/spreadsheetml/2009/9/main" uri="{725AE2AE-9491-48be-B2B4-4EB974FC3084}">
      <x14:pivotCacheDefinition pivotCacheId="18665193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ECHEREM" refreshedDate="46073.953347800925" createdVersion="8" refreshedVersion="8" minRefreshableVersion="3" recordCount="1194" xr:uid="{C642EAD8-0729-4468-B6A1-D83B171C4E8A}">
  <cacheSource type="worksheet">
    <worksheetSource name="Table1_2"/>
  </cacheSource>
  <cacheFields count="13">
    <cacheField name="Order ID" numFmtId="0">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Furniture"/>
        <s v="Office Supplies"/>
      </sharedItems>
    </cacheField>
    <cacheField name="Sub-Category" numFmtId="0">
      <sharedItems/>
    </cacheField>
    <cacheField name="PaymentMode" numFmtId="0">
      <sharedItems/>
    </cacheField>
    <cacheField name="Order Date" numFmtId="22">
      <sharedItems containsSemiMixedTypes="0" containsNonDate="0" containsDate="1" containsString="0" minDate="2020-03-22T00:00:00" maxDate="2025-03-16T00:00:00"/>
    </cacheField>
    <cacheField name="CustomerName" numFmtId="0">
      <sharedItems/>
    </cacheField>
    <cacheField name="State" numFmtId="0">
      <sharedItems count="6">
        <s v="California"/>
        <s v="Texas"/>
        <s v="Ohio"/>
        <s v="Florida"/>
        <s v="New York"/>
        <s v="Illinois"/>
      </sharedItems>
    </cacheField>
    <cacheField name="City" numFmtId="0">
      <sharedItems count="18">
        <s v="Los Angeles"/>
        <s v="Austin"/>
        <s v="San Francisco"/>
        <s v="Columbus"/>
        <s v="Orlando"/>
        <s v="Cleveland"/>
        <s v="Cincinnati"/>
        <s v="Miami"/>
        <s v="Tampa"/>
        <s v="Buffalo"/>
        <s v="Springfield"/>
        <s v="Peoria"/>
        <s v="Rochester"/>
        <s v="Dallas"/>
        <s v="Chicago"/>
        <s v="Houston"/>
        <s v="New York City"/>
        <s v="San Diego"/>
      </sharedItems>
    </cacheField>
    <cacheField name="Year-Month" numFmtId="14">
      <sharedItems containsSemiMixedTypes="0" containsNonDate="0" containsDate="1" containsString="0" minDate="2020-03-01T00:00:00" maxDate="2025-03-02T00:00:00"/>
    </cacheField>
    <cacheField name="Year" numFmtId="0">
      <sharedItems containsSemiMixedTypes="0" containsString="0" containsNumber="1" containsInteger="1" minValue="2020" maxValue="2025" count="6">
        <n v="2022"/>
        <n v="2024"/>
        <n v="2023"/>
        <n v="2021"/>
        <n v="2020"/>
        <n v="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5"/>
    <x v="0"/>
    <x v="0"/>
    <x v="0"/>
    <x v="0"/>
    <x v="0"/>
    <x v="0"/>
    <x v="0"/>
    <x v="0"/>
  </r>
  <r>
    <x v="0"/>
    <n v="9726"/>
    <n v="1275"/>
    <n v="5"/>
    <x v="0"/>
    <x v="0"/>
    <x v="0"/>
    <x v="1"/>
    <x v="1"/>
    <x v="1"/>
    <x v="1"/>
    <x v="1"/>
  </r>
  <r>
    <x v="0"/>
    <n v="9726"/>
    <n v="1275"/>
    <n v="5"/>
    <x v="0"/>
    <x v="0"/>
    <x v="0"/>
    <x v="2"/>
    <x v="2"/>
    <x v="2"/>
    <x v="2"/>
    <x v="2"/>
  </r>
  <r>
    <x v="0"/>
    <n v="4975"/>
    <n v="1330"/>
    <n v="14"/>
    <x v="0"/>
    <x v="1"/>
    <x v="0"/>
    <x v="0"/>
    <x v="0"/>
    <x v="0"/>
    <x v="0"/>
    <x v="0"/>
  </r>
  <r>
    <x v="0"/>
    <n v="4975"/>
    <n v="1330"/>
    <n v="14"/>
    <x v="0"/>
    <x v="1"/>
    <x v="0"/>
    <x v="1"/>
    <x v="1"/>
    <x v="1"/>
    <x v="1"/>
    <x v="1"/>
  </r>
  <r>
    <x v="0"/>
    <n v="4975"/>
    <n v="1330"/>
    <n v="14"/>
    <x v="0"/>
    <x v="1"/>
    <x v="0"/>
    <x v="2"/>
    <x v="2"/>
    <x v="2"/>
    <x v="2"/>
    <x v="2"/>
  </r>
  <r>
    <x v="1"/>
    <n v="1525"/>
    <n v="185"/>
    <n v="12"/>
    <x v="1"/>
    <x v="2"/>
    <x v="1"/>
    <x v="3"/>
    <x v="3"/>
    <x v="0"/>
    <x v="3"/>
    <x v="3"/>
  </r>
  <r>
    <x v="1"/>
    <n v="1525"/>
    <n v="185"/>
    <n v="12"/>
    <x v="1"/>
    <x v="2"/>
    <x v="1"/>
    <x v="4"/>
    <x v="4"/>
    <x v="0"/>
    <x v="0"/>
    <x v="4"/>
  </r>
  <r>
    <x v="2"/>
    <n v="883"/>
    <n v="117"/>
    <n v="10"/>
    <x v="0"/>
    <x v="3"/>
    <x v="2"/>
    <x v="5"/>
    <x v="5"/>
    <x v="3"/>
    <x v="4"/>
    <x v="5"/>
  </r>
  <r>
    <x v="2"/>
    <n v="8127"/>
    <n v="3551"/>
    <n v="16"/>
    <x v="2"/>
    <x v="4"/>
    <x v="3"/>
    <x v="5"/>
    <x v="5"/>
    <x v="3"/>
    <x v="4"/>
    <x v="5"/>
  </r>
  <r>
    <x v="3"/>
    <n v="2516"/>
    <n v="734"/>
    <n v="19"/>
    <x v="2"/>
    <x v="5"/>
    <x v="0"/>
    <x v="6"/>
    <x v="6"/>
    <x v="2"/>
    <x v="5"/>
    <x v="6"/>
  </r>
  <r>
    <x v="4"/>
    <n v="2975"/>
    <n v="462"/>
    <n v="14"/>
    <x v="1"/>
    <x v="2"/>
    <x v="3"/>
    <x v="7"/>
    <x v="7"/>
    <x v="2"/>
    <x v="5"/>
    <x v="7"/>
  </r>
  <r>
    <x v="5"/>
    <n v="6851"/>
    <n v="2812"/>
    <n v="1"/>
    <x v="1"/>
    <x v="6"/>
    <x v="1"/>
    <x v="8"/>
    <x v="8"/>
    <x v="0"/>
    <x v="3"/>
    <x v="8"/>
  </r>
  <r>
    <x v="5"/>
    <n v="7626"/>
    <n v="1046"/>
    <n v="15"/>
    <x v="2"/>
    <x v="7"/>
    <x v="3"/>
    <x v="8"/>
    <x v="8"/>
    <x v="0"/>
    <x v="3"/>
    <x v="8"/>
  </r>
  <r>
    <x v="5"/>
    <n v="1023"/>
    <n v="78"/>
    <n v="9"/>
    <x v="2"/>
    <x v="4"/>
    <x v="0"/>
    <x v="8"/>
    <x v="8"/>
    <x v="0"/>
    <x v="3"/>
    <x v="8"/>
  </r>
  <r>
    <x v="6"/>
    <n v="7600"/>
    <n v="1098"/>
    <n v="10"/>
    <x v="1"/>
    <x v="2"/>
    <x v="0"/>
    <x v="9"/>
    <x v="9"/>
    <x v="1"/>
    <x v="6"/>
    <x v="6"/>
  </r>
  <r>
    <x v="6"/>
    <n v="7501"/>
    <n v="262"/>
    <n v="18"/>
    <x v="1"/>
    <x v="8"/>
    <x v="4"/>
    <x v="9"/>
    <x v="9"/>
    <x v="1"/>
    <x v="6"/>
    <x v="6"/>
  </r>
  <r>
    <x v="7"/>
    <n v="725"/>
    <n v="133"/>
    <n v="6"/>
    <x v="1"/>
    <x v="8"/>
    <x v="3"/>
    <x v="10"/>
    <x v="10"/>
    <x v="2"/>
    <x v="7"/>
    <x v="1"/>
  </r>
  <r>
    <x v="7"/>
    <n v="7201"/>
    <n v="2685"/>
    <n v="2"/>
    <x v="2"/>
    <x v="4"/>
    <x v="3"/>
    <x v="10"/>
    <x v="10"/>
    <x v="2"/>
    <x v="7"/>
    <x v="1"/>
  </r>
  <r>
    <x v="8"/>
    <n v="1629"/>
    <n v="265"/>
    <n v="1"/>
    <x v="1"/>
    <x v="8"/>
    <x v="0"/>
    <x v="11"/>
    <x v="11"/>
    <x v="4"/>
    <x v="8"/>
    <x v="9"/>
  </r>
  <r>
    <x v="8"/>
    <n v="1629"/>
    <n v="265"/>
    <n v="1"/>
    <x v="1"/>
    <x v="8"/>
    <x v="0"/>
    <x v="12"/>
    <x v="12"/>
    <x v="3"/>
    <x v="9"/>
    <x v="10"/>
  </r>
  <r>
    <x v="9"/>
    <n v="8971"/>
    <n v="2971"/>
    <n v="19"/>
    <x v="1"/>
    <x v="9"/>
    <x v="1"/>
    <x v="13"/>
    <x v="13"/>
    <x v="3"/>
    <x v="9"/>
    <x v="11"/>
  </r>
  <r>
    <x v="9"/>
    <n v="2939"/>
    <n v="894"/>
    <n v="20"/>
    <x v="1"/>
    <x v="9"/>
    <x v="4"/>
    <x v="13"/>
    <x v="13"/>
    <x v="3"/>
    <x v="9"/>
    <x v="11"/>
  </r>
  <r>
    <x v="10"/>
    <n v="9380"/>
    <n v="414"/>
    <n v="11"/>
    <x v="0"/>
    <x v="10"/>
    <x v="0"/>
    <x v="14"/>
    <x v="14"/>
    <x v="2"/>
    <x v="7"/>
    <x v="3"/>
  </r>
  <r>
    <x v="10"/>
    <n v="8558"/>
    <n v="1644"/>
    <n v="18"/>
    <x v="1"/>
    <x v="9"/>
    <x v="3"/>
    <x v="14"/>
    <x v="14"/>
    <x v="2"/>
    <x v="7"/>
    <x v="3"/>
  </r>
  <r>
    <x v="10"/>
    <n v="4080"/>
    <n v="72"/>
    <n v="17"/>
    <x v="1"/>
    <x v="8"/>
    <x v="4"/>
    <x v="14"/>
    <x v="14"/>
    <x v="2"/>
    <x v="7"/>
    <x v="3"/>
  </r>
  <r>
    <x v="11"/>
    <n v="4206"/>
    <n v="1821"/>
    <n v="17"/>
    <x v="0"/>
    <x v="0"/>
    <x v="2"/>
    <x v="15"/>
    <x v="15"/>
    <x v="4"/>
    <x v="10"/>
    <x v="12"/>
  </r>
  <r>
    <x v="12"/>
    <n v="5219"/>
    <n v="1180"/>
    <n v="20"/>
    <x v="1"/>
    <x v="9"/>
    <x v="4"/>
    <x v="16"/>
    <x v="16"/>
    <x v="2"/>
    <x v="5"/>
    <x v="13"/>
  </r>
  <r>
    <x v="12"/>
    <n v="5219"/>
    <n v="1180"/>
    <n v="20"/>
    <x v="1"/>
    <x v="9"/>
    <x v="4"/>
    <x v="17"/>
    <x v="17"/>
    <x v="3"/>
    <x v="11"/>
    <x v="14"/>
  </r>
  <r>
    <x v="13"/>
    <n v="3686"/>
    <n v="760"/>
    <n v="20"/>
    <x v="1"/>
    <x v="2"/>
    <x v="1"/>
    <x v="18"/>
    <x v="18"/>
    <x v="3"/>
    <x v="11"/>
    <x v="15"/>
  </r>
  <r>
    <x v="13"/>
    <n v="3686"/>
    <n v="760"/>
    <n v="20"/>
    <x v="1"/>
    <x v="2"/>
    <x v="1"/>
    <x v="19"/>
    <x v="19"/>
    <x v="5"/>
    <x v="12"/>
    <x v="12"/>
  </r>
  <r>
    <x v="14"/>
    <n v="6045"/>
    <n v="1606"/>
    <n v="4"/>
    <x v="1"/>
    <x v="8"/>
    <x v="4"/>
    <x v="20"/>
    <x v="20"/>
    <x v="0"/>
    <x v="3"/>
    <x v="16"/>
  </r>
  <r>
    <x v="14"/>
    <n v="9337"/>
    <n v="554"/>
    <n v="11"/>
    <x v="1"/>
    <x v="2"/>
    <x v="4"/>
    <x v="20"/>
    <x v="20"/>
    <x v="0"/>
    <x v="3"/>
    <x v="16"/>
  </r>
  <r>
    <x v="15"/>
    <n v="4051"/>
    <n v="1848"/>
    <n v="12"/>
    <x v="0"/>
    <x v="10"/>
    <x v="3"/>
    <x v="21"/>
    <x v="21"/>
    <x v="3"/>
    <x v="9"/>
    <x v="17"/>
  </r>
  <r>
    <x v="15"/>
    <n v="4051"/>
    <n v="1848"/>
    <n v="12"/>
    <x v="0"/>
    <x v="10"/>
    <x v="3"/>
    <x v="22"/>
    <x v="22"/>
    <x v="5"/>
    <x v="13"/>
    <x v="18"/>
  </r>
  <r>
    <x v="15"/>
    <n v="5011"/>
    <n v="866"/>
    <n v="11"/>
    <x v="2"/>
    <x v="11"/>
    <x v="3"/>
    <x v="21"/>
    <x v="21"/>
    <x v="3"/>
    <x v="9"/>
    <x v="17"/>
  </r>
  <r>
    <x v="15"/>
    <n v="5011"/>
    <n v="866"/>
    <n v="11"/>
    <x v="2"/>
    <x v="11"/>
    <x v="3"/>
    <x v="22"/>
    <x v="22"/>
    <x v="5"/>
    <x v="13"/>
    <x v="18"/>
  </r>
  <r>
    <x v="16"/>
    <n v="3958"/>
    <n v="630"/>
    <n v="15"/>
    <x v="2"/>
    <x v="7"/>
    <x v="2"/>
    <x v="23"/>
    <x v="23"/>
    <x v="0"/>
    <x v="3"/>
    <x v="15"/>
  </r>
  <r>
    <x v="16"/>
    <n v="3132"/>
    <n v="963"/>
    <n v="1"/>
    <x v="2"/>
    <x v="4"/>
    <x v="1"/>
    <x v="23"/>
    <x v="23"/>
    <x v="0"/>
    <x v="3"/>
    <x v="15"/>
  </r>
  <r>
    <x v="17"/>
    <n v="7784"/>
    <n v="2937"/>
    <n v="12"/>
    <x v="1"/>
    <x v="6"/>
    <x v="0"/>
    <x v="24"/>
    <x v="24"/>
    <x v="3"/>
    <x v="11"/>
    <x v="19"/>
  </r>
  <r>
    <x v="17"/>
    <n v="5591"/>
    <n v="1696"/>
    <n v="3"/>
    <x v="1"/>
    <x v="2"/>
    <x v="4"/>
    <x v="24"/>
    <x v="24"/>
    <x v="3"/>
    <x v="11"/>
    <x v="19"/>
  </r>
  <r>
    <x v="17"/>
    <n v="5122"/>
    <n v="2413"/>
    <n v="12"/>
    <x v="0"/>
    <x v="0"/>
    <x v="4"/>
    <x v="24"/>
    <x v="24"/>
    <x v="3"/>
    <x v="11"/>
    <x v="19"/>
  </r>
  <r>
    <x v="18"/>
    <n v="8293"/>
    <n v="2632"/>
    <n v="8"/>
    <x v="1"/>
    <x v="9"/>
    <x v="4"/>
    <x v="25"/>
    <x v="25"/>
    <x v="5"/>
    <x v="14"/>
    <x v="12"/>
  </r>
  <r>
    <x v="18"/>
    <n v="8293"/>
    <n v="2632"/>
    <n v="8"/>
    <x v="1"/>
    <x v="9"/>
    <x v="4"/>
    <x v="26"/>
    <x v="26"/>
    <x v="2"/>
    <x v="7"/>
    <x v="20"/>
  </r>
  <r>
    <x v="18"/>
    <n v="8293"/>
    <n v="2632"/>
    <n v="8"/>
    <x v="1"/>
    <x v="9"/>
    <x v="4"/>
    <x v="27"/>
    <x v="27"/>
    <x v="3"/>
    <x v="4"/>
    <x v="21"/>
  </r>
  <r>
    <x v="18"/>
    <n v="2863"/>
    <n v="205"/>
    <n v="17"/>
    <x v="0"/>
    <x v="10"/>
    <x v="0"/>
    <x v="25"/>
    <x v="25"/>
    <x v="5"/>
    <x v="14"/>
    <x v="12"/>
  </r>
  <r>
    <x v="18"/>
    <n v="2863"/>
    <n v="205"/>
    <n v="17"/>
    <x v="0"/>
    <x v="10"/>
    <x v="0"/>
    <x v="26"/>
    <x v="26"/>
    <x v="2"/>
    <x v="7"/>
    <x v="20"/>
  </r>
  <r>
    <x v="18"/>
    <n v="2863"/>
    <n v="205"/>
    <n v="17"/>
    <x v="0"/>
    <x v="10"/>
    <x v="0"/>
    <x v="27"/>
    <x v="27"/>
    <x v="3"/>
    <x v="4"/>
    <x v="21"/>
  </r>
  <r>
    <x v="19"/>
    <n v="3090"/>
    <n v="573"/>
    <n v="6"/>
    <x v="2"/>
    <x v="4"/>
    <x v="2"/>
    <x v="1"/>
    <x v="28"/>
    <x v="3"/>
    <x v="9"/>
    <x v="1"/>
  </r>
  <r>
    <x v="19"/>
    <n v="3090"/>
    <n v="573"/>
    <n v="6"/>
    <x v="2"/>
    <x v="4"/>
    <x v="2"/>
    <x v="28"/>
    <x v="29"/>
    <x v="5"/>
    <x v="13"/>
    <x v="22"/>
  </r>
  <r>
    <x v="19"/>
    <n v="3090"/>
    <n v="573"/>
    <n v="6"/>
    <x v="2"/>
    <x v="4"/>
    <x v="2"/>
    <x v="29"/>
    <x v="30"/>
    <x v="4"/>
    <x v="10"/>
    <x v="23"/>
  </r>
  <r>
    <x v="19"/>
    <n v="3090"/>
    <n v="573"/>
    <n v="6"/>
    <x v="2"/>
    <x v="4"/>
    <x v="2"/>
    <x v="30"/>
    <x v="31"/>
    <x v="4"/>
    <x v="8"/>
    <x v="4"/>
  </r>
  <r>
    <x v="19"/>
    <n v="9683"/>
    <n v="1014"/>
    <n v="5"/>
    <x v="0"/>
    <x v="1"/>
    <x v="0"/>
    <x v="1"/>
    <x v="28"/>
    <x v="3"/>
    <x v="9"/>
    <x v="1"/>
  </r>
  <r>
    <x v="19"/>
    <n v="9683"/>
    <n v="1014"/>
    <n v="5"/>
    <x v="0"/>
    <x v="1"/>
    <x v="0"/>
    <x v="28"/>
    <x v="29"/>
    <x v="5"/>
    <x v="13"/>
    <x v="22"/>
  </r>
  <r>
    <x v="19"/>
    <n v="9683"/>
    <n v="1014"/>
    <n v="5"/>
    <x v="0"/>
    <x v="1"/>
    <x v="0"/>
    <x v="29"/>
    <x v="30"/>
    <x v="4"/>
    <x v="10"/>
    <x v="23"/>
  </r>
  <r>
    <x v="19"/>
    <n v="9683"/>
    <n v="1014"/>
    <n v="5"/>
    <x v="0"/>
    <x v="1"/>
    <x v="0"/>
    <x v="30"/>
    <x v="31"/>
    <x v="4"/>
    <x v="8"/>
    <x v="4"/>
  </r>
  <r>
    <x v="20"/>
    <n v="2463"/>
    <n v="648"/>
    <n v="18"/>
    <x v="2"/>
    <x v="4"/>
    <x v="2"/>
    <x v="31"/>
    <x v="32"/>
    <x v="5"/>
    <x v="13"/>
    <x v="24"/>
  </r>
  <r>
    <x v="21"/>
    <n v="7811"/>
    <n v="1538"/>
    <n v="12"/>
    <x v="2"/>
    <x v="7"/>
    <x v="4"/>
    <x v="32"/>
    <x v="33"/>
    <x v="0"/>
    <x v="0"/>
    <x v="25"/>
  </r>
  <r>
    <x v="22"/>
    <n v="6139"/>
    <n v="451"/>
    <n v="10"/>
    <x v="2"/>
    <x v="4"/>
    <x v="1"/>
    <x v="33"/>
    <x v="34"/>
    <x v="0"/>
    <x v="3"/>
    <x v="26"/>
  </r>
  <r>
    <x v="22"/>
    <n v="6139"/>
    <n v="451"/>
    <n v="10"/>
    <x v="2"/>
    <x v="4"/>
    <x v="1"/>
    <x v="34"/>
    <x v="17"/>
    <x v="4"/>
    <x v="15"/>
    <x v="27"/>
  </r>
  <r>
    <x v="22"/>
    <n v="8636"/>
    <n v="3192"/>
    <n v="3"/>
    <x v="2"/>
    <x v="5"/>
    <x v="4"/>
    <x v="33"/>
    <x v="34"/>
    <x v="0"/>
    <x v="3"/>
    <x v="26"/>
  </r>
  <r>
    <x v="22"/>
    <n v="8636"/>
    <n v="3192"/>
    <n v="3"/>
    <x v="2"/>
    <x v="5"/>
    <x v="4"/>
    <x v="34"/>
    <x v="17"/>
    <x v="4"/>
    <x v="15"/>
    <x v="27"/>
  </r>
  <r>
    <x v="22"/>
    <n v="4439"/>
    <n v="1712"/>
    <n v="19"/>
    <x v="2"/>
    <x v="7"/>
    <x v="3"/>
    <x v="33"/>
    <x v="34"/>
    <x v="0"/>
    <x v="3"/>
    <x v="26"/>
  </r>
  <r>
    <x v="22"/>
    <n v="4439"/>
    <n v="1712"/>
    <n v="19"/>
    <x v="2"/>
    <x v="7"/>
    <x v="3"/>
    <x v="34"/>
    <x v="17"/>
    <x v="4"/>
    <x v="15"/>
    <x v="27"/>
  </r>
  <r>
    <x v="23"/>
    <n v="1016"/>
    <n v="172"/>
    <n v="20"/>
    <x v="2"/>
    <x v="4"/>
    <x v="1"/>
    <x v="35"/>
    <x v="35"/>
    <x v="2"/>
    <x v="2"/>
    <x v="11"/>
  </r>
  <r>
    <x v="23"/>
    <n v="5768"/>
    <n v="2059"/>
    <n v="14"/>
    <x v="2"/>
    <x v="4"/>
    <x v="0"/>
    <x v="35"/>
    <x v="35"/>
    <x v="2"/>
    <x v="2"/>
    <x v="11"/>
  </r>
  <r>
    <x v="23"/>
    <n v="1217"/>
    <n v="151"/>
    <n v="3"/>
    <x v="2"/>
    <x v="4"/>
    <x v="3"/>
    <x v="35"/>
    <x v="35"/>
    <x v="2"/>
    <x v="2"/>
    <x v="11"/>
  </r>
  <r>
    <x v="24"/>
    <n v="953"/>
    <n v="93"/>
    <n v="2"/>
    <x v="1"/>
    <x v="8"/>
    <x v="1"/>
    <x v="36"/>
    <x v="36"/>
    <x v="5"/>
    <x v="14"/>
    <x v="1"/>
  </r>
  <r>
    <x v="24"/>
    <n v="953"/>
    <n v="93"/>
    <n v="2"/>
    <x v="1"/>
    <x v="8"/>
    <x v="1"/>
    <x v="37"/>
    <x v="37"/>
    <x v="3"/>
    <x v="4"/>
    <x v="28"/>
  </r>
  <r>
    <x v="24"/>
    <n v="7355"/>
    <n v="1034"/>
    <n v="3"/>
    <x v="2"/>
    <x v="7"/>
    <x v="4"/>
    <x v="36"/>
    <x v="36"/>
    <x v="5"/>
    <x v="14"/>
    <x v="1"/>
  </r>
  <r>
    <x v="24"/>
    <n v="7355"/>
    <n v="1034"/>
    <n v="3"/>
    <x v="2"/>
    <x v="7"/>
    <x v="4"/>
    <x v="37"/>
    <x v="37"/>
    <x v="3"/>
    <x v="4"/>
    <x v="28"/>
  </r>
  <r>
    <x v="24"/>
    <n v="1843"/>
    <n v="248"/>
    <n v="3"/>
    <x v="0"/>
    <x v="10"/>
    <x v="3"/>
    <x v="36"/>
    <x v="36"/>
    <x v="5"/>
    <x v="14"/>
    <x v="1"/>
  </r>
  <r>
    <x v="24"/>
    <n v="1843"/>
    <n v="248"/>
    <n v="3"/>
    <x v="0"/>
    <x v="10"/>
    <x v="3"/>
    <x v="37"/>
    <x v="37"/>
    <x v="3"/>
    <x v="4"/>
    <x v="28"/>
  </r>
  <r>
    <x v="24"/>
    <n v="1603"/>
    <n v="361"/>
    <n v="10"/>
    <x v="1"/>
    <x v="2"/>
    <x v="1"/>
    <x v="36"/>
    <x v="36"/>
    <x v="5"/>
    <x v="14"/>
    <x v="1"/>
  </r>
  <r>
    <x v="24"/>
    <n v="1603"/>
    <n v="361"/>
    <n v="10"/>
    <x v="1"/>
    <x v="2"/>
    <x v="1"/>
    <x v="37"/>
    <x v="37"/>
    <x v="3"/>
    <x v="4"/>
    <x v="28"/>
  </r>
  <r>
    <x v="25"/>
    <n v="2025"/>
    <n v="528"/>
    <n v="1"/>
    <x v="1"/>
    <x v="2"/>
    <x v="3"/>
    <x v="38"/>
    <x v="38"/>
    <x v="0"/>
    <x v="0"/>
    <x v="10"/>
  </r>
  <r>
    <x v="25"/>
    <n v="6800"/>
    <n v="167"/>
    <n v="16"/>
    <x v="1"/>
    <x v="9"/>
    <x v="2"/>
    <x v="38"/>
    <x v="38"/>
    <x v="0"/>
    <x v="0"/>
    <x v="10"/>
  </r>
  <r>
    <x v="26"/>
    <n v="1126"/>
    <n v="55"/>
    <n v="1"/>
    <x v="2"/>
    <x v="11"/>
    <x v="0"/>
    <x v="39"/>
    <x v="39"/>
    <x v="0"/>
    <x v="16"/>
    <x v="12"/>
  </r>
  <r>
    <x v="26"/>
    <n v="1126"/>
    <n v="55"/>
    <n v="1"/>
    <x v="2"/>
    <x v="11"/>
    <x v="0"/>
    <x v="40"/>
    <x v="40"/>
    <x v="2"/>
    <x v="2"/>
    <x v="29"/>
  </r>
  <r>
    <x v="27"/>
    <n v="7533"/>
    <n v="3508"/>
    <n v="12"/>
    <x v="2"/>
    <x v="4"/>
    <x v="0"/>
    <x v="41"/>
    <x v="41"/>
    <x v="3"/>
    <x v="9"/>
    <x v="17"/>
  </r>
  <r>
    <x v="27"/>
    <n v="4734"/>
    <n v="1178"/>
    <n v="16"/>
    <x v="1"/>
    <x v="9"/>
    <x v="3"/>
    <x v="41"/>
    <x v="41"/>
    <x v="3"/>
    <x v="9"/>
    <x v="17"/>
  </r>
  <r>
    <x v="27"/>
    <n v="4074"/>
    <n v="1175"/>
    <n v="6"/>
    <x v="0"/>
    <x v="0"/>
    <x v="1"/>
    <x v="41"/>
    <x v="41"/>
    <x v="3"/>
    <x v="9"/>
    <x v="17"/>
  </r>
  <r>
    <x v="27"/>
    <n v="2334"/>
    <n v="484"/>
    <n v="3"/>
    <x v="2"/>
    <x v="7"/>
    <x v="3"/>
    <x v="41"/>
    <x v="41"/>
    <x v="3"/>
    <x v="9"/>
    <x v="17"/>
  </r>
  <r>
    <x v="28"/>
    <n v="2750"/>
    <n v="1239"/>
    <n v="11"/>
    <x v="0"/>
    <x v="10"/>
    <x v="1"/>
    <x v="42"/>
    <x v="42"/>
    <x v="2"/>
    <x v="2"/>
    <x v="30"/>
  </r>
  <r>
    <x v="28"/>
    <n v="2750"/>
    <n v="1239"/>
    <n v="11"/>
    <x v="0"/>
    <x v="10"/>
    <x v="1"/>
    <x v="43"/>
    <x v="43"/>
    <x v="5"/>
    <x v="14"/>
    <x v="31"/>
  </r>
  <r>
    <x v="28"/>
    <n v="8639"/>
    <n v="3104"/>
    <n v="19"/>
    <x v="1"/>
    <x v="2"/>
    <x v="2"/>
    <x v="42"/>
    <x v="42"/>
    <x v="2"/>
    <x v="2"/>
    <x v="30"/>
  </r>
  <r>
    <x v="28"/>
    <n v="8639"/>
    <n v="3104"/>
    <n v="19"/>
    <x v="1"/>
    <x v="2"/>
    <x v="2"/>
    <x v="43"/>
    <x v="43"/>
    <x v="5"/>
    <x v="14"/>
    <x v="31"/>
  </r>
  <r>
    <x v="29"/>
    <n v="3808"/>
    <n v="1192"/>
    <n v="4"/>
    <x v="1"/>
    <x v="6"/>
    <x v="0"/>
    <x v="44"/>
    <x v="44"/>
    <x v="2"/>
    <x v="5"/>
    <x v="32"/>
  </r>
  <r>
    <x v="29"/>
    <n v="2588"/>
    <n v="705"/>
    <n v="16"/>
    <x v="1"/>
    <x v="2"/>
    <x v="3"/>
    <x v="44"/>
    <x v="44"/>
    <x v="2"/>
    <x v="5"/>
    <x v="32"/>
  </r>
  <r>
    <x v="30"/>
    <n v="1591"/>
    <n v="727"/>
    <n v="5"/>
    <x v="0"/>
    <x v="0"/>
    <x v="3"/>
    <x v="45"/>
    <x v="45"/>
    <x v="1"/>
    <x v="6"/>
    <x v="33"/>
  </r>
  <r>
    <x v="30"/>
    <n v="1591"/>
    <n v="727"/>
    <n v="5"/>
    <x v="0"/>
    <x v="0"/>
    <x v="3"/>
    <x v="46"/>
    <x v="46"/>
    <x v="0"/>
    <x v="16"/>
    <x v="34"/>
  </r>
  <r>
    <x v="30"/>
    <n v="1591"/>
    <n v="727"/>
    <n v="5"/>
    <x v="0"/>
    <x v="0"/>
    <x v="3"/>
    <x v="47"/>
    <x v="47"/>
    <x v="5"/>
    <x v="13"/>
    <x v="26"/>
  </r>
  <r>
    <x v="31"/>
    <n v="1757"/>
    <n v="622"/>
    <n v="10"/>
    <x v="2"/>
    <x v="5"/>
    <x v="0"/>
    <x v="48"/>
    <x v="48"/>
    <x v="5"/>
    <x v="14"/>
    <x v="25"/>
  </r>
  <r>
    <x v="31"/>
    <n v="1757"/>
    <n v="622"/>
    <n v="10"/>
    <x v="2"/>
    <x v="5"/>
    <x v="0"/>
    <x v="49"/>
    <x v="49"/>
    <x v="1"/>
    <x v="17"/>
    <x v="5"/>
  </r>
  <r>
    <x v="32"/>
    <n v="6940"/>
    <n v="253"/>
    <n v="15"/>
    <x v="2"/>
    <x v="11"/>
    <x v="1"/>
    <x v="50"/>
    <x v="50"/>
    <x v="0"/>
    <x v="3"/>
    <x v="35"/>
  </r>
  <r>
    <x v="32"/>
    <n v="5105"/>
    <n v="465"/>
    <n v="5"/>
    <x v="0"/>
    <x v="1"/>
    <x v="0"/>
    <x v="50"/>
    <x v="50"/>
    <x v="0"/>
    <x v="3"/>
    <x v="35"/>
  </r>
  <r>
    <x v="33"/>
    <n v="5578"/>
    <n v="277"/>
    <n v="16"/>
    <x v="2"/>
    <x v="4"/>
    <x v="4"/>
    <x v="51"/>
    <x v="51"/>
    <x v="0"/>
    <x v="0"/>
    <x v="36"/>
  </r>
  <r>
    <x v="33"/>
    <n v="5578"/>
    <n v="277"/>
    <n v="16"/>
    <x v="2"/>
    <x v="4"/>
    <x v="4"/>
    <x v="52"/>
    <x v="52"/>
    <x v="5"/>
    <x v="12"/>
    <x v="37"/>
  </r>
  <r>
    <x v="34"/>
    <n v="5224"/>
    <n v="1958"/>
    <n v="16"/>
    <x v="2"/>
    <x v="5"/>
    <x v="3"/>
    <x v="53"/>
    <x v="53"/>
    <x v="4"/>
    <x v="15"/>
    <x v="17"/>
  </r>
  <r>
    <x v="34"/>
    <n v="5002"/>
    <n v="1801"/>
    <n v="11"/>
    <x v="1"/>
    <x v="6"/>
    <x v="3"/>
    <x v="53"/>
    <x v="53"/>
    <x v="4"/>
    <x v="15"/>
    <x v="17"/>
  </r>
  <r>
    <x v="34"/>
    <n v="7380"/>
    <n v="1673"/>
    <n v="18"/>
    <x v="1"/>
    <x v="6"/>
    <x v="4"/>
    <x v="53"/>
    <x v="53"/>
    <x v="4"/>
    <x v="15"/>
    <x v="17"/>
  </r>
  <r>
    <x v="35"/>
    <n v="7595"/>
    <n v="2873"/>
    <n v="4"/>
    <x v="2"/>
    <x v="5"/>
    <x v="1"/>
    <x v="54"/>
    <x v="54"/>
    <x v="3"/>
    <x v="4"/>
    <x v="38"/>
  </r>
  <r>
    <x v="35"/>
    <n v="7595"/>
    <n v="2873"/>
    <n v="4"/>
    <x v="2"/>
    <x v="5"/>
    <x v="1"/>
    <x v="55"/>
    <x v="55"/>
    <x v="2"/>
    <x v="7"/>
    <x v="39"/>
  </r>
  <r>
    <x v="36"/>
    <n v="1954"/>
    <n v="294"/>
    <n v="7"/>
    <x v="2"/>
    <x v="7"/>
    <x v="1"/>
    <x v="56"/>
    <x v="56"/>
    <x v="4"/>
    <x v="10"/>
    <x v="29"/>
  </r>
  <r>
    <x v="37"/>
    <n v="523"/>
    <n v="95"/>
    <n v="20"/>
    <x v="0"/>
    <x v="1"/>
    <x v="2"/>
    <x v="57"/>
    <x v="57"/>
    <x v="4"/>
    <x v="8"/>
    <x v="1"/>
  </r>
  <r>
    <x v="38"/>
    <n v="5704"/>
    <n v="714"/>
    <n v="13"/>
    <x v="0"/>
    <x v="3"/>
    <x v="2"/>
    <x v="58"/>
    <x v="58"/>
    <x v="4"/>
    <x v="10"/>
    <x v="26"/>
  </r>
  <r>
    <x v="38"/>
    <n v="5704"/>
    <n v="714"/>
    <n v="13"/>
    <x v="0"/>
    <x v="3"/>
    <x v="2"/>
    <x v="59"/>
    <x v="59"/>
    <x v="3"/>
    <x v="9"/>
    <x v="13"/>
  </r>
  <r>
    <x v="38"/>
    <n v="8797"/>
    <n v="1010"/>
    <n v="8"/>
    <x v="2"/>
    <x v="4"/>
    <x v="0"/>
    <x v="58"/>
    <x v="58"/>
    <x v="4"/>
    <x v="10"/>
    <x v="26"/>
  </r>
  <r>
    <x v="38"/>
    <n v="8797"/>
    <n v="1010"/>
    <n v="8"/>
    <x v="2"/>
    <x v="4"/>
    <x v="0"/>
    <x v="59"/>
    <x v="59"/>
    <x v="3"/>
    <x v="9"/>
    <x v="13"/>
  </r>
  <r>
    <x v="38"/>
    <n v="9236"/>
    <n v="2899"/>
    <n v="5"/>
    <x v="0"/>
    <x v="3"/>
    <x v="1"/>
    <x v="58"/>
    <x v="58"/>
    <x v="4"/>
    <x v="10"/>
    <x v="26"/>
  </r>
  <r>
    <x v="38"/>
    <n v="9236"/>
    <n v="2899"/>
    <n v="5"/>
    <x v="0"/>
    <x v="3"/>
    <x v="1"/>
    <x v="59"/>
    <x v="59"/>
    <x v="3"/>
    <x v="9"/>
    <x v="13"/>
  </r>
  <r>
    <x v="39"/>
    <n v="9109"/>
    <n v="586"/>
    <n v="17"/>
    <x v="2"/>
    <x v="7"/>
    <x v="2"/>
    <x v="60"/>
    <x v="60"/>
    <x v="0"/>
    <x v="0"/>
    <x v="8"/>
  </r>
  <r>
    <x v="40"/>
    <n v="4358"/>
    <n v="526"/>
    <n v="19"/>
    <x v="0"/>
    <x v="10"/>
    <x v="3"/>
    <x v="61"/>
    <x v="61"/>
    <x v="4"/>
    <x v="8"/>
    <x v="29"/>
  </r>
  <r>
    <x v="40"/>
    <n v="4358"/>
    <n v="526"/>
    <n v="19"/>
    <x v="0"/>
    <x v="10"/>
    <x v="3"/>
    <x v="62"/>
    <x v="62"/>
    <x v="3"/>
    <x v="11"/>
    <x v="31"/>
  </r>
  <r>
    <x v="40"/>
    <n v="6459"/>
    <n v="825"/>
    <n v="8"/>
    <x v="0"/>
    <x v="10"/>
    <x v="3"/>
    <x v="61"/>
    <x v="61"/>
    <x v="4"/>
    <x v="8"/>
    <x v="29"/>
  </r>
  <r>
    <x v="40"/>
    <n v="6459"/>
    <n v="825"/>
    <n v="8"/>
    <x v="0"/>
    <x v="10"/>
    <x v="3"/>
    <x v="62"/>
    <x v="62"/>
    <x v="3"/>
    <x v="11"/>
    <x v="31"/>
  </r>
  <r>
    <x v="41"/>
    <n v="2478"/>
    <n v="92"/>
    <n v="12"/>
    <x v="2"/>
    <x v="11"/>
    <x v="4"/>
    <x v="63"/>
    <x v="63"/>
    <x v="3"/>
    <x v="11"/>
    <x v="23"/>
  </r>
  <r>
    <x v="41"/>
    <n v="2478"/>
    <n v="92"/>
    <n v="12"/>
    <x v="2"/>
    <x v="11"/>
    <x v="4"/>
    <x v="64"/>
    <x v="64"/>
    <x v="2"/>
    <x v="5"/>
    <x v="34"/>
  </r>
  <r>
    <x v="41"/>
    <n v="2478"/>
    <n v="92"/>
    <n v="12"/>
    <x v="2"/>
    <x v="11"/>
    <x v="4"/>
    <x v="65"/>
    <x v="65"/>
    <x v="3"/>
    <x v="11"/>
    <x v="34"/>
  </r>
  <r>
    <x v="41"/>
    <n v="2478"/>
    <n v="92"/>
    <n v="12"/>
    <x v="2"/>
    <x v="11"/>
    <x v="4"/>
    <x v="66"/>
    <x v="66"/>
    <x v="5"/>
    <x v="14"/>
    <x v="28"/>
  </r>
  <r>
    <x v="42"/>
    <n v="9992"/>
    <n v="3696"/>
    <n v="20"/>
    <x v="1"/>
    <x v="2"/>
    <x v="1"/>
    <x v="4"/>
    <x v="67"/>
    <x v="2"/>
    <x v="7"/>
    <x v="4"/>
  </r>
  <r>
    <x v="42"/>
    <n v="9992"/>
    <n v="3696"/>
    <n v="20"/>
    <x v="1"/>
    <x v="2"/>
    <x v="1"/>
    <x v="67"/>
    <x v="68"/>
    <x v="4"/>
    <x v="10"/>
    <x v="39"/>
  </r>
  <r>
    <x v="42"/>
    <n v="9992"/>
    <n v="3696"/>
    <n v="20"/>
    <x v="1"/>
    <x v="2"/>
    <x v="1"/>
    <x v="68"/>
    <x v="69"/>
    <x v="2"/>
    <x v="7"/>
    <x v="40"/>
  </r>
  <r>
    <x v="42"/>
    <n v="9619"/>
    <n v="3420"/>
    <n v="7"/>
    <x v="1"/>
    <x v="9"/>
    <x v="0"/>
    <x v="4"/>
    <x v="67"/>
    <x v="2"/>
    <x v="7"/>
    <x v="4"/>
  </r>
  <r>
    <x v="42"/>
    <n v="9619"/>
    <n v="3420"/>
    <n v="7"/>
    <x v="1"/>
    <x v="9"/>
    <x v="0"/>
    <x v="67"/>
    <x v="68"/>
    <x v="4"/>
    <x v="10"/>
    <x v="39"/>
  </r>
  <r>
    <x v="42"/>
    <n v="9619"/>
    <n v="3420"/>
    <n v="7"/>
    <x v="1"/>
    <x v="9"/>
    <x v="0"/>
    <x v="68"/>
    <x v="69"/>
    <x v="2"/>
    <x v="7"/>
    <x v="40"/>
  </r>
  <r>
    <x v="43"/>
    <n v="9538"/>
    <n v="3158"/>
    <n v="20"/>
    <x v="0"/>
    <x v="1"/>
    <x v="3"/>
    <x v="69"/>
    <x v="70"/>
    <x v="3"/>
    <x v="11"/>
    <x v="31"/>
  </r>
  <r>
    <x v="43"/>
    <n v="9538"/>
    <n v="3158"/>
    <n v="20"/>
    <x v="0"/>
    <x v="1"/>
    <x v="3"/>
    <x v="70"/>
    <x v="71"/>
    <x v="5"/>
    <x v="14"/>
    <x v="18"/>
  </r>
  <r>
    <x v="43"/>
    <n v="9035"/>
    <n v="1227"/>
    <n v="14"/>
    <x v="2"/>
    <x v="5"/>
    <x v="2"/>
    <x v="69"/>
    <x v="70"/>
    <x v="3"/>
    <x v="11"/>
    <x v="31"/>
  </r>
  <r>
    <x v="43"/>
    <n v="9035"/>
    <n v="1227"/>
    <n v="14"/>
    <x v="2"/>
    <x v="5"/>
    <x v="2"/>
    <x v="70"/>
    <x v="71"/>
    <x v="5"/>
    <x v="14"/>
    <x v="18"/>
  </r>
  <r>
    <x v="44"/>
    <n v="2684"/>
    <n v="670"/>
    <n v="2"/>
    <x v="1"/>
    <x v="8"/>
    <x v="4"/>
    <x v="71"/>
    <x v="72"/>
    <x v="0"/>
    <x v="16"/>
    <x v="41"/>
  </r>
  <r>
    <x v="44"/>
    <n v="822"/>
    <n v="147"/>
    <n v="5"/>
    <x v="2"/>
    <x v="7"/>
    <x v="3"/>
    <x v="71"/>
    <x v="72"/>
    <x v="0"/>
    <x v="16"/>
    <x v="41"/>
  </r>
  <r>
    <x v="44"/>
    <n v="9730"/>
    <n v="2341"/>
    <n v="2"/>
    <x v="2"/>
    <x v="5"/>
    <x v="2"/>
    <x v="71"/>
    <x v="72"/>
    <x v="0"/>
    <x v="16"/>
    <x v="41"/>
  </r>
  <r>
    <x v="44"/>
    <n v="2483"/>
    <n v="236"/>
    <n v="2"/>
    <x v="0"/>
    <x v="0"/>
    <x v="4"/>
    <x v="71"/>
    <x v="72"/>
    <x v="0"/>
    <x v="16"/>
    <x v="41"/>
  </r>
  <r>
    <x v="45"/>
    <n v="1297"/>
    <n v="600"/>
    <n v="7"/>
    <x v="1"/>
    <x v="9"/>
    <x v="3"/>
    <x v="72"/>
    <x v="73"/>
    <x v="0"/>
    <x v="3"/>
    <x v="42"/>
  </r>
  <r>
    <x v="45"/>
    <n v="7909"/>
    <n v="1942"/>
    <n v="19"/>
    <x v="0"/>
    <x v="10"/>
    <x v="4"/>
    <x v="72"/>
    <x v="73"/>
    <x v="0"/>
    <x v="3"/>
    <x v="42"/>
  </r>
  <r>
    <x v="46"/>
    <n v="9768"/>
    <n v="4518"/>
    <n v="8"/>
    <x v="2"/>
    <x v="4"/>
    <x v="3"/>
    <x v="73"/>
    <x v="74"/>
    <x v="4"/>
    <x v="8"/>
    <x v="35"/>
  </r>
  <r>
    <x v="46"/>
    <n v="4968"/>
    <n v="934"/>
    <n v="5"/>
    <x v="2"/>
    <x v="7"/>
    <x v="1"/>
    <x v="73"/>
    <x v="74"/>
    <x v="4"/>
    <x v="8"/>
    <x v="35"/>
  </r>
  <r>
    <x v="46"/>
    <n v="1731"/>
    <n v="149"/>
    <n v="4"/>
    <x v="0"/>
    <x v="3"/>
    <x v="2"/>
    <x v="73"/>
    <x v="74"/>
    <x v="4"/>
    <x v="8"/>
    <x v="35"/>
  </r>
  <r>
    <x v="47"/>
    <n v="3433"/>
    <n v="1169"/>
    <n v="10"/>
    <x v="1"/>
    <x v="9"/>
    <x v="4"/>
    <x v="74"/>
    <x v="75"/>
    <x v="3"/>
    <x v="11"/>
    <x v="42"/>
  </r>
  <r>
    <x v="47"/>
    <n v="3433"/>
    <n v="1169"/>
    <n v="10"/>
    <x v="1"/>
    <x v="9"/>
    <x v="4"/>
    <x v="75"/>
    <x v="76"/>
    <x v="1"/>
    <x v="6"/>
    <x v="43"/>
  </r>
  <r>
    <x v="47"/>
    <n v="3433"/>
    <n v="1169"/>
    <n v="10"/>
    <x v="1"/>
    <x v="9"/>
    <x v="4"/>
    <x v="76"/>
    <x v="77"/>
    <x v="3"/>
    <x v="9"/>
    <x v="43"/>
  </r>
  <r>
    <x v="47"/>
    <n v="3887"/>
    <n v="1490"/>
    <n v="1"/>
    <x v="1"/>
    <x v="9"/>
    <x v="1"/>
    <x v="74"/>
    <x v="75"/>
    <x v="3"/>
    <x v="11"/>
    <x v="42"/>
  </r>
  <r>
    <x v="47"/>
    <n v="3887"/>
    <n v="1490"/>
    <n v="1"/>
    <x v="1"/>
    <x v="9"/>
    <x v="1"/>
    <x v="75"/>
    <x v="76"/>
    <x v="1"/>
    <x v="6"/>
    <x v="43"/>
  </r>
  <r>
    <x v="47"/>
    <n v="3887"/>
    <n v="1490"/>
    <n v="1"/>
    <x v="1"/>
    <x v="9"/>
    <x v="1"/>
    <x v="76"/>
    <x v="77"/>
    <x v="3"/>
    <x v="9"/>
    <x v="43"/>
  </r>
  <r>
    <x v="48"/>
    <n v="1801"/>
    <n v="641"/>
    <n v="20"/>
    <x v="1"/>
    <x v="6"/>
    <x v="3"/>
    <x v="77"/>
    <x v="78"/>
    <x v="3"/>
    <x v="4"/>
    <x v="41"/>
  </r>
  <r>
    <x v="48"/>
    <n v="5301"/>
    <n v="817"/>
    <n v="10"/>
    <x v="2"/>
    <x v="4"/>
    <x v="1"/>
    <x v="77"/>
    <x v="78"/>
    <x v="3"/>
    <x v="4"/>
    <x v="41"/>
  </r>
  <r>
    <x v="48"/>
    <n v="1166"/>
    <n v="520"/>
    <n v="12"/>
    <x v="1"/>
    <x v="8"/>
    <x v="1"/>
    <x v="77"/>
    <x v="78"/>
    <x v="3"/>
    <x v="4"/>
    <x v="41"/>
  </r>
  <r>
    <x v="48"/>
    <n v="3196"/>
    <n v="1411"/>
    <n v="15"/>
    <x v="1"/>
    <x v="8"/>
    <x v="1"/>
    <x v="77"/>
    <x v="78"/>
    <x v="3"/>
    <x v="4"/>
    <x v="41"/>
  </r>
  <r>
    <x v="49"/>
    <n v="3428"/>
    <n v="350"/>
    <n v="1"/>
    <x v="2"/>
    <x v="5"/>
    <x v="3"/>
    <x v="78"/>
    <x v="79"/>
    <x v="1"/>
    <x v="6"/>
    <x v="14"/>
  </r>
  <r>
    <x v="49"/>
    <n v="7223"/>
    <n v="2433"/>
    <n v="12"/>
    <x v="1"/>
    <x v="9"/>
    <x v="3"/>
    <x v="78"/>
    <x v="79"/>
    <x v="1"/>
    <x v="6"/>
    <x v="14"/>
  </r>
  <r>
    <x v="49"/>
    <n v="3731"/>
    <n v="647"/>
    <n v="1"/>
    <x v="1"/>
    <x v="2"/>
    <x v="3"/>
    <x v="78"/>
    <x v="79"/>
    <x v="1"/>
    <x v="6"/>
    <x v="14"/>
  </r>
  <r>
    <x v="50"/>
    <n v="8903"/>
    <n v="4401"/>
    <n v="18"/>
    <x v="1"/>
    <x v="2"/>
    <x v="3"/>
    <x v="79"/>
    <x v="80"/>
    <x v="5"/>
    <x v="12"/>
    <x v="40"/>
  </r>
  <r>
    <x v="51"/>
    <n v="6009"/>
    <n v="2107"/>
    <n v="7"/>
    <x v="0"/>
    <x v="10"/>
    <x v="0"/>
    <x v="80"/>
    <x v="81"/>
    <x v="1"/>
    <x v="1"/>
    <x v="29"/>
  </r>
  <r>
    <x v="51"/>
    <n v="6009"/>
    <n v="2107"/>
    <n v="7"/>
    <x v="0"/>
    <x v="10"/>
    <x v="0"/>
    <x v="81"/>
    <x v="82"/>
    <x v="4"/>
    <x v="10"/>
    <x v="44"/>
  </r>
  <r>
    <x v="51"/>
    <n v="2858"/>
    <n v="230"/>
    <n v="3"/>
    <x v="2"/>
    <x v="4"/>
    <x v="3"/>
    <x v="80"/>
    <x v="81"/>
    <x v="1"/>
    <x v="1"/>
    <x v="29"/>
  </r>
  <r>
    <x v="51"/>
    <n v="2858"/>
    <n v="230"/>
    <n v="3"/>
    <x v="2"/>
    <x v="4"/>
    <x v="3"/>
    <x v="81"/>
    <x v="82"/>
    <x v="4"/>
    <x v="10"/>
    <x v="44"/>
  </r>
  <r>
    <x v="51"/>
    <n v="8175"/>
    <n v="525"/>
    <n v="7"/>
    <x v="2"/>
    <x v="7"/>
    <x v="3"/>
    <x v="80"/>
    <x v="81"/>
    <x v="1"/>
    <x v="1"/>
    <x v="29"/>
  </r>
  <r>
    <x v="51"/>
    <n v="8175"/>
    <n v="525"/>
    <n v="7"/>
    <x v="2"/>
    <x v="7"/>
    <x v="3"/>
    <x v="81"/>
    <x v="82"/>
    <x v="4"/>
    <x v="10"/>
    <x v="44"/>
  </r>
  <r>
    <x v="51"/>
    <n v="5846"/>
    <n v="586"/>
    <n v="18"/>
    <x v="2"/>
    <x v="7"/>
    <x v="0"/>
    <x v="80"/>
    <x v="81"/>
    <x v="1"/>
    <x v="1"/>
    <x v="29"/>
  </r>
  <r>
    <x v="51"/>
    <n v="5846"/>
    <n v="586"/>
    <n v="18"/>
    <x v="2"/>
    <x v="7"/>
    <x v="0"/>
    <x v="81"/>
    <x v="82"/>
    <x v="4"/>
    <x v="10"/>
    <x v="44"/>
  </r>
  <r>
    <x v="52"/>
    <n v="706"/>
    <n v="197"/>
    <n v="11"/>
    <x v="0"/>
    <x v="3"/>
    <x v="3"/>
    <x v="82"/>
    <x v="83"/>
    <x v="4"/>
    <x v="10"/>
    <x v="12"/>
  </r>
  <r>
    <x v="53"/>
    <n v="9835"/>
    <n v="2571"/>
    <n v="16"/>
    <x v="2"/>
    <x v="4"/>
    <x v="4"/>
    <x v="83"/>
    <x v="84"/>
    <x v="4"/>
    <x v="8"/>
    <x v="33"/>
  </r>
  <r>
    <x v="53"/>
    <n v="9835"/>
    <n v="2571"/>
    <n v="16"/>
    <x v="2"/>
    <x v="4"/>
    <x v="4"/>
    <x v="84"/>
    <x v="85"/>
    <x v="0"/>
    <x v="3"/>
    <x v="35"/>
  </r>
  <r>
    <x v="53"/>
    <n v="9835"/>
    <n v="2571"/>
    <n v="16"/>
    <x v="2"/>
    <x v="4"/>
    <x v="4"/>
    <x v="85"/>
    <x v="86"/>
    <x v="3"/>
    <x v="4"/>
    <x v="40"/>
  </r>
  <r>
    <x v="53"/>
    <n v="9691"/>
    <n v="3056"/>
    <n v="13"/>
    <x v="1"/>
    <x v="6"/>
    <x v="3"/>
    <x v="83"/>
    <x v="84"/>
    <x v="4"/>
    <x v="8"/>
    <x v="33"/>
  </r>
  <r>
    <x v="53"/>
    <n v="9691"/>
    <n v="3056"/>
    <n v="13"/>
    <x v="1"/>
    <x v="6"/>
    <x v="3"/>
    <x v="84"/>
    <x v="85"/>
    <x v="0"/>
    <x v="3"/>
    <x v="35"/>
  </r>
  <r>
    <x v="53"/>
    <n v="9691"/>
    <n v="3056"/>
    <n v="13"/>
    <x v="1"/>
    <x v="6"/>
    <x v="3"/>
    <x v="85"/>
    <x v="86"/>
    <x v="3"/>
    <x v="4"/>
    <x v="40"/>
  </r>
  <r>
    <x v="53"/>
    <n v="7826"/>
    <n v="1221"/>
    <n v="14"/>
    <x v="2"/>
    <x v="11"/>
    <x v="0"/>
    <x v="83"/>
    <x v="84"/>
    <x v="4"/>
    <x v="8"/>
    <x v="33"/>
  </r>
  <r>
    <x v="53"/>
    <n v="7826"/>
    <n v="1221"/>
    <n v="14"/>
    <x v="2"/>
    <x v="11"/>
    <x v="0"/>
    <x v="84"/>
    <x v="85"/>
    <x v="0"/>
    <x v="3"/>
    <x v="35"/>
  </r>
  <r>
    <x v="53"/>
    <n v="7826"/>
    <n v="1221"/>
    <n v="14"/>
    <x v="2"/>
    <x v="11"/>
    <x v="0"/>
    <x v="85"/>
    <x v="86"/>
    <x v="3"/>
    <x v="4"/>
    <x v="40"/>
  </r>
  <r>
    <x v="54"/>
    <n v="770"/>
    <n v="241"/>
    <n v="11"/>
    <x v="2"/>
    <x v="7"/>
    <x v="4"/>
    <x v="86"/>
    <x v="87"/>
    <x v="4"/>
    <x v="10"/>
    <x v="35"/>
  </r>
  <r>
    <x v="54"/>
    <n v="770"/>
    <n v="241"/>
    <n v="11"/>
    <x v="2"/>
    <x v="7"/>
    <x v="4"/>
    <x v="87"/>
    <x v="88"/>
    <x v="5"/>
    <x v="13"/>
    <x v="45"/>
  </r>
  <r>
    <x v="55"/>
    <n v="9895"/>
    <n v="1598"/>
    <n v="20"/>
    <x v="2"/>
    <x v="11"/>
    <x v="4"/>
    <x v="88"/>
    <x v="89"/>
    <x v="2"/>
    <x v="7"/>
    <x v="16"/>
  </r>
  <r>
    <x v="56"/>
    <n v="6517"/>
    <n v="1581"/>
    <n v="10"/>
    <x v="1"/>
    <x v="8"/>
    <x v="1"/>
    <x v="89"/>
    <x v="90"/>
    <x v="0"/>
    <x v="0"/>
    <x v="3"/>
  </r>
  <r>
    <x v="56"/>
    <n v="6517"/>
    <n v="1581"/>
    <n v="10"/>
    <x v="1"/>
    <x v="8"/>
    <x v="1"/>
    <x v="90"/>
    <x v="91"/>
    <x v="0"/>
    <x v="16"/>
    <x v="8"/>
  </r>
  <r>
    <x v="56"/>
    <n v="1166"/>
    <n v="349"/>
    <n v="11"/>
    <x v="2"/>
    <x v="4"/>
    <x v="3"/>
    <x v="89"/>
    <x v="90"/>
    <x v="0"/>
    <x v="0"/>
    <x v="3"/>
  </r>
  <r>
    <x v="56"/>
    <n v="1166"/>
    <n v="349"/>
    <n v="11"/>
    <x v="2"/>
    <x v="4"/>
    <x v="3"/>
    <x v="90"/>
    <x v="91"/>
    <x v="0"/>
    <x v="16"/>
    <x v="8"/>
  </r>
  <r>
    <x v="57"/>
    <n v="9820"/>
    <n v="793"/>
    <n v="16"/>
    <x v="2"/>
    <x v="5"/>
    <x v="3"/>
    <x v="91"/>
    <x v="92"/>
    <x v="2"/>
    <x v="2"/>
    <x v="36"/>
  </r>
  <r>
    <x v="58"/>
    <n v="8563"/>
    <n v="2624"/>
    <n v="8"/>
    <x v="1"/>
    <x v="9"/>
    <x v="4"/>
    <x v="92"/>
    <x v="93"/>
    <x v="4"/>
    <x v="8"/>
    <x v="46"/>
  </r>
  <r>
    <x v="58"/>
    <n v="4441"/>
    <n v="281"/>
    <n v="20"/>
    <x v="0"/>
    <x v="1"/>
    <x v="4"/>
    <x v="92"/>
    <x v="93"/>
    <x v="4"/>
    <x v="8"/>
    <x v="46"/>
  </r>
  <r>
    <x v="59"/>
    <n v="7340"/>
    <n v="2271"/>
    <n v="8"/>
    <x v="1"/>
    <x v="8"/>
    <x v="2"/>
    <x v="93"/>
    <x v="94"/>
    <x v="0"/>
    <x v="3"/>
    <x v="13"/>
  </r>
  <r>
    <x v="59"/>
    <n v="5442"/>
    <n v="1610"/>
    <n v="1"/>
    <x v="0"/>
    <x v="10"/>
    <x v="2"/>
    <x v="93"/>
    <x v="94"/>
    <x v="0"/>
    <x v="3"/>
    <x v="13"/>
  </r>
  <r>
    <x v="60"/>
    <n v="1895"/>
    <n v="391"/>
    <n v="14"/>
    <x v="2"/>
    <x v="4"/>
    <x v="0"/>
    <x v="94"/>
    <x v="95"/>
    <x v="0"/>
    <x v="16"/>
    <x v="41"/>
  </r>
  <r>
    <x v="60"/>
    <n v="5323"/>
    <n v="322"/>
    <n v="13"/>
    <x v="1"/>
    <x v="9"/>
    <x v="4"/>
    <x v="94"/>
    <x v="95"/>
    <x v="0"/>
    <x v="16"/>
    <x v="41"/>
  </r>
  <r>
    <x v="61"/>
    <n v="8850"/>
    <n v="279"/>
    <n v="13"/>
    <x v="1"/>
    <x v="6"/>
    <x v="1"/>
    <x v="95"/>
    <x v="96"/>
    <x v="0"/>
    <x v="0"/>
    <x v="47"/>
  </r>
  <r>
    <x v="61"/>
    <n v="8667"/>
    <n v="1266"/>
    <n v="6"/>
    <x v="1"/>
    <x v="8"/>
    <x v="1"/>
    <x v="95"/>
    <x v="96"/>
    <x v="0"/>
    <x v="0"/>
    <x v="47"/>
  </r>
  <r>
    <x v="62"/>
    <n v="6903"/>
    <n v="105"/>
    <n v="1"/>
    <x v="2"/>
    <x v="4"/>
    <x v="4"/>
    <x v="96"/>
    <x v="97"/>
    <x v="1"/>
    <x v="1"/>
    <x v="3"/>
  </r>
  <r>
    <x v="62"/>
    <n v="8793"/>
    <n v="3010"/>
    <n v="7"/>
    <x v="1"/>
    <x v="2"/>
    <x v="4"/>
    <x v="96"/>
    <x v="97"/>
    <x v="1"/>
    <x v="1"/>
    <x v="3"/>
  </r>
  <r>
    <x v="63"/>
    <n v="9883"/>
    <n v="4812"/>
    <n v="16"/>
    <x v="1"/>
    <x v="8"/>
    <x v="0"/>
    <x v="97"/>
    <x v="98"/>
    <x v="2"/>
    <x v="2"/>
    <x v="20"/>
  </r>
  <r>
    <x v="63"/>
    <n v="9883"/>
    <n v="4812"/>
    <n v="16"/>
    <x v="1"/>
    <x v="8"/>
    <x v="0"/>
    <x v="98"/>
    <x v="99"/>
    <x v="0"/>
    <x v="3"/>
    <x v="40"/>
  </r>
  <r>
    <x v="63"/>
    <n v="9883"/>
    <n v="4812"/>
    <n v="16"/>
    <x v="1"/>
    <x v="8"/>
    <x v="0"/>
    <x v="99"/>
    <x v="100"/>
    <x v="1"/>
    <x v="6"/>
    <x v="4"/>
  </r>
  <r>
    <x v="63"/>
    <n v="5210"/>
    <n v="1185"/>
    <n v="7"/>
    <x v="1"/>
    <x v="8"/>
    <x v="0"/>
    <x v="97"/>
    <x v="98"/>
    <x v="2"/>
    <x v="2"/>
    <x v="20"/>
  </r>
  <r>
    <x v="63"/>
    <n v="5210"/>
    <n v="1185"/>
    <n v="7"/>
    <x v="1"/>
    <x v="8"/>
    <x v="0"/>
    <x v="98"/>
    <x v="99"/>
    <x v="0"/>
    <x v="3"/>
    <x v="40"/>
  </r>
  <r>
    <x v="63"/>
    <n v="5210"/>
    <n v="1185"/>
    <n v="7"/>
    <x v="1"/>
    <x v="8"/>
    <x v="0"/>
    <x v="99"/>
    <x v="100"/>
    <x v="1"/>
    <x v="6"/>
    <x v="4"/>
  </r>
  <r>
    <x v="64"/>
    <n v="3574"/>
    <n v="851"/>
    <n v="4"/>
    <x v="0"/>
    <x v="1"/>
    <x v="3"/>
    <x v="47"/>
    <x v="101"/>
    <x v="3"/>
    <x v="4"/>
    <x v="26"/>
  </r>
  <r>
    <x v="64"/>
    <n v="576"/>
    <n v="76"/>
    <n v="13"/>
    <x v="2"/>
    <x v="7"/>
    <x v="0"/>
    <x v="47"/>
    <x v="101"/>
    <x v="3"/>
    <x v="4"/>
    <x v="26"/>
  </r>
  <r>
    <x v="65"/>
    <n v="1860"/>
    <n v="457"/>
    <n v="13"/>
    <x v="0"/>
    <x v="1"/>
    <x v="2"/>
    <x v="100"/>
    <x v="102"/>
    <x v="5"/>
    <x v="14"/>
    <x v="48"/>
  </r>
  <r>
    <x v="66"/>
    <n v="782"/>
    <n v="374"/>
    <n v="8"/>
    <x v="1"/>
    <x v="2"/>
    <x v="2"/>
    <x v="101"/>
    <x v="103"/>
    <x v="1"/>
    <x v="17"/>
    <x v="49"/>
  </r>
  <r>
    <x v="66"/>
    <n v="4371"/>
    <n v="1852"/>
    <n v="1"/>
    <x v="0"/>
    <x v="3"/>
    <x v="0"/>
    <x v="101"/>
    <x v="103"/>
    <x v="1"/>
    <x v="17"/>
    <x v="49"/>
  </r>
  <r>
    <x v="67"/>
    <n v="8346"/>
    <n v="1176"/>
    <n v="1"/>
    <x v="0"/>
    <x v="10"/>
    <x v="4"/>
    <x v="102"/>
    <x v="104"/>
    <x v="4"/>
    <x v="15"/>
    <x v="38"/>
  </r>
  <r>
    <x v="67"/>
    <n v="8346"/>
    <n v="1176"/>
    <n v="1"/>
    <x v="0"/>
    <x v="10"/>
    <x v="4"/>
    <x v="103"/>
    <x v="105"/>
    <x v="1"/>
    <x v="1"/>
    <x v="28"/>
  </r>
  <r>
    <x v="67"/>
    <n v="8346"/>
    <n v="1176"/>
    <n v="1"/>
    <x v="0"/>
    <x v="10"/>
    <x v="4"/>
    <x v="104"/>
    <x v="106"/>
    <x v="3"/>
    <x v="11"/>
    <x v="16"/>
  </r>
  <r>
    <x v="67"/>
    <n v="6218"/>
    <n v="1125"/>
    <n v="5"/>
    <x v="2"/>
    <x v="4"/>
    <x v="1"/>
    <x v="102"/>
    <x v="104"/>
    <x v="4"/>
    <x v="15"/>
    <x v="38"/>
  </r>
  <r>
    <x v="67"/>
    <n v="6218"/>
    <n v="1125"/>
    <n v="5"/>
    <x v="2"/>
    <x v="4"/>
    <x v="1"/>
    <x v="103"/>
    <x v="105"/>
    <x v="1"/>
    <x v="1"/>
    <x v="28"/>
  </r>
  <r>
    <x v="67"/>
    <n v="6218"/>
    <n v="1125"/>
    <n v="5"/>
    <x v="2"/>
    <x v="4"/>
    <x v="1"/>
    <x v="104"/>
    <x v="106"/>
    <x v="3"/>
    <x v="11"/>
    <x v="16"/>
  </r>
  <r>
    <x v="67"/>
    <n v="5167"/>
    <n v="253"/>
    <n v="14"/>
    <x v="0"/>
    <x v="1"/>
    <x v="3"/>
    <x v="102"/>
    <x v="104"/>
    <x v="4"/>
    <x v="15"/>
    <x v="38"/>
  </r>
  <r>
    <x v="67"/>
    <n v="5167"/>
    <n v="253"/>
    <n v="14"/>
    <x v="0"/>
    <x v="1"/>
    <x v="3"/>
    <x v="103"/>
    <x v="105"/>
    <x v="1"/>
    <x v="1"/>
    <x v="28"/>
  </r>
  <r>
    <x v="67"/>
    <n v="5167"/>
    <n v="253"/>
    <n v="14"/>
    <x v="0"/>
    <x v="1"/>
    <x v="3"/>
    <x v="104"/>
    <x v="106"/>
    <x v="3"/>
    <x v="11"/>
    <x v="16"/>
  </r>
  <r>
    <x v="67"/>
    <n v="2799"/>
    <n v="1239"/>
    <n v="5"/>
    <x v="2"/>
    <x v="7"/>
    <x v="1"/>
    <x v="102"/>
    <x v="104"/>
    <x v="4"/>
    <x v="15"/>
    <x v="38"/>
  </r>
  <r>
    <x v="67"/>
    <n v="2799"/>
    <n v="1239"/>
    <n v="5"/>
    <x v="2"/>
    <x v="7"/>
    <x v="1"/>
    <x v="103"/>
    <x v="105"/>
    <x v="1"/>
    <x v="1"/>
    <x v="28"/>
  </r>
  <r>
    <x v="67"/>
    <n v="2799"/>
    <n v="1239"/>
    <n v="5"/>
    <x v="2"/>
    <x v="7"/>
    <x v="1"/>
    <x v="104"/>
    <x v="106"/>
    <x v="3"/>
    <x v="11"/>
    <x v="16"/>
  </r>
  <r>
    <x v="68"/>
    <n v="3234"/>
    <n v="1029"/>
    <n v="20"/>
    <x v="1"/>
    <x v="6"/>
    <x v="3"/>
    <x v="105"/>
    <x v="107"/>
    <x v="0"/>
    <x v="0"/>
    <x v="25"/>
  </r>
  <r>
    <x v="69"/>
    <n v="4920"/>
    <n v="775"/>
    <n v="12"/>
    <x v="2"/>
    <x v="4"/>
    <x v="1"/>
    <x v="106"/>
    <x v="108"/>
    <x v="1"/>
    <x v="6"/>
    <x v="36"/>
  </r>
  <r>
    <x v="69"/>
    <n v="9078"/>
    <n v="2213"/>
    <n v="15"/>
    <x v="2"/>
    <x v="11"/>
    <x v="2"/>
    <x v="106"/>
    <x v="108"/>
    <x v="1"/>
    <x v="6"/>
    <x v="36"/>
  </r>
  <r>
    <x v="70"/>
    <n v="8586"/>
    <n v="3826"/>
    <n v="7"/>
    <x v="2"/>
    <x v="11"/>
    <x v="0"/>
    <x v="107"/>
    <x v="109"/>
    <x v="0"/>
    <x v="0"/>
    <x v="50"/>
  </r>
  <r>
    <x v="70"/>
    <n v="8586"/>
    <n v="3826"/>
    <n v="7"/>
    <x v="2"/>
    <x v="11"/>
    <x v="0"/>
    <x v="108"/>
    <x v="110"/>
    <x v="0"/>
    <x v="16"/>
    <x v="17"/>
  </r>
  <r>
    <x v="71"/>
    <n v="5047"/>
    <n v="2211"/>
    <n v="13"/>
    <x v="2"/>
    <x v="7"/>
    <x v="2"/>
    <x v="109"/>
    <x v="111"/>
    <x v="3"/>
    <x v="11"/>
    <x v="21"/>
  </r>
  <r>
    <x v="71"/>
    <n v="5047"/>
    <n v="2211"/>
    <n v="13"/>
    <x v="2"/>
    <x v="7"/>
    <x v="2"/>
    <x v="110"/>
    <x v="112"/>
    <x v="1"/>
    <x v="1"/>
    <x v="51"/>
  </r>
  <r>
    <x v="71"/>
    <n v="5047"/>
    <n v="2211"/>
    <n v="13"/>
    <x v="2"/>
    <x v="7"/>
    <x v="2"/>
    <x v="111"/>
    <x v="113"/>
    <x v="1"/>
    <x v="17"/>
    <x v="24"/>
  </r>
  <r>
    <x v="71"/>
    <n v="5047"/>
    <n v="2211"/>
    <n v="13"/>
    <x v="2"/>
    <x v="7"/>
    <x v="2"/>
    <x v="112"/>
    <x v="114"/>
    <x v="2"/>
    <x v="2"/>
    <x v="37"/>
  </r>
  <r>
    <x v="72"/>
    <n v="3657"/>
    <n v="163"/>
    <n v="1"/>
    <x v="2"/>
    <x v="7"/>
    <x v="0"/>
    <x v="113"/>
    <x v="115"/>
    <x v="3"/>
    <x v="11"/>
    <x v="18"/>
  </r>
  <r>
    <x v="73"/>
    <n v="6471"/>
    <n v="2842"/>
    <n v="18"/>
    <x v="0"/>
    <x v="0"/>
    <x v="0"/>
    <x v="114"/>
    <x v="116"/>
    <x v="1"/>
    <x v="17"/>
    <x v="41"/>
  </r>
  <r>
    <x v="74"/>
    <n v="949"/>
    <n v="301"/>
    <n v="9"/>
    <x v="1"/>
    <x v="9"/>
    <x v="0"/>
    <x v="115"/>
    <x v="117"/>
    <x v="5"/>
    <x v="14"/>
    <x v="1"/>
  </r>
  <r>
    <x v="74"/>
    <n v="6823"/>
    <n v="771"/>
    <n v="6"/>
    <x v="1"/>
    <x v="9"/>
    <x v="2"/>
    <x v="115"/>
    <x v="117"/>
    <x v="5"/>
    <x v="14"/>
    <x v="1"/>
  </r>
  <r>
    <x v="74"/>
    <n v="4364"/>
    <n v="831"/>
    <n v="2"/>
    <x v="2"/>
    <x v="4"/>
    <x v="2"/>
    <x v="115"/>
    <x v="117"/>
    <x v="5"/>
    <x v="14"/>
    <x v="1"/>
  </r>
  <r>
    <x v="75"/>
    <n v="6671"/>
    <n v="2797"/>
    <n v="10"/>
    <x v="0"/>
    <x v="10"/>
    <x v="0"/>
    <x v="116"/>
    <x v="118"/>
    <x v="1"/>
    <x v="17"/>
    <x v="29"/>
  </r>
  <r>
    <x v="76"/>
    <n v="7472"/>
    <n v="1037"/>
    <n v="3"/>
    <x v="1"/>
    <x v="8"/>
    <x v="4"/>
    <x v="117"/>
    <x v="119"/>
    <x v="1"/>
    <x v="6"/>
    <x v="15"/>
  </r>
  <r>
    <x v="76"/>
    <n v="9548"/>
    <n v="1806"/>
    <n v="9"/>
    <x v="0"/>
    <x v="1"/>
    <x v="4"/>
    <x v="117"/>
    <x v="119"/>
    <x v="1"/>
    <x v="6"/>
    <x v="15"/>
  </r>
  <r>
    <x v="77"/>
    <n v="7759"/>
    <n v="3741"/>
    <n v="17"/>
    <x v="0"/>
    <x v="1"/>
    <x v="0"/>
    <x v="118"/>
    <x v="120"/>
    <x v="0"/>
    <x v="0"/>
    <x v="34"/>
  </r>
  <r>
    <x v="77"/>
    <n v="7759"/>
    <n v="3741"/>
    <n v="17"/>
    <x v="0"/>
    <x v="1"/>
    <x v="0"/>
    <x v="119"/>
    <x v="121"/>
    <x v="4"/>
    <x v="8"/>
    <x v="52"/>
  </r>
  <r>
    <x v="77"/>
    <n v="7521"/>
    <n v="3457"/>
    <n v="16"/>
    <x v="1"/>
    <x v="6"/>
    <x v="1"/>
    <x v="118"/>
    <x v="120"/>
    <x v="0"/>
    <x v="0"/>
    <x v="34"/>
  </r>
  <r>
    <x v="77"/>
    <n v="7521"/>
    <n v="3457"/>
    <n v="16"/>
    <x v="1"/>
    <x v="6"/>
    <x v="1"/>
    <x v="119"/>
    <x v="121"/>
    <x v="4"/>
    <x v="8"/>
    <x v="52"/>
  </r>
  <r>
    <x v="78"/>
    <n v="9704"/>
    <n v="4339"/>
    <n v="12"/>
    <x v="1"/>
    <x v="2"/>
    <x v="4"/>
    <x v="120"/>
    <x v="122"/>
    <x v="4"/>
    <x v="15"/>
    <x v="34"/>
  </r>
  <r>
    <x v="78"/>
    <n v="4948"/>
    <n v="2356"/>
    <n v="18"/>
    <x v="0"/>
    <x v="1"/>
    <x v="1"/>
    <x v="120"/>
    <x v="122"/>
    <x v="4"/>
    <x v="15"/>
    <x v="34"/>
  </r>
  <r>
    <x v="78"/>
    <n v="6435"/>
    <n v="334"/>
    <n v="10"/>
    <x v="0"/>
    <x v="0"/>
    <x v="1"/>
    <x v="120"/>
    <x v="122"/>
    <x v="4"/>
    <x v="15"/>
    <x v="34"/>
  </r>
  <r>
    <x v="79"/>
    <n v="9965"/>
    <n v="3033"/>
    <n v="16"/>
    <x v="1"/>
    <x v="6"/>
    <x v="4"/>
    <x v="121"/>
    <x v="123"/>
    <x v="3"/>
    <x v="11"/>
    <x v="53"/>
  </r>
  <r>
    <x v="79"/>
    <n v="9965"/>
    <n v="3033"/>
    <n v="16"/>
    <x v="1"/>
    <x v="6"/>
    <x v="4"/>
    <x v="122"/>
    <x v="124"/>
    <x v="2"/>
    <x v="2"/>
    <x v="48"/>
  </r>
  <r>
    <x v="80"/>
    <n v="1523"/>
    <n v="234"/>
    <n v="3"/>
    <x v="2"/>
    <x v="7"/>
    <x v="0"/>
    <x v="123"/>
    <x v="125"/>
    <x v="2"/>
    <x v="7"/>
    <x v="0"/>
  </r>
  <r>
    <x v="80"/>
    <n v="9073"/>
    <n v="424"/>
    <n v="7"/>
    <x v="0"/>
    <x v="0"/>
    <x v="1"/>
    <x v="123"/>
    <x v="125"/>
    <x v="2"/>
    <x v="7"/>
    <x v="0"/>
  </r>
  <r>
    <x v="81"/>
    <n v="6447"/>
    <n v="3079"/>
    <n v="20"/>
    <x v="0"/>
    <x v="3"/>
    <x v="4"/>
    <x v="124"/>
    <x v="126"/>
    <x v="2"/>
    <x v="7"/>
    <x v="34"/>
  </r>
  <r>
    <x v="81"/>
    <n v="8947"/>
    <n v="2807"/>
    <n v="6"/>
    <x v="0"/>
    <x v="0"/>
    <x v="3"/>
    <x v="124"/>
    <x v="126"/>
    <x v="2"/>
    <x v="7"/>
    <x v="34"/>
  </r>
  <r>
    <x v="82"/>
    <n v="914"/>
    <n v="400"/>
    <n v="8"/>
    <x v="1"/>
    <x v="2"/>
    <x v="1"/>
    <x v="125"/>
    <x v="127"/>
    <x v="3"/>
    <x v="4"/>
    <x v="49"/>
  </r>
  <r>
    <x v="82"/>
    <n v="1548"/>
    <n v="666"/>
    <n v="3"/>
    <x v="1"/>
    <x v="8"/>
    <x v="3"/>
    <x v="125"/>
    <x v="127"/>
    <x v="3"/>
    <x v="4"/>
    <x v="49"/>
  </r>
  <r>
    <x v="83"/>
    <n v="2759"/>
    <n v="1149"/>
    <n v="6"/>
    <x v="2"/>
    <x v="4"/>
    <x v="3"/>
    <x v="1"/>
    <x v="128"/>
    <x v="2"/>
    <x v="5"/>
    <x v="1"/>
  </r>
  <r>
    <x v="84"/>
    <n v="1341"/>
    <n v="615"/>
    <n v="4"/>
    <x v="0"/>
    <x v="3"/>
    <x v="0"/>
    <x v="126"/>
    <x v="129"/>
    <x v="0"/>
    <x v="3"/>
    <x v="40"/>
  </r>
  <r>
    <x v="85"/>
    <n v="9851"/>
    <n v="2669"/>
    <n v="19"/>
    <x v="0"/>
    <x v="0"/>
    <x v="1"/>
    <x v="127"/>
    <x v="130"/>
    <x v="5"/>
    <x v="14"/>
    <x v="25"/>
  </r>
  <r>
    <x v="85"/>
    <n v="9851"/>
    <n v="2669"/>
    <n v="19"/>
    <x v="0"/>
    <x v="0"/>
    <x v="1"/>
    <x v="128"/>
    <x v="131"/>
    <x v="2"/>
    <x v="2"/>
    <x v="17"/>
  </r>
  <r>
    <x v="85"/>
    <n v="9851"/>
    <n v="2669"/>
    <n v="19"/>
    <x v="0"/>
    <x v="0"/>
    <x v="1"/>
    <x v="129"/>
    <x v="132"/>
    <x v="0"/>
    <x v="3"/>
    <x v="24"/>
  </r>
  <r>
    <x v="85"/>
    <n v="9989"/>
    <n v="3930"/>
    <n v="14"/>
    <x v="2"/>
    <x v="4"/>
    <x v="1"/>
    <x v="127"/>
    <x v="130"/>
    <x v="5"/>
    <x v="14"/>
    <x v="25"/>
  </r>
  <r>
    <x v="85"/>
    <n v="9989"/>
    <n v="3930"/>
    <n v="14"/>
    <x v="2"/>
    <x v="4"/>
    <x v="1"/>
    <x v="128"/>
    <x v="131"/>
    <x v="2"/>
    <x v="2"/>
    <x v="17"/>
  </r>
  <r>
    <x v="85"/>
    <n v="9989"/>
    <n v="3930"/>
    <n v="14"/>
    <x v="2"/>
    <x v="4"/>
    <x v="1"/>
    <x v="129"/>
    <x v="132"/>
    <x v="0"/>
    <x v="3"/>
    <x v="24"/>
  </r>
  <r>
    <x v="86"/>
    <n v="7421"/>
    <n v="958"/>
    <n v="10"/>
    <x v="2"/>
    <x v="4"/>
    <x v="4"/>
    <x v="130"/>
    <x v="133"/>
    <x v="4"/>
    <x v="15"/>
    <x v="29"/>
  </r>
  <r>
    <x v="86"/>
    <n v="7421"/>
    <n v="958"/>
    <n v="10"/>
    <x v="2"/>
    <x v="4"/>
    <x v="4"/>
    <x v="39"/>
    <x v="134"/>
    <x v="4"/>
    <x v="15"/>
    <x v="12"/>
  </r>
  <r>
    <x v="86"/>
    <n v="7421"/>
    <n v="958"/>
    <n v="10"/>
    <x v="2"/>
    <x v="4"/>
    <x v="4"/>
    <x v="131"/>
    <x v="135"/>
    <x v="4"/>
    <x v="8"/>
    <x v="54"/>
  </r>
  <r>
    <x v="87"/>
    <n v="3099"/>
    <n v="479"/>
    <n v="1"/>
    <x v="1"/>
    <x v="8"/>
    <x v="4"/>
    <x v="19"/>
    <x v="136"/>
    <x v="2"/>
    <x v="2"/>
    <x v="12"/>
  </r>
  <r>
    <x v="87"/>
    <n v="2521"/>
    <n v="906"/>
    <n v="7"/>
    <x v="0"/>
    <x v="10"/>
    <x v="4"/>
    <x v="19"/>
    <x v="136"/>
    <x v="2"/>
    <x v="2"/>
    <x v="12"/>
  </r>
  <r>
    <x v="88"/>
    <n v="6962"/>
    <n v="3429"/>
    <n v="12"/>
    <x v="0"/>
    <x v="0"/>
    <x v="0"/>
    <x v="132"/>
    <x v="137"/>
    <x v="4"/>
    <x v="8"/>
    <x v="55"/>
  </r>
  <r>
    <x v="88"/>
    <n v="6962"/>
    <n v="3429"/>
    <n v="12"/>
    <x v="0"/>
    <x v="0"/>
    <x v="0"/>
    <x v="133"/>
    <x v="138"/>
    <x v="0"/>
    <x v="0"/>
    <x v="9"/>
  </r>
  <r>
    <x v="89"/>
    <n v="1085"/>
    <n v="301"/>
    <n v="20"/>
    <x v="2"/>
    <x v="11"/>
    <x v="0"/>
    <x v="134"/>
    <x v="139"/>
    <x v="2"/>
    <x v="2"/>
    <x v="41"/>
  </r>
  <r>
    <x v="90"/>
    <n v="738"/>
    <n v="342"/>
    <n v="2"/>
    <x v="2"/>
    <x v="5"/>
    <x v="1"/>
    <x v="135"/>
    <x v="140"/>
    <x v="5"/>
    <x v="13"/>
    <x v="28"/>
  </r>
  <r>
    <x v="90"/>
    <n v="738"/>
    <n v="342"/>
    <n v="2"/>
    <x v="2"/>
    <x v="5"/>
    <x v="1"/>
    <x v="136"/>
    <x v="141"/>
    <x v="2"/>
    <x v="2"/>
    <x v="50"/>
  </r>
  <r>
    <x v="90"/>
    <n v="738"/>
    <n v="342"/>
    <n v="2"/>
    <x v="2"/>
    <x v="5"/>
    <x v="1"/>
    <x v="137"/>
    <x v="142"/>
    <x v="5"/>
    <x v="13"/>
    <x v="3"/>
  </r>
  <r>
    <x v="90"/>
    <n v="738"/>
    <n v="342"/>
    <n v="2"/>
    <x v="2"/>
    <x v="5"/>
    <x v="1"/>
    <x v="138"/>
    <x v="143"/>
    <x v="2"/>
    <x v="5"/>
    <x v="12"/>
  </r>
  <r>
    <x v="91"/>
    <n v="1366"/>
    <n v="242"/>
    <n v="17"/>
    <x v="0"/>
    <x v="0"/>
    <x v="2"/>
    <x v="139"/>
    <x v="144"/>
    <x v="5"/>
    <x v="12"/>
    <x v="48"/>
  </r>
  <r>
    <x v="91"/>
    <n v="1518"/>
    <n v="155"/>
    <n v="13"/>
    <x v="1"/>
    <x v="6"/>
    <x v="3"/>
    <x v="139"/>
    <x v="144"/>
    <x v="5"/>
    <x v="12"/>
    <x v="48"/>
  </r>
  <r>
    <x v="92"/>
    <n v="2962"/>
    <n v="1470"/>
    <n v="1"/>
    <x v="0"/>
    <x v="10"/>
    <x v="4"/>
    <x v="140"/>
    <x v="145"/>
    <x v="2"/>
    <x v="2"/>
    <x v="18"/>
  </r>
  <r>
    <x v="92"/>
    <n v="2962"/>
    <n v="1470"/>
    <n v="1"/>
    <x v="0"/>
    <x v="10"/>
    <x v="4"/>
    <x v="141"/>
    <x v="146"/>
    <x v="0"/>
    <x v="16"/>
    <x v="48"/>
  </r>
  <r>
    <x v="92"/>
    <n v="7131"/>
    <n v="718"/>
    <n v="12"/>
    <x v="0"/>
    <x v="1"/>
    <x v="0"/>
    <x v="140"/>
    <x v="145"/>
    <x v="2"/>
    <x v="2"/>
    <x v="18"/>
  </r>
  <r>
    <x v="92"/>
    <n v="7131"/>
    <n v="718"/>
    <n v="12"/>
    <x v="0"/>
    <x v="1"/>
    <x v="0"/>
    <x v="141"/>
    <x v="146"/>
    <x v="0"/>
    <x v="16"/>
    <x v="48"/>
  </r>
  <r>
    <x v="92"/>
    <n v="4200"/>
    <n v="855"/>
    <n v="10"/>
    <x v="1"/>
    <x v="6"/>
    <x v="2"/>
    <x v="140"/>
    <x v="145"/>
    <x v="2"/>
    <x v="2"/>
    <x v="18"/>
  </r>
  <r>
    <x v="92"/>
    <n v="4200"/>
    <n v="855"/>
    <n v="10"/>
    <x v="1"/>
    <x v="6"/>
    <x v="2"/>
    <x v="141"/>
    <x v="146"/>
    <x v="0"/>
    <x v="16"/>
    <x v="48"/>
  </r>
  <r>
    <x v="93"/>
    <n v="5934"/>
    <n v="1563"/>
    <n v="2"/>
    <x v="1"/>
    <x v="6"/>
    <x v="2"/>
    <x v="142"/>
    <x v="147"/>
    <x v="1"/>
    <x v="17"/>
    <x v="31"/>
  </r>
  <r>
    <x v="94"/>
    <n v="2701"/>
    <n v="322"/>
    <n v="11"/>
    <x v="0"/>
    <x v="1"/>
    <x v="0"/>
    <x v="143"/>
    <x v="148"/>
    <x v="2"/>
    <x v="5"/>
    <x v="33"/>
  </r>
  <r>
    <x v="94"/>
    <n v="7273"/>
    <n v="2702"/>
    <n v="18"/>
    <x v="1"/>
    <x v="8"/>
    <x v="4"/>
    <x v="143"/>
    <x v="148"/>
    <x v="2"/>
    <x v="5"/>
    <x v="33"/>
  </r>
  <r>
    <x v="95"/>
    <n v="2465"/>
    <n v="699"/>
    <n v="18"/>
    <x v="1"/>
    <x v="6"/>
    <x v="1"/>
    <x v="144"/>
    <x v="149"/>
    <x v="3"/>
    <x v="11"/>
    <x v="8"/>
  </r>
  <r>
    <x v="96"/>
    <n v="3479"/>
    <n v="1087"/>
    <n v="2"/>
    <x v="1"/>
    <x v="6"/>
    <x v="2"/>
    <x v="145"/>
    <x v="150"/>
    <x v="4"/>
    <x v="8"/>
    <x v="56"/>
  </r>
  <r>
    <x v="96"/>
    <n v="5457"/>
    <n v="1765"/>
    <n v="7"/>
    <x v="0"/>
    <x v="1"/>
    <x v="2"/>
    <x v="145"/>
    <x v="150"/>
    <x v="4"/>
    <x v="8"/>
    <x v="56"/>
  </r>
  <r>
    <x v="97"/>
    <n v="4957"/>
    <n v="1152"/>
    <n v="8"/>
    <x v="1"/>
    <x v="6"/>
    <x v="3"/>
    <x v="146"/>
    <x v="151"/>
    <x v="5"/>
    <x v="14"/>
    <x v="25"/>
  </r>
  <r>
    <x v="98"/>
    <n v="4404"/>
    <n v="858"/>
    <n v="17"/>
    <x v="1"/>
    <x v="2"/>
    <x v="1"/>
    <x v="147"/>
    <x v="152"/>
    <x v="5"/>
    <x v="12"/>
    <x v="55"/>
  </r>
  <r>
    <x v="98"/>
    <n v="8776"/>
    <n v="2529"/>
    <n v="15"/>
    <x v="2"/>
    <x v="7"/>
    <x v="3"/>
    <x v="147"/>
    <x v="152"/>
    <x v="5"/>
    <x v="12"/>
    <x v="55"/>
  </r>
  <r>
    <x v="99"/>
    <n v="9536"/>
    <n v="1437"/>
    <n v="9"/>
    <x v="0"/>
    <x v="10"/>
    <x v="0"/>
    <x v="148"/>
    <x v="153"/>
    <x v="0"/>
    <x v="3"/>
    <x v="32"/>
  </r>
  <r>
    <x v="99"/>
    <n v="2225"/>
    <n v="589"/>
    <n v="7"/>
    <x v="2"/>
    <x v="7"/>
    <x v="3"/>
    <x v="148"/>
    <x v="153"/>
    <x v="0"/>
    <x v="3"/>
    <x v="32"/>
  </r>
  <r>
    <x v="100"/>
    <n v="9574"/>
    <n v="4045"/>
    <n v="19"/>
    <x v="2"/>
    <x v="11"/>
    <x v="0"/>
    <x v="149"/>
    <x v="154"/>
    <x v="3"/>
    <x v="11"/>
    <x v="55"/>
  </r>
  <r>
    <x v="100"/>
    <n v="4382"/>
    <n v="482"/>
    <n v="17"/>
    <x v="0"/>
    <x v="0"/>
    <x v="4"/>
    <x v="149"/>
    <x v="154"/>
    <x v="3"/>
    <x v="11"/>
    <x v="55"/>
  </r>
  <r>
    <x v="101"/>
    <n v="8200"/>
    <n v="257"/>
    <n v="19"/>
    <x v="0"/>
    <x v="3"/>
    <x v="4"/>
    <x v="150"/>
    <x v="155"/>
    <x v="5"/>
    <x v="13"/>
    <x v="45"/>
  </r>
  <r>
    <x v="101"/>
    <n v="9316"/>
    <n v="3003"/>
    <n v="13"/>
    <x v="2"/>
    <x v="7"/>
    <x v="3"/>
    <x v="150"/>
    <x v="155"/>
    <x v="5"/>
    <x v="13"/>
    <x v="45"/>
  </r>
  <r>
    <x v="101"/>
    <n v="6379"/>
    <n v="3128"/>
    <n v="15"/>
    <x v="0"/>
    <x v="0"/>
    <x v="4"/>
    <x v="150"/>
    <x v="155"/>
    <x v="5"/>
    <x v="13"/>
    <x v="45"/>
  </r>
  <r>
    <x v="102"/>
    <n v="3348"/>
    <n v="568"/>
    <n v="5"/>
    <x v="1"/>
    <x v="6"/>
    <x v="3"/>
    <x v="151"/>
    <x v="156"/>
    <x v="5"/>
    <x v="14"/>
    <x v="55"/>
  </r>
  <r>
    <x v="102"/>
    <n v="3348"/>
    <n v="568"/>
    <n v="5"/>
    <x v="1"/>
    <x v="6"/>
    <x v="3"/>
    <x v="152"/>
    <x v="157"/>
    <x v="2"/>
    <x v="7"/>
    <x v="27"/>
  </r>
  <r>
    <x v="102"/>
    <n v="8856"/>
    <n v="2020"/>
    <n v="9"/>
    <x v="1"/>
    <x v="2"/>
    <x v="1"/>
    <x v="151"/>
    <x v="156"/>
    <x v="5"/>
    <x v="14"/>
    <x v="55"/>
  </r>
  <r>
    <x v="102"/>
    <n v="8856"/>
    <n v="2020"/>
    <n v="9"/>
    <x v="1"/>
    <x v="2"/>
    <x v="1"/>
    <x v="152"/>
    <x v="157"/>
    <x v="2"/>
    <x v="7"/>
    <x v="27"/>
  </r>
  <r>
    <x v="103"/>
    <n v="1760"/>
    <n v="619"/>
    <n v="16"/>
    <x v="2"/>
    <x v="7"/>
    <x v="1"/>
    <x v="153"/>
    <x v="158"/>
    <x v="5"/>
    <x v="12"/>
    <x v="43"/>
  </r>
  <r>
    <x v="103"/>
    <n v="1760"/>
    <n v="619"/>
    <n v="16"/>
    <x v="2"/>
    <x v="7"/>
    <x v="1"/>
    <x v="154"/>
    <x v="159"/>
    <x v="4"/>
    <x v="15"/>
    <x v="54"/>
  </r>
  <r>
    <x v="103"/>
    <n v="6351"/>
    <n v="986"/>
    <n v="15"/>
    <x v="0"/>
    <x v="1"/>
    <x v="0"/>
    <x v="153"/>
    <x v="158"/>
    <x v="5"/>
    <x v="12"/>
    <x v="43"/>
  </r>
  <r>
    <x v="103"/>
    <n v="6351"/>
    <n v="986"/>
    <n v="15"/>
    <x v="0"/>
    <x v="1"/>
    <x v="0"/>
    <x v="154"/>
    <x v="159"/>
    <x v="4"/>
    <x v="15"/>
    <x v="54"/>
  </r>
  <r>
    <x v="104"/>
    <n v="869"/>
    <n v="373"/>
    <n v="14"/>
    <x v="1"/>
    <x v="8"/>
    <x v="3"/>
    <x v="155"/>
    <x v="160"/>
    <x v="2"/>
    <x v="5"/>
    <x v="2"/>
  </r>
  <r>
    <x v="104"/>
    <n v="869"/>
    <n v="373"/>
    <n v="14"/>
    <x v="1"/>
    <x v="8"/>
    <x v="3"/>
    <x v="156"/>
    <x v="161"/>
    <x v="5"/>
    <x v="14"/>
    <x v="32"/>
  </r>
  <r>
    <x v="104"/>
    <n v="1486"/>
    <n v="114"/>
    <n v="7"/>
    <x v="2"/>
    <x v="11"/>
    <x v="0"/>
    <x v="155"/>
    <x v="160"/>
    <x v="2"/>
    <x v="5"/>
    <x v="2"/>
  </r>
  <r>
    <x v="104"/>
    <n v="1486"/>
    <n v="114"/>
    <n v="7"/>
    <x v="2"/>
    <x v="11"/>
    <x v="0"/>
    <x v="156"/>
    <x v="161"/>
    <x v="5"/>
    <x v="14"/>
    <x v="32"/>
  </r>
  <r>
    <x v="105"/>
    <n v="2999"/>
    <n v="145"/>
    <n v="13"/>
    <x v="1"/>
    <x v="9"/>
    <x v="4"/>
    <x v="157"/>
    <x v="162"/>
    <x v="1"/>
    <x v="1"/>
    <x v="40"/>
  </r>
  <r>
    <x v="105"/>
    <n v="5142"/>
    <n v="1916"/>
    <n v="20"/>
    <x v="1"/>
    <x v="8"/>
    <x v="2"/>
    <x v="157"/>
    <x v="162"/>
    <x v="1"/>
    <x v="1"/>
    <x v="40"/>
  </r>
  <r>
    <x v="106"/>
    <n v="1239"/>
    <n v="575"/>
    <n v="17"/>
    <x v="0"/>
    <x v="3"/>
    <x v="0"/>
    <x v="158"/>
    <x v="163"/>
    <x v="2"/>
    <x v="7"/>
    <x v="29"/>
  </r>
  <r>
    <x v="106"/>
    <n v="1239"/>
    <n v="575"/>
    <n v="17"/>
    <x v="0"/>
    <x v="3"/>
    <x v="0"/>
    <x v="159"/>
    <x v="164"/>
    <x v="1"/>
    <x v="6"/>
    <x v="33"/>
  </r>
  <r>
    <x v="106"/>
    <n v="1262"/>
    <n v="515"/>
    <n v="16"/>
    <x v="0"/>
    <x v="0"/>
    <x v="2"/>
    <x v="158"/>
    <x v="163"/>
    <x v="2"/>
    <x v="7"/>
    <x v="29"/>
  </r>
  <r>
    <x v="106"/>
    <n v="1262"/>
    <n v="515"/>
    <n v="16"/>
    <x v="0"/>
    <x v="0"/>
    <x v="2"/>
    <x v="159"/>
    <x v="164"/>
    <x v="1"/>
    <x v="6"/>
    <x v="33"/>
  </r>
  <r>
    <x v="107"/>
    <n v="1033"/>
    <n v="254"/>
    <n v="5"/>
    <x v="2"/>
    <x v="11"/>
    <x v="4"/>
    <x v="160"/>
    <x v="165"/>
    <x v="2"/>
    <x v="7"/>
    <x v="38"/>
  </r>
  <r>
    <x v="108"/>
    <n v="1518"/>
    <n v="159"/>
    <n v="19"/>
    <x v="0"/>
    <x v="1"/>
    <x v="0"/>
    <x v="161"/>
    <x v="166"/>
    <x v="3"/>
    <x v="9"/>
    <x v="57"/>
  </r>
  <r>
    <x v="109"/>
    <n v="8581"/>
    <n v="2444"/>
    <n v="2"/>
    <x v="1"/>
    <x v="8"/>
    <x v="1"/>
    <x v="162"/>
    <x v="167"/>
    <x v="1"/>
    <x v="17"/>
    <x v="50"/>
  </r>
  <r>
    <x v="109"/>
    <n v="8581"/>
    <n v="2444"/>
    <n v="2"/>
    <x v="1"/>
    <x v="8"/>
    <x v="1"/>
    <x v="163"/>
    <x v="168"/>
    <x v="0"/>
    <x v="3"/>
    <x v="11"/>
  </r>
  <r>
    <x v="110"/>
    <n v="1167"/>
    <n v="463"/>
    <n v="5"/>
    <x v="1"/>
    <x v="2"/>
    <x v="0"/>
    <x v="164"/>
    <x v="169"/>
    <x v="4"/>
    <x v="10"/>
    <x v="48"/>
  </r>
  <r>
    <x v="110"/>
    <n v="2841"/>
    <n v="803"/>
    <n v="20"/>
    <x v="0"/>
    <x v="3"/>
    <x v="3"/>
    <x v="164"/>
    <x v="169"/>
    <x v="4"/>
    <x v="10"/>
    <x v="48"/>
  </r>
  <r>
    <x v="110"/>
    <n v="5680"/>
    <n v="2159"/>
    <n v="19"/>
    <x v="2"/>
    <x v="4"/>
    <x v="0"/>
    <x v="164"/>
    <x v="169"/>
    <x v="4"/>
    <x v="10"/>
    <x v="48"/>
  </r>
  <r>
    <x v="111"/>
    <n v="8204"/>
    <n v="2382"/>
    <n v="6"/>
    <x v="1"/>
    <x v="2"/>
    <x v="0"/>
    <x v="165"/>
    <x v="170"/>
    <x v="1"/>
    <x v="1"/>
    <x v="7"/>
  </r>
  <r>
    <x v="111"/>
    <n v="8204"/>
    <n v="2382"/>
    <n v="6"/>
    <x v="1"/>
    <x v="2"/>
    <x v="0"/>
    <x v="97"/>
    <x v="171"/>
    <x v="2"/>
    <x v="2"/>
    <x v="20"/>
  </r>
  <r>
    <x v="111"/>
    <n v="2850"/>
    <n v="904"/>
    <n v="6"/>
    <x v="0"/>
    <x v="10"/>
    <x v="2"/>
    <x v="165"/>
    <x v="170"/>
    <x v="1"/>
    <x v="1"/>
    <x v="7"/>
  </r>
  <r>
    <x v="111"/>
    <n v="2850"/>
    <n v="904"/>
    <n v="6"/>
    <x v="0"/>
    <x v="10"/>
    <x v="2"/>
    <x v="97"/>
    <x v="171"/>
    <x v="2"/>
    <x v="2"/>
    <x v="20"/>
  </r>
  <r>
    <x v="112"/>
    <n v="907"/>
    <n v="391"/>
    <n v="9"/>
    <x v="1"/>
    <x v="2"/>
    <x v="3"/>
    <x v="166"/>
    <x v="172"/>
    <x v="2"/>
    <x v="5"/>
    <x v="21"/>
  </r>
  <r>
    <x v="113"/>
    <n v="2174"/>
    <n v="265"/>
    <n v="19"/>
    <x v="1"/>
    <x v="2"/>
    <x v="3"/>
    <x v="167"/>
    <x v="173"/>
    <x v="5"/>
    <x v="13"/>
    <x v="39"/>
  </r>
  <r>
    <x v="113"/>
    <n v="8541"/>
    <n v="2029"/>
    <n v="12"/>
    <x v="0"/>
    <x v="0"/>
    <x v="3"/>
    <x v="167"/>
    <x v="173"/>
    <x v="5"/>
    <x v="13"/>
    <x v="39"/>
  </r>
  <r>
    <x v="113"/>
    <n v="1931"/>
    <n v="551"/>
    <n v="3"/>
    <x v="2"/>
    <x v="11"/>
    <x v="2"/>
    <x v="167"/>
    <x v="173"/>
    <x v="5"/>
    <x v="13"/>
    <x v="39"/>
  </r>
  <r>
    <x v="114"/>
    <n v="1281"/>
    <n v="340"/>
    <n v="3"/>
    <x v="0"/>
    <x v="0"/>
    <x v="1"/>
    <x v="168"/>
    <x v="174"/>
    <x v="4"/>
    <x v="10"/>
    <x v="13"/>
  </r>
  <r>
    <x v="114"/>
    <n v="2404"/>
    <n v="253"/>
    <n v="15"/>
    <x v="0"/>
    <x v="3"/>
    <x v="4"/>
    <x v="168"/>
    <x v="174"/>
    <x v="4"/>
    <x v="10"/>
    <x v="13"/>
  </r>
  <r>
    <x v="115"/>
    <n v="2119"/>
    <n v="196"/>
    <n v="1"/>
    <x v="2"/>
    <x v="7"/>
    <x v="4"/>
    <x v="169"/>
    <x v="175"/>
    <x v="3"/>
    <x v="4"/>
    <x v="38"/>
  </r>
  <r>
    <x v="116"/>
    <n v="3137"/>
    <n v="571"/>
    <n v="9"/>
    <x v="1"/>
    <x v="2"/>
    <x v="1"/>
    <x v="170"/>
    <x v="176"/>
    <x v="1"/>
    <x v="1"/>
    <x v="9"/>
  </r>
  <r>
    <x v="117"/>
    <n v="2323"/>
    <n v="727"/>
    <n v="7"/>
    <x v="2"/>
    <x v="4"/>
    <x v="4"/>
    <x v="171"/>
    <x v="177"/>
    <x v="4"/>
    <x v="8"/>
    <x v="26"/>
  </r>
  <r>
    <x v="117"/>
    <n v="1368"/>
    <n v="406"/>
    <n v="9"/>
    <x v="2"/>
    <x v="11"/>
    <x v="0"/>
    <x v="171"/>
    <x v="177"/>
    <x v="4"/>
    <x v="8"/>
    <x v="26"/>
  </r>
  <r>
    <x v="118"/>
    <n v="9204"/>
    <n v="3289"/>
    <n v="16"/>
    <x v="0"/>
    <x v="3"/>
    <x v="3"/>
    <x v="172"/>
    <x v="178"/>
    <x v="0"/>
    <x v="0"/>
    <x v="42"/>
  </r>
  <r>
    <x v="118"/>
    <n v="9204"/>
    <n v="3289"/>
    <n v="16"/>
    <x v="0"/>
    <x v="3"/>
    <x v="3"/>
    <x v="173"/>
    <x v="179"/>
    <x v="0"/>
    <x v="0"/>
    <x v="22"/>
  </r>
  <r>
    <x v="118"/>
    <n v="9894"/>
    <n v="3698"/>
    <n v="20"/>
    <x v="1"/>
    <x v="8"/>
    <x v="2"/>
    <x v="172"/>
    <x v="178"/>
    <x v="0"/>
    <x v="0"/>
    <x v="42"/>
  </r>
  <r>
    <x v="118"/>
    <n v="9894"/>
    <n v="3698"/>
    <n v="20"/>
    <x v="1"/>
    <x v="8"/>
    <x v="2"/>
    <x v="173"/>
    <x v="179"/>
    <x v="0"/>
    <x v="0"/>
    <x v="22"/>
  </r>
  <r>
    <x v="119"/>
    <n v="5322"/>
    <n v="1423"/>
    <n v="18"/>
    <x v="2"/>
    <x v="7"/>
    <x v="4"/>
    <x v="174"/>
    <x v="180"/>
    <x v="4"/>
    <x v="15"/>
    <x v="29"/>
  </r>
  <r>
    <x v="119"/>
    <n v="5322"/>
    <n v="1423"/>
    <n v="18"/>
    <x v="2"/>
    <x v="7"/>
    <x v="4"/>
    <x v="175"/>
    <x v="181"/>
    <x v="4"/>
    <x v="8"/>
    <x v="16"/>
  </r>
  <r>
    <x v="120"/>
    <n v="2666"/>
    <n v="559"/>
    <n v="14"/>
    <x v="2"/>
    <x v="5"/>
    <x v="4"/>
    <x v="176"/>
    <x v="182"/>
    <x v="5"/>
    <x v="14"/>
    <x v="58"/>
  </r>
  <r>
    <x v="121"/>
    <n v="8383"/>
    <n v="937"/>
    <n v="4"/>
    <x v="2"/>
    <x v="7"/>
    <x v="0"/>
    <x v="177"/>
    <x v="183"/>
    <x v="0"/>
    <x v="3"/>
    <x v="3"/>
  </r>
  <r>
    <x v="122"/>
    <n v="7560"/>
    <n v="821"/>
    <n v="4"/>
    <x v="1"/>
    <x v="8"/>
    <x v="2"/>
    <x v="178"/>
    <x v="184"/>
    <x v="1"/>
    <x v="1"/>
    <x v="4"/>
  </r>
  <r>
    <x v="123"/>
    <n v="1314"/>
    <n v="490"/>
    <n v="16"/>
    <x v="2"/>
    <x v="7"/>
    <x v="0"/>
    <x v="179"/>
    <x v="185"/>
    <x v="2"/>
    <x v="2"/>
    <x v="35"/>
  </r>
  <r>
    <x v="123"/>
    <n v="4390"/>
    <n v="179"/>
    <n v="1"/>
    <x v="2"/>
    <x v="4"/>
    <x v="1"/>
    <x v="179"/>
    <x v="185"/>
    <x v="2"/>
    <x v="2"/>
    <x v="35"/>
  </r>
  <r>
    <x v="123"/>
    <n v="1150"/>
    <n v="58"/>
    <n v="7"/>
    <x v="1"/>
    <x v="9"/>
    <x v="1"/>
    <x v="179"/>
    <x v="185"/>
    <x v="2"/>
    <x v="2"/>
    <x v="35"/>
  </r>
  <r>
    <x v="124"/>
    <n v="1574"/>
    <n v="258"/>
    <n v="17"/>
    <x v="1"/>
    <x v="2"/>
    <x v="2"/>
    <x v="180"/>
    <x v="186"/>
    <x v="3"/>
    <x v="9"/>
    <x v="57"/>
  </r>
  <r>
    <x v="124"/>
    <n v="5635"/>
    <n v="318"/>
    <n v="17"/>
    <x v="1"/>
    <x v="9"/>
    <x v="0"/>
    <x v="180"/>
    <x v="186"/>
    <x v="3"/>
    <x v="9"/>
    <x v="57"/>
  </r>
  <r>
    <x v="124"/>
    <n v="6515"/>
    <n v="961"/>
    <n v="11"/>
    <x v="2"/>
    <x v="7"/>
    <x v="1"/>
    <x v="180"/>
    <x v="186"/>
    <x v="3"/>
    <x v="9"/>
    <x v="57"/>
  </r>
  <r>
    <x v="125"/>
    <n v="1231"/>
    <n v="214"/>
    <n v="20"/>
    <x v="0"/>
    <x v="3"/>
    <x v="1"/>
    <x v="181"/>
    <x v="187"/>
    <x v="5"/>
    <x v="12"/>
    <x v="54"/>
  </r>
  <r>
    <x v="125"/>
    <n v="1231"/>
    <n v="214"/>
    <n v="20"/>
    <x v="0"/>
    <x v="3"/>
    <x v="1"/>
    <x v="182"/>
    <x v="188"/>
    <x v="2"/>
    <x v="7"/>
    <x v="53"/>
  </r>
  <r>
    <x v="126"/>
    <n v="6891"/>
    <n v="2529"/>
    <n v="3"/>
    <x v="1"/>
    <x v="9"/>
    <x v="1"/>
    <x v="183"/>
    <x v="189"/>
    <x v="5"/>
    <x v="14"/>
    <x v="3"/>
  </r>
  <r>
    <x v="127"/>
    <n v="7524"/>
    <n v="2308"/>
    <n v="15"/>
    <x v="0"/>
    <x v="3"/>
    <x v="2"/>
    <x v="184"/>
    <x v="190"/>
    <x v="4"/>
    <x v="10"/>
    <x v="16"/>
  </r>
  <r>
    <x v="127"/>
    <n v="6864"/>
    <n v="1824"/>
    <n v="14"/>
    <x v="0"/>
    <x v="1"/>
    <x v="3"/>
    <x v="184"/>
    <x v="190"/>
    <x v="4"/>
    <x v="10"/>
    <x v="16"/>
  </r>
  <r>
    <x v="128"/>
    <n v="4215"/>
    <n v="432"/>
    <n v="14"/>
    <x v="2"/>
    <x v="5"/>
    <x v="1"/>
    <x v="185"/>
    <x v="191"/>
    <x v="5"/>
    <x v="12"/>
    <x v="42"/>
  </r>
  <r>
    <x v="129"/>
    <n v="622"/>
    <n v="218"/>
    <n v="19"/>
    <x v="2"/>
    <x v="11"/>
    <x v="3"/>
    <x v="186"/>
    <x v="192"/>
    <x v="3"/>
    <x v="9"/>
    <x v="47"/>
  </r>
  <r>
    <x v="129"/>
    <n v="1755"/>
    <n v="495"/>
    <n v="18"/>
    <x v="1"/>
    <x v="2"/>
    <x v="0"/>
    <x v="186"/>
    <x v="192"/>
    <x v="3"/>
    <x v="9"/>
    <x v="47"/>
  </r>
  <r>
    <x v="129"/>
    <n v="8020"/>
    <n v="3898"/>
    <n v="20"/>
    <x v="0"/>
    <x v="0"/>
    <x v="2"/>
    <x v="186"/>
    <x v="192"/>
    <x v="3"/>
    <x v="9"/>
    <x v="47"/>
  </r>
  <r>
    <x v="130"/>
    <n v="7333"/>
    <n v="1576"/>
    <n v="4"/>
    <x v="0"/>
    <x v="3"/>
    <x v="3"/>
    <x v="187"/>
    <x v="193"/>
    <x v="2"/>
    <x v="2"/>
    <x v="47"/>
  </r>
  <r>
    <x v="131"/>
    <n v="7690"/>
    <n v="1134"/>
    <n v="4"/>
    <x v="0"/>
    <x v="0"/>
    <x v="4"/>
    <x v="188"/>
    <x v="194"/>
    <x v="2"/>
    <x v="7"/>
    <x v="59"/>
  </r>
  <r>
    <x v="131"/>
    <n v="912"/>
    <n v="246"/>
    <n v="2"/>
    <x v="2"/>
    <x v="7"/>
    <x v="2"/>
    <x v="188"/>
    <x v="194"/>
    <x v="2"/>
    <x v="7"/>
    <x v="59"/>
  </r>
  <r>
    <x v="132"/>
    <n v="2791"/>
    <n v="894"/>
    <n v="14"/>
    <x v="0"/>
    <x v="3"/>
    <x v="4"/>
    <x v="189"/>
    <x v="195"/>
    <x v="4"/>
    <x v="10"/>
    <x v="15"/>
  </r>
  <r>
    <x v="132"/>
    <n v="2791"/>
    <n v="894"/>
    <n v="14"/>
    <x v="0"/>
    <x v="3"/>
    <x v="4"/>
    <x v="190"/>
    <x v="196"/>
    <x v="5"/>
    <x v="13"/>
    <x v="59"/>
  </r>
  <r>
    <x v="132"/>
    <n v="2791"/>
    <n v="894"/>
    <n v="14"/>
    <x v="0"/>
    <x v="3"/>
    <x v="4"/>
    <x v="191"/>
    <x v="197"/>
    <x v="4"/>
    <x v="8"/>
    <x v="51"/>
  </r>
  <r>
    <x v="132"/>
    <n v="6223"/>
    <n v="1478"/>
    <n v="3"/>
    <x v="2"/>
    <x v="7"/>
    <x v="1"/>
    <x v="189"/>
    <x v="195"/>
    <x v="4"/>
    <x v="10"/>
    <x v="15"/>
  </r>
  <r>
    <x v="132"/>
    <n v="6223"/>
    <n v="1478"/>
    <n v="3"/>
    <x v="2"/>
    <x v="7"/>
    <x v="1"/>
    <x v="190"/>
    <x v="196"/>
    <x v="5"/>
    <x v="13"/>
    <x v="59"/>
  </r>
  <r>
    <x v="132"/>
    <n v="6223"/>
    <n v="1478"/>
    <n v="3"/>
    <x v="2"/>
    <x v="7"/>
    <x v="1"/>
    <x v="191"/>
    <x v="197"/>
    <x v="4"/>
    <x v="8"/>
    <x v="51"/>
  </r>
  <r>
    <x v="132"/>
    <n v="8943"/>
    <n v="3121"/>
    <n v="17"/>
    <x v="2"/>
    <x v="5"/>
    <x v="1"/>
    <x v="189"/>
    <x v="195"/>
    <x v="4"/>
    <x v="10"/>
    <x v="15"/>
  </r>
  <r>
    <x v="132"/>
    <n v="8943"/>
    <n v="3121"/>
    <n v="17"/>
    <x v="2"/>
    <x v="5"/>
    <x v="1"/>
    <x v="190"/>
    <x v="196"/>
    <x v="5"/>
    <x v="13"/>
    <x v="59"/>
  </r>
  <r>
    <x v="132"/>
    <n v="8943"/>
    <n v="3121"/>
    <n v="17"/>
    <x v="2"/>
    <x v="5"/>
    <x v="1"/>
    <x v="191"/>
    <x v="197"/>
    <x v="4"/>
    <x v="8"/>
    <x v="51"/>
  </r>
  <r>
    <x v="132"/>
    <n v="3297"/>
    <n v="102"/>
    <n v="12"/>
    <x v="0"/>
    <x v="10"/>
    <x v="3"/>
    <x v="189"/>
    <x v="195"/>
    <x v="4"/>
    <x v="10"/>
    <x v="15"/>
  </r>
  <r>
    <x v="132"/>
    <n v="3297"/>
    <n v="102"/>
    <n v="12"/>
    <x v="0"/>
    <x v="10"/>
    <x v="3"/>
    <x v="190"/>
    <x v="196"/>
    <x v="5"/>
    <x v="13"/>
    <x v="59"/>
  </r>
  <r>
    <x v="132"/>
    <n v="3297"/>
    <n v="102"/>
    <n v="12"/>
    <x v="0"/>
    <x v="10"/>
    <x v="3"/>
    <x v="191"/>
    <x v="197"/>
    <x v="4"/>
    <x v="8"/>
    <x v="51"/>
  </r>
  <r>
    <x v="133"/>
    <n v="8769"/>
    <n v="1989"/>
    <n v="20"/>
    <x v="1"/>
    <x v="8"/>
    <x v="0"/>
    <x v="192"/>
    <x v="198"/>
    <x v="1"/>
    <x v="1"/>
    <x v="11"/>
  </r>
  <r>
    <x v="134"/>
    <n v="9057"/>
    <n v="1888"/>
    <n v="19"/>
    <x v="0"/>
    <x v="1"/>
    <x v="4"/>
    <x v="193"/>
    <x v="199"/>
    <x v="0"/>
    <x v="3"/>
    <x v="37"/>
  </r>
  <r>
    <x v="134"/>
    <n v="6864"/>
    <n v="3275"/>
    <n v="11"/>
    <x v="2"/>
    <x v="4"/>
    <x v="3"/>
    <x v="193"/>
    <x v="199"/>
    <x v="0"/>
    <x v="3"/>
    <x v="37"/>
  </r>
  <r>
    <x v="134"/>
    <n v="9200"/>
    <n v="809"/>
    <n v="13"/>
    <x v="0"/>
    <x v="3"/>
    <x v="4"/>
    <x v="193"/>
    <x v="199"/>
    <x v="0"/>
    <x v="3"/>
    <x v="37"/>
  </r>
  <r>
    <x v="135"/>
    <n v="6113"/>
    <n v="2508"/>
    <n v="6"/>
    <x v="0"/>
    <x v="3"/>
    <x v="0"/>
    <x v="194"/>
    <x v="200"/>
    <x v="0"/>
    <x v="3"/>
    <x v="47"/>
  </r>
  <r>
    <x v="135"/>
    <n v="7733"/>
    <n v="2784"/>
    <n v="15"/>
    <x v="2"/>
    <x v="4"/>
    <x v="2"/>
    <x v="194"/>
    <x v="200"/>
    <x v="0"/>
    <x v="3"/>
    <x v="47"/>
  </r>
  <r>
    <x v="135"/>
    <n v="8524"/>
    <n v="154"/>
    <n v="14"/>
    <x v="2"/>
    <x v="4"/>
    <x v="4"/>
    <x v="194"/>
    <x v="200"/>
    <x v="0"/>
    <x v="3"/>
    <x v="47"/>
  </r>
  <r>
    <x v="135"/>
    <n v="6187"/>
    <n v="2344"/>
    <n v="15"/>
    <x v="2"/>
    <x v="11"/>
    <x v="2"/>
    <x v="194"/>
    <x v="200"/>
    <x v="0"/>
    <x v="3"/>
    <x v="47"/>
  </r>
  <r>
    <x v="136"/>
    <n v="4364"/>
    <n v="148"/>
    <n v="18"/>
    <x v="2"/>
    <x v="4"/>
    <x v="2"/>
    <x v="195"/>
    <x v="201"/>
    <x v="5"/>
    <x v="13"/>
    <x v="58"/>
  </r>
  <r>
    <x v="136"/>
    <n v="736"/>
    <n v="286"/>
    <n v="12"/>
    <x v="1"/>
    <x v="2"/>
    <x v="2"/>
    <x v="195"/>
    <x v="201"/>
    <x v="5"/>
    <x v="13"/>
    <x v="58"/>
  </r>
  <r>
    <x v="137"/>
    <n v="9905"/>
    <n v="633"/>
    <n v="17"/>
    <x v="1"/>
    <x v="2"/>
    <x v="2"/>
    <x v="196"/>
    <x v="202"/>
    <x v="4"/>
    <x v="8"/>
    <x v="2"/>
  </r>
  <r>
    <x v="137"/>
    <n v="9905"/>
    <n v="633"/>
    <n v="17"/>
    <x v="1"/>
    <x v="2"/>
    <x v="2"/>
    <x v="197"/>
    <x v="203"/>
    <x v="0"/>
    <x v="16"/>
    <x v="4"/>
  </r>
  <r>
    <x v="138"/>
    <n v="2493"/>
    <n v="1221"/>
    <n v="9"/>
    <x v="1"/>
    <x v="8"/>
    <x v="3"/>
    <x v="198"/>
    <x v="204"/>
    <x v="1"/>
    <x v="6"/>
    <x v="44"/>
  </r>
  <r>
    <x v="138"/>
    <n v="9849"/>
    <n v="963"/>
    <n v="1"/>
    <x v="1"/>
    <x v="2"/>
    <x v="3"/>
    <x v="198"/>
    <x v="204"/>
    <x v="1"/>
    <x v="6"/>
    <x v="44"/>
  </r>
  <r>
    <x v="139"/>
    <n v="3423"/>
    <n v="804"/>
    <n v="4"/>
    <x v="0"/>
    <x v="1"/>
    <x v="3"/>
    <x v="199"/>
    <x v="205"/>
    <x v="1"/>
    <x v="17"/>
    <x v="60"/>
  </r>
  <r>
    <x v="139"/>
    <n v="3423"/>
    <n v="804"/>
    <n v="4"/>
    <x v="0"/>
    <x v="1"/>
    <x v="3"/>
    <x v="200"/>
    <x v="206"/>
    <x v="4"/>
    <x v="8"/>
    <x v="60"/>
  </r>
  <r>
    <x v="139"/>
    <n v="3423"/>
    <n v="804"/>
    <n v="4"/>
    <x v="0"/>
    <x v="1"/>
    <x v="3"/>
    <x v="201"/>
    <x v="207"/>
    <x v="4"/>
    <x v="10"/>
    <x v="10"/>
  </r>
  <r>
    <x v="139"/>
    <n v="3423"/>
    <n v="804"/>
    <n v="4"/>
    <x v="0"/>
    <x v="1"/>
    <x v="3"/>
    <x v="8"/>
    <x v="208"/>
    <x v="4"/>
    <x v="8"/>
    <x v="8"/>
  </r>
  <r>
    <x v="139"/>
    <n v="3423"/>
    <n v="804"/>
    <n v="4"/>
    <x v="0"/>
    <x v="1"/>
    <x v="3"/>
    <x v="202"/>
    <x v="209"/>
    <x v="5"/>
    <x v="13"/>
    <x v="35"/>
  </r>
  <r>
    <x v="140"/>
    <n v="3900"/>
    <n v="115"/>
    <n v="9"/>
    <x v="2"/>
    <x v="5"/>
    <x v="4"/>
    <x v="203"/>
    <x v="210"/>
    <x v="1"/>
    <x v="6"/>
    <x v="59"/>
  </r>
  <r>
    <x v="141"/>
    <n v="8568"/>
    <n v="2419"/>
    <n v="11"/>
    <x v="0"/>
    <x v="0"/>
    <x v="0"/>
    <x v="204"/>
    <x v="211"/>
    <x v="2"/>
    <x v="7"/>
    <x v="4"/>
  </r>
  <r>
    <x v="141"/>
    <n v="3283"/>
    <n v="71"/>
    <n v="6"/>
    <x v="1"/>
    <x v="2"/>
    <x v="2"/>
    <x v="204"/>
    <x v="211"/>
    <x v="2"/>
    <x v="7"/>
    <x v="4"/>
  </r>
  <r>
    <x v="142"/>
    <n v="7643"/>
    <n v="3720"/>
    <n v="19"/>
    <x v="0"/>
    <x v="0"/>
    <x v="2"/>
    <x v="205"/>
    <x v="212"/>
    <x v="4"/>
    <x v="8"/>
    <x v="58"/>
  </r>
  <r>
    <x v="143"/>
    <n v="3461"/>
    <n v="1537"/>
    <n v="15"/>
    <x v="2"/>
    <x v="7"/>
    <x v="2"/>
    <x v="206"/>
    <x v="213"/>
    <x v="1"/>
    <x v="1"/>
    <x v="19"/>
  </r>
  <r>
    <x v="143"/>
    <n v="5714"/>
    <n v="1438"/>
    <n v="6"/>
    <x v="0"/>
    <x v="0"/>
    <x v="3"/>
    <x v="206"/>
    <x v="213"/>
    <x v="1"/>
    <x v="1"/>
    <x v="19"/>
  </r>
  <r>
    <x v="143"/>
    <n v="3853"/>
    <n v="1457"/>
    <n v="10"/>
    <x v="1"/>
    <x v="9"/>
    <x v="4"/>
    <x v="206"/>
    <x v="213"/>
    <x v="1"/>
    <x v="1"/>
    <x v="19"/>
  </r>
  <r>
    <x v="144"/>
    <n v="6016"/>
    <n v="431"/>
    <n v="20"/>
    <x v="1"/>
    <x v="2"/>
    <x v="0"/>
    <x v="207"/>
    <x v="214"/>
    <x v="1"/>
    <x v="1"/>
    <x v="20"/>
  </r>
  <r>
    <x v="145"/>
    <n v="1290"/>
    <n v="204"/>
    <n v="12"/>
    <x v="1"/>
    <x v="6"/>
    <x v="0"/>
    <x v="208"/>
    <x v="215"/>
    <x v="2"/>
    <x v="2"/>
    <x v="47"/>
  </r>
  <r>
    <x v="145"/>
    <n v="1290"/>
    <n v="204"/>
    <n v="12"/>
    <x v="1"/>
    <x v="6"/>
    <x v="0"/>
    <x v="209"/>
    <x v="216"/>
    <x v="3"/>
    <x v="11"/>
    <x v="1"/>
  </r>
  <r>
    <x v="146"/>
    <n v="4569"/>
    <n v="1693"/>
    <n v="10"/>
    <x v="0"/>
    <x v="1"/>
    <x v="0"/>
    <x v="210"/>
    <x v="217"/>
    <x v="1"/>
    <x v="6"/>
    <x v="57"/>
  </r>
  <r>
    <x v="147"/>
    <n v="3083"/>
    <n v="1151"/>
    <n v="16"/>
    <x v="2"/>
    <x v="11"/>
    <x v="1"/>
    <x v="211"/>
    <x v="218"/>
    <x v="0"/>
    <x v="3"/>
    <x v="39"/>
  </r>
  <r>
    <x v="148"/>
    <n v="3522"/>
    <n v="898"/>
    <n v="15"/>
    <x v="1"/>
    <x v="2"/>
    <x v="3"/>
    <x v="212"/>
    <x v="219"/>
    <x v="5"/>
    <x v="14"/>
    <x v="19"/>
  </r>
  <r>
    <x v="148"/>
    <n v="3522"/>
    <n v="898"/>
    <n v="15"/>
    <x v="1"/>
    <x v="2"/>
    <x v="3"/>
    <x v="213"/>
    <x v="220"/>
    <x v="3"/>
    <x v="4"/>
    <x v="12"/>
  </r>
  <r>
    <x v="149"/>
    <n v="7301"/>
    <n v="3602"/>
    <n v="3"/>
    <x v="1"/>
    <x v="9"/>
    <x v="1"/>
    <x v="214"/>
    <x v="221"/>
    <x v="4"/>
    <x v="15"/>
    <x v="44"/>
  </r>
  <r>
    <x v="150"/>
    <n v="4462"/>
    <n v="121"/>
    <n v="8"/>
    <x v="0"/>
    <x v="3"/>
    <x v="4"/>
    <x v="215"/>
    <x v="222"/>
    <x v="1"/>
    <x v="6"/>
    <x v="39"/>
  </r>
  <r>
    <x v="150"/>
    <n v="6212"/>
    <n v="1881"/>
    <n v="17"/>
    <x v="0"/>
    <x v="10"/>
    <x v="4"/>
    <x v="215"/>
    <x v="222"/>
    <x v="1"/>
    <x v="6"/>
    <x v="39"/>
  </r>
  <r>
    <x v="151"/>
    <n v="4027"/>
    <n v="1386"/>
    <n v="3"/>
    <x v="2"/>
    <x v="11"/>
    <x v="2"/>
    <x v="216"/>
    <x v="223"/>
    <x v="0"/>
    <x v="16"/>
    <x v="38"/>
  </r>
  <r>
    <x v="152"/>
    <n v="1676"/>
    <n v="330"/>
    <n v="14"/>
    <x v="0"/>
    <x v="3"/>
    <x v="2"/>
    <x v="217"/>
    <x v="224"/>
    <x v="5"/>
    <x v="14"/>
    <x v="45"/>
  </r>
  <r>
    <x v="152"/>
    <n v="3927"/>
    <n v="1133"/>
    <n v="12"/>
    <x v="2"/>
    <x v="11"/>
    <x v="4"/>
    <x v="217"/>
    <x v="224"/>
    <x v="5"/>
    <x v="14"/>
    <x v="45"/>
  </r>
  <r>
    <x v="152"/>
    <n v="2776"/>
    <n v="887"/>
    <n v="9"/>
    <x v="0"/>
    <x v="10"/>
    <x v="1"/>
    <x v="217"/>
    <x v="224"/>
    <x v="5"/>
    <x v="14"/>
    <x v="45"/>
  </r>
  <r>
    <x v="153"/>
    <n v="7684"/>
    <n v="1157"/>
    <n v="12"/>
    <x v="2"/>
    <x v="7"/>
    <x v="4"/>
    <x v="218"/>
    <x v="225"/>
    <x v="1"/>
    <x v="1"/>
    <x v="20"/>
  </r>
  <r>
    <x v="153"/>
    <n v="7684"/>
    <n v="1157"/>
    <n v="12"/>
    <x v="2"/>
    <x v="7"/>
    <x v="4"/>
    <x v="219"/>
    <x v="226"/>
    <x v="2"/>
    <x v="2"/>
    <x v="53"/>
  </r>
  <r>
    <x v="153"/>
    <n v="7684"/>
    <n v="1157"/>
    <n v="12"/>
    <x v="2"/>
    <x v="7"/>
    <x v="4"/>
    <x v="27"/>
    <x v="227"/>
    <x v="5"/>
    <x v="12"/>
    <x v="21"/>
  </r>
  <r>
    <x v="154"/>
    <n v="6008"/>
    <n v="2498"/>
    <n v="17"/>
    <x v="0"/>
    <x v="10"/>
    <x v="3"/>
    <x v="176"/>
    <x v="228"/>
    <x v="0"/>
    <x v="0"/>
    <x v="58"/>
  </r>
  <r>
    <x v="155"/>
    <n v="7344"/>
    <n v="2598"/>
    <n v="20"/>
    <x v="2"/>
    <x v="11"/>
    <x v="4"/>
    <x v="220"/>
    <x v="229"/>
    <x v="4"/>
    <x v="8"/>
    <x v="40"/>
  </r>
  <r>
    <x v="156"/>
    <n v="6932"/>
    <n v="3218"/>
    <n v="20"/>
    <x v="1"/>
    <x v="2"/>
    <x v="4"/>
    <x v="221"/>
    <x v="230"/>
    <x v="0"/>
    <x v="3"/>
    <x v="60"/>
  </r>
  <r>
    <x v="157"/>
    <n v="7748"/>
    <n v="1706"/>
    <n v="16"/>
    <x v="0"/>
    <x v="0"/>
    <x v="2"/>
    <x v="222"/>
    <x v="231"/>
    <x v="5"/>
    <x v="13"/>
    <x v="8"/>
  </r>
  <r>
    <x v="157"/>
    <n v="6381"/>
    <n v="2763"/>
    <n v="20"/>
    <x v="1"/>
    <x v="6"/>
    <x v="0"/>
    <x v="222"/>
    <x v="231"/>
    <x v="5"/>
    <x v="13"/>
    <x v="8"/>
  </r>
  <r>
    <x v="157"/>
    <n v="992"/>
    <n v="64"/>
    <n v="6"/>
    <x v="0"/>
    <x v="10"/>
    <x v="3"/>
    <x v="222"/>
    <x v="231"/>
    <x v="5"/>
    <x v="13"/>
    <x v="8"/>
  </r>
  <r>
    <x v="158"/>
    <n v="8649"/>
    <n v="2631"/>
    <n v="13"/>
    <x v="0"/>
    <x v="3"/>
    <x v="2"/>
    <x v="223"/>
    <x v="232"/>
    <x v="3"/>
    <x v="11"/>
    <x v="10"/>
  </r>
  <r>
    <x v="158"/>
    <n v="8649"/>
    <n v="2631"/>
    <n v="13"/>
    <x v="0"/>
    <x v="3"/>
    <x v="2"/>
    <x v="224"/>
    <x v="233"/>
    <x v="2"/>
    <x v="7"/>
    <x v="57"/>
  </r>
  <r>
    <x v="159"/>
    <n v="4099"/>
    <n v="52"/>
    <n v="18"/>
    <x v="0"/>
    <x v="3"/>
    <x v="0"/>
    <x v="127"/>
    <x v="234"/>
    <x v="2"/>
    <x v="5"/>
    <x v="25"/>
  </r>
  <r>
    <x v="160"/>
    <n v="2539"/>
    <n v="324"/>
    <n v="5"/>
    <x v="0"/>
    <x v="0"/>
    <x v="0"/>
    <x v="225"/>
    <x v="235"/>
    <x v="3"/>
    <x v="11"/>
    <x v="49"/>
  </r>
  <r>
    <x v="161"/>
    <n v="9845"/>
    <n v="3062"/>
    <n v="9"/>
    <x v="1"/>
    <x v="8"/>
    <x v="4"/>
    <x v="226"/>
    <x v="236"/>
    <x v="0"/>
    <x v="3"/>
    <x v="30"/>
  </r>
  <r>
    <x v="162"/>
    <n v="2901"/>
    <n v="1411"/>
    <n v="2"/>
    <x v="1"/>
    <x v="8"/>
    <x v="1"/>
    <x v="227"/>
    <x v="237"/>
    <x v="4"/>
    <x v="10"/>
    <x v="4"/>
  </r>
  <r>
    <x v="162"/>
    <n v="2901"/>
    <n v="1411"/>
    <n v="2"/>
    <x v="1"/>
    <x v="8"/>
    <x v="1"/>
    <x v="228"/>
    <x v="238"/>
    <x v="3"/>
    <x v="4"/>
    <x v="54"/>
  </r>
  <r>
    <x v="162"/>
    <n v="6934"/>
    <n v="1152"/>
    <n v="6"/>
    <x v="1"/>
    <x v="2"/>
    <x v="3"/>
    <x v="227"/>
    <x v="237"/>
    <x v="4"/>
    <x v="10"/>
    <x v="4"/>
  </r>
  <r>
    <x v="162"/>
    <n v="6934"/>
    <n v="1152"/>
    <n v="6"/>
    <x v="1"/>
    <x v="2"/>
    <x v="3"/>
    <x v="228"/>
    <x v="238"/>
    <x v="3"/>
    <x v="4"/>
    <x v="54"/>
  </r>
  <r>
    <x v="163"/>
    <n v="9640"/>
    <n v="2606"/>
    <n v="2"/>
    <x v="2"/>
    <x v="11"/>
    <x v="3"/>
    <x v="229"/>
    <x v="239"/>
    <x v="1"/>
    <x v="17"/>
    <x v="4"/>
  </r>
  <r>
    <x v="164"/>
    <n v="7930"/>
    <n v="1981"/>
    <n v="13"/>
    <x v="2"/>
    <x v="5"/>
    <x v="3"/>
    <x v="230"/>
    <x v="240"/>
    <x v="5"/>
    <x v="14"/>
    <x v="23"/>
  </r>
  <r>
    <x v="164"/>
    <n v="7930"/>
    <n v="1981"/>
    <n v="13"/>
    <x v="2"/>
    <x v="5"/>
    <x v="3"/>
    <x v="231"/>
    <x v="241"/>
    <x v="1"/>
    <x v="6"/>
    <x v="19"/>
  </r>
  <r>
    <x v="165"/>
    <n v="9894"/>
    <n v="829"/>
    <n v="1"/>
    <x v="1"/>
    <x v="9"/>
    <x v="4"/>
    <x v="232"/>
    <x v="242"/>
    <x v="3"/>
    <x v="9"/>
    <x v="40"/>
  </r>
  <r>
    <x v="165"/>
    <n v="4534"/>
    <n v="2235"/>
    <n v="4"/>
    <x v="2"/>
    <x v="4"/>
    <x v="4"/>
    <x v="232"/>
    <x v="242"/>
    <x v="3"/>
    <x v="9"/>
    <x v="40"/>
  </r>
  <r>
    <x v="166"/>
    <n v="4911"/>
    <n v="186"/>
    <n v="20"/>
    <x v="0"/>
    <x v="10"/>
    <x v="1"/>
    <x v="233"/>
    <x v="243"/>
    <x v="2"/>
    <x v="2"/>
    <x v="33"/>
  </r>
  <r>
    <x v="166"/>
    <n v="531"/>
    <n v="189"/>
    <n v="20"/>
    <x v="2"/>
    <x v="11"/>
    <x v="1"/>
    <x v="233"/>
    <x v="243"/>
    <x v="2"/>
    <x v="2"/>
    <x v="33"/>
  </r>
  <r>
    <x v="167"/>
    <n v="9707"/>
    <n v="3483"/>
    <n v="10"/>
    <x v="0"/>
    <x v="0"/>
    <x v="2"/>
    <x v="234"/>
    <x v="244"/>
    <x v="1"/>
    <x v="17"/>
    <x v="52"/>
  </r>
  <r>
    <x v="167"/>
    <n v="8521"/>
    <n v="2584"/>
    <n v="7"/>
    <x v="1"/>
    <x v="8"/>
    <x v="4"/>
    <x v="234"/>
    <x v="244"/>
    <x v="1"/>
    <x v="17"/>
    <x v="52"/>
  </r>
  <r>
    <x v="168"/>
    <n v="8438"/>
    <n v="3427"/>
    <n v="12"/>
    <x v="1"/>
    <x v="9"/>
    <x v="3"/>
    <x v="213"/>
    <x v="245"/>
    <x v="2"/>
    <x v="2"/>
    <x v="12"/>
  </r>
  <r>
    <x v="168"/>
    <n v="1689"/>
    <n v="109"/>
    <n v="9"/>
    <x v="0"/>
    <x v="0"/>
    <x v="0"/>
    <x v="213"/>
    <x v="245"/>
    <x v="2"/>
    <x v="2"/>
    <x v="12"/>
  </r>
  <r>
    <x v="168"/>
    <n v="3936"/>
    <n v="1626"/>
    <n v="14"/>
    <x v="1"/>
    <x v="8"/>
    <x v="4"/>
    <x v="213"/>
    <x v="245"/>
    <x v="2"/>
    <x v="2"/>
    <x v="12"/>
  </r>
  <r>
    <x v="169"/>
    <n v="7664"/>
    <n v="1753"/>
    <n v="19"/>
    <x v="0"/>
    <x v="10"/>
    <x v="1"/>
    <x v="235"/>
    <x v="246"/>
    <x v="5"/>
    <x v="13"/>
    <x v="0"/>
  </r>
  <r>
    <x v="170"/>
    <n v="721"/>
    <n v="258"/>
    <n v="13"/>
    <x v="0"/>
    <x v="3"/>
    <x v="1"/>
    <x v="236"/>
    <x v="247"/>
    <x v="1"/>
    <x v="17"/>
    <x v="59"/>
  </r>
  <r>
    <x v="170"/>
    <n v="721"/>
    <n v="258"/>
    <n v="13"/>
    <x v="0"/>
    <x v="3"/>
    <x v="1"/>
    <x v="237"/>
    <x v="248"/>
    <x v="2"/>
    <x v="2"/>
    <x v="33"/>
  </r>
  <r>
    <x v="170"/>
    <n v="8364"/>
    <n v="3055"/>
    <n v="17"/>
    <x v="0"/>
    <x v="3"/>
    <x v="3"/>
    <x v="236"/>
    <x v="247"/>
    <x v="1"/>
    <x v="17"/>
    <x v="59"/>
  </r>
  <r>
    <x v="170"/>
    <n v="8364"/>
    <n v="3055"/>
    <n v="17"/>
    <x v="0"/>
    <x v="3"/>
    <x v="3"/>
    <x v="237"/>
    <x v="248"/>
    <x v="2"/>
    <x v="2"/>
    <x v="33"/>
  </r>
  <r>
    <x v="170"/>
    <n v="5234"/>
    <n v="2021"/>
    <n v="15"/>
    <x v="2"/>
    <x v="11"/>
    <x v="2"/>
    <x v="236"/>
    <x v="247"/>
    <x v="1"/>
    <x v="17"/>
    <x v="59"/>
  </r>
  <r>
    <x v="170"/>
    <n v="5234"/>
    <n v="2021"/>
    <n v="15"/>
    <x v="2"/>
    <x v="11"/>
    <x v="2"/>
    <x v="237"/>
    <x v="248"/>
    <x v="2"/>
    <x v="2"/>
    <x v="33"/>
  </r>
  <r>
    <x v="171"/>
    <n v="3944"/>
    <n v="1559"/>
    <n v="18"/>
    <x v="0"/>
    <x v="10"/>
    <x v="3"/>
    <x v="238"/>
    <x v="249"/>
    <x v="3"/>
    <x v="11"/>
    <x v="47"/>
  </r>
  <r>
    <x v="171"/>
    <n v="6711"/>
    <n v="1045"/>
    <n v="12"/>
    <x v="1"/>
    <x v="2"/>
    <x v="3"/>
    <x v="238"/>
    <x v="249"/>
    <x v="3"/>
    <x v="11"/>
    <x v="47"/>
  </r>
  <r>
    <x v="171"/>
    <n v="5031"/>
    <n v="714"/>
    <n v="4"/>
    <x v="2"/>
    <x v="4"/>
    <x v="3"/>
    <x v="238"/>
    <x v="249"/>
    <x v="3"/>
    <x v="11"/>
    <x v="47"/>
  </r>
  <r>
    <x v="171"/>
    <n v="6295"/>
    <n v="2469"/>
    <n v="14"/>
    <x v="1"/>
    <x v="9"/>
    <x v="2"/>
    <x v="238"/>
    <x v="249"/>
    <x v="3"/>
    <x v="11"/>
    <x v="47"/>
  </r>
  <r>
    <x v="172"/>
    <n v="9654"/>
    <n v="4111"/>
    <n v="1"/>
    <x v="1"/>
    <x v="8"/>
    <x v="0"/>
    <x v="45"/>
    <x v="250"/>
    <x v="3"/>
    <x v="11"/>
    <x v="33"/>
  </r>
  <r>
    <x v="172"/>
    <n v="3112"/>
    <n v="1065"/>
    <n v="20"/>
    <x v="1"/>
    <x v="9"/>
    <x v="4"/>
    <x v="45"/>
    <x v="250"/>
    <x v="3"/>
    <x v="11"/>
    <x v="33"/>
  </r>
  <r>
    <x v="173"/>
    <n v="7838"/>
    <n v="1142"/>
    <n v="13"/>
    <x v="0"/>
    <x v="10"/>
    <x v="0"/>
    <x v="239"/>
    <x v="251"/>
    <x v="3"/>
    <x v="11"/>
    <x v="51"/>
  </r>
  <r>
    <x v="173"/>
    <n v="9300"/>
    <n v="3146"/>
    <n v="6"/>
    <x v="0"/>
    <x v="10"/>
    <x v="3"/>
    <x v="239"/>
    <x v="251"/>
    <x v="3"/>
    <x v="11"/>
    <x v="51"/>
  </r>
  <r>
    <x v="173"/>
    <n v="1733"/>
    <n v="133"/>
    <n v="17"/>
    <x v="1"/>
    <x v="8"/>
    <x v="1"/>
    <x v="239"/>
    <x v="251"/>
    <x v="3"/>
    <x v="11"/>
    <x v="51"/>
  </r>
  <r>
    <x v="174"/>
    <n v="874"/>
    <n v="235"/>
    <n v="15"/>
    <x v="1"/>
    <x v="9"/>
    <x v="1"/>
    <x v="240"/>
    <x v="252"/>
    <x v="2"/>
    <x v="7"/>
    <x v="23"/>
  </r>
  <r>
    <x v="174"/>
    <n v="874"/>
    <n v="235"/>
    <n v="15"/>
    <x v="1"/>
    <x v="9"/>
    <x v="1"/>
    <x v="241"/>
    <x v="253"/>
    <x v="0"/>
    <x v="0"/>
    <x v="22"/>
  </r>
  <r>
    <x v="175"/>
    <n v="1248"/>
    <n v="584"/>
    <n v="13"/>
    <x v="1"/>
    <x v="2"/>
    <x v="2"/>
    <x v="242"/>
    <x v="254"/>
    <x v="5"/>
    <x v="12"/>
    <x v="10"/>
  </r>
  <r>
    <x v="175"/>
    <n v="1248"/>
    <n v="584"/>
    <n v="13"/>
    <x v="1"/>
    <x v="2"/>
    <x v="2"/>
    <x v="243"/>
    <x v="255"/>
    <x v="3"/>
    <x v="11"/>
    <x v="29"/>
  </r>
  <r>
    <x v="175"/>
    <n v="3669"/>
    <n v="154"/>
    <n v="14"/>
    <x v="1"/>
    <x v="6"/>
    <x v="2"/>
    <x v="242"/>
    <x v="254"/>
    <x v="5"/>
    <x v="12"/>
    <x v="10"/>
  </r>
  <r>
    <x v="175"/>
    <n v="3669"/>
    <n v="154"/>
    <n v="14"/>
    <x v="1"/>
    <x v="6"/>
    <x v="2"/>
    <x v="243"/>
    <x v="255"/>
    <x v="3"/>
    <x v="11"/>
    <x v="29"/>
  </r>
  <r>
    <x v="175"/>
    <n v="514"/>
    <n v="109"/>
    <n v="15"/>
    <x v="1"/>
    <x v="8"/>
    <x v="1"/>
    <x v="242"/>
    <x v="254"/>
    <x v="5"/>
    <x v="12"/>
    <x v="10"/>
  </r>
  <r>
    <x v="175"/>
    <n v="514"/>
    <n v="109"/>
    <n v="15"/>
    <x v="1"/>
    <x v="8"/>
    <x v="1"/>
    <x v="243"/>
    <x v="255"/>
    <x v="3"/>
    <x v="11"/>
    <x v="29"/>
  </r>
  <r>
    <x v="176"/>
    <n v="3273"/>
    <n v="85"/>
    <n v="16"/>
    <x v="0"/>
    <x v="10"/>
    <x v="0"/>
    <x v="244"/>
    <x v="256"/>
    <x v="5"/>
    <x v="13"/>
    <x v="55"/>
  </r>
  <r>
    <x v="177"/>
    <n v="5035"/>
    <n v="2008"/>
    <n v="2"/>
    <x v="2"/>
    <x v="5"/>
    <x v="4"/>
    <x v="245"/>
    <x v="257"/>
    <x v="0"/>
    <x v="0"/>
    <x v="32"/>
  </r>
  <r>
    <x v="177"/>
    <n v="7702"/>
    <n v="60"/>
    <n v="19"/>
    <x v="0"/>
    <x v="1"/>
    <x v="0"/>
    <x v="245"/>
    <x v="257"/>
    <x v="0"/>
    <x v="0"/>
    <x v="32"/>
  </r>
  <r>
    <x v="177"/>
    <n v="9884"/>
    <n v="4446"/>
    <n v="7"/>
    <x v="0"/>
    <x v="1"/>
    <x v="2"/>
    <x v="245"/>
    <x v="257"/>
    <x v="0"/>
    <x v="0"/>
    <x v="32"/>
  </r>
  <r>
    <x v="178"/>
    <n v="5564"/>
    <n v="175"/>
    <n v="11"/>
    <x v="0"/>
    <x v="3"/>
    <x v="4"/>
    <x v="246"/>
    <x v="258"/>
    <x v="1"/>
    <x v="1"/>
    <x v="54"/>
  </r>
  <r>
    <x v="178"/>
    <n v="5564"/>
    <n v="175"/>
    <n v="11"/>
    <x v="0"/>
    <x v="3"/>
    <x v="4"/>
    <x v="247"/>
    <x v="259"/>
    <x v="4"/>
    <x v="15"/>
    <x v="39"/>
  </r>
  <r>
    <x v="178"/>
    <n v="5564"/>
    <n v="175"/>
    <n v="11"/>
    <x v="0"/>
    <x v="3"/>
    <x v="4"/>
    <x v="248"/>
    <x v="260"/>
    <x v="0"/>
    <x v="0"/>
    <x v="16"/>
  </r>
  <r>
    <x v="178"/>
    <n v="3953"/>
    <n v="1776"/>
    <n v="15"/>
    <x v="0"/>
    <x v="0"/>
    <x v="0"/>
    <x v="246"/>
    <x v="258"/>
    <x v="1"/>
    <x v="1"/>
    <x v="54"/>
  </r>
  <r>
    <x v="178"/>
    <n v="3953"/>
    <n v="1776"/>
    <n v="15"/>
    <x v="0"/>
    <x v="0"/>
    <x v="0"/>
    <x v="247"/>
    <x v="259"/>
    <x v="4"/>
    <x v="15"/>
    <x v="39"/>
  </r>
  <r>
    <x v="178"/>
    <n v="3953"/>
    <n v="1776"/>
    <n v="15"/>
    <x v="0"/>
    <x v="0"/>
    <x v="0"/>
    <x v="248"/>
    <x v="260"/>
    <x v="0"/>
    <x v="0"/>
    <x v="16"/>
  </r>
  <r>
    <x v="179"/>
    <n v="6488"/>
    <n v="1591"/>
    <n v="18"/>
    <x v="0"/>
    <x v="1"/>
    <x v="2"/>
    <x v="249"/>
    <x v="261"/>
    <x v="4"/>
    <x v="8"/>
    <x v="23"/>
  </r>
  <r>
    <x v="179"/>
    <n v="6488"/>
    <n v="1591"/>
    <n v="18"/>
    <x v="0"/>
    <x v="1"/>
    <x v="2"/>
    <x v="250"/>
    <x v="262"/>
    <x v="4"/>
    <x v="15"/>
    <x v="11"/>
  </r>
  <r>
    <x v="180"/>
    <n v="7856"/>
    <n v="3699"/>
    <n v="17"/>
    <x v="0"/>
    <x v="0"/>
    <x v="0"/>
    <x v="118"/>
    <x v="263"/>
    <x v="0"/>
    <x v="3"/>
    <x v="34"/>
  </r>
  <r>
    <x v="180"/>
    <n v="1165"/>
    <n v="51"/>
    <n v="3"/>
    <x v="1"/>
    <x v="2"/>
    <x v="2"/>
    <x v="118"/>
    <x v="263"/>
    <x v="0"/>
    <x v="3"/>
    <x v="34"/>
  </r>
  <r>
    <x v="181"/>
    <n v="9386"/>
    <n v="2555"/>
    <n v="20"/>
    <x v="1"/>
    <x v="6"/>
    <x v="3"/>
    <x v="251"/>
    <x v="264"/>
    <x v="3"/>
    <x v="9"/>
    <x v="38"/>
  </r>
  <r>
    <x v="181"/>
    <n v="9386"/>
    <n v="2555"/>
    <n v="20"/>
    <x v="1"/>
    <x v="6"/>
    <x v="3"/>
    <x v="117"/>
    <x v="265"/>
    <x v="5"/>
    <x v="14"/>
    <x v="15"/>
  </r>
  <r>
    <x v="182"/>
    <n v="3956"/>
    <n v="142"/>
    <n v="12"/>
    <x v="1"/>
    <x v="2"/>
    <x v="1"/>
    <x v="100"/>
    <x v="266"/>
    <x v="0"/>
    <x v="16"/>
    <x v="48"/>
  </r>
  <r>
    <x v="182"/>
    <n v="3956"/>
    <n v="142"/>
    <n v="12"/>
    <x v="1"/>
    <x v="2"/>
    <x v="1"/>
    <x v="252"/>
    <x v="267"/>
    <x v="4"/>
    <x v="8"/>
    <x v="1"/>
  </r>
  <r>
    <x v="182"/>
    <n v="6449"/>
    <n v="2628"/>
    <n v="11"/>
    <x v="2"/>
    <x v="11"/>
    <x v="2"/>
    <x v="100"/>
    <x v="266"/>
    <x v="0"/>
    <x v="16"/>
    <x v="48"/>
  </r>
  <r>
    <x v="182"/>
    <n v="6449"/>
    <n v="2628"/>
    <n v="11"/>
    <x v="2"/>
    <x v="11"/>
    <x v="2"/>
    <x v="252"/>
    <x v="267"/>
    <x v="4"/>
    <x v="8"/>
    <x v="1"/>
  </r>
  <r>
    <x v="183"/>
    <n v="6255"/>
    <n v="437"/>
    <n v="18"/>
    <x v="1"/>
    <x v="6"/>
    <x v="4"/>
    <x v="253"/>
    <x v="268"/>
    <x v="2"/>
    <x v="7"/>
    <x v="13"/>
  </r>
  <r>
    <x v="183"/>
    <n v="2109"/>
    <n v="681"/>
    <n v="20"/>
    <x v="0"/>
    <x v="0"/>
    <x v="0"/>
    <x v="253"/>
    <x v="268"/>
    <x v="2"/>
    <x v="7"/>
    <x v="13"/>
  </r>
  <r>
    <x v="184"/>
    <n v="6707"/>
    <n v="1041"/>
    <n v="20"/>
    <x v="0"/>
    <x v="10"/>
    <x v="3"/>
    <x v="254"/>
    <x v="269"/>
    <x v="4"/>
    <x v="10"/>
    <x v="43"/>
  </r>
  <r>
    <x v="185"/>
    <n v="7633"/>
    <n v="184"/>
    <n v="13"/>
    <x v="1"/>
    <x v="2"/>
    <x v="4"/>
    <x v="255"/>
    <x v="270"/>
    <x v="1"/>
    <x v="6"/>
    <x v="43"/>
  </r>
  <r>
    <x v="186"/>
    <n v="975"/>
    <n v="224"/>
    <n v="18"/>
    <x v="1"/>
    <x v="2"/>
    <x v="4"/>
    <x v="256"/>
    <x v="271"/>
    <x v="3"/>
    <x v="9"/>
    <x v="13"/>
  </r>
  <r>
    <x v="186"/>
    <n v="4492"/>
    <n v="1450"/>
    <n v="7"/>
    <x v="2"/>
    <x v="4"/>
    <x v="2"/>
    <x v="256"/>
    <x v="271"/>
    <x v="3"/>
    <x v="9"/>
    <x v="13"/>
  </r>
  <r>
    <x v="186"/>
    <n v="7957"/>
    <n v="2834"/>
    <n v="12"/>
    <x v="2"/>
    <x v="5"/>
    <x v="0"/>
    <x v="256"/>
    <x v="271"/>
    <x v="3"/>
    <x v="9"/>
    <x v="13"/>
  </r>
  <r>
    <x v="187"/>
    <n v="4906"/>
    <n v="975"/>
    <n v="7"/>
    <x v="2"/>
    <x v="4"/>
    <x v="1"/>
    <x v="257"/>
    <x v="272"/>
    <x v="4"/>
    <x v="15"/>
    <x v="37"/>
  </r>
  <r>
    <x v="188"/>
    <n v="1379"/>
    <n v="250"/>
    <n v="3"/>
    <x v="1"/>
    <x v="2"/>
    <x v="3"/>
    <x v="258"/>
    <x v="273"/>
    <x v="2"/>
    <x v="2"/>
    <x v="20"/>
  </r>
  <r>
    <x v="188"/>
    <n v="4244"/>
    <n v="340"/>
    <n v="10"/>
    <x v="0"/>
    <x v="3"/>
    <x v="1"/>
    <x v="258"/>
    <x v="273"/>
    <x v="2"/>
    <x v="2"/>
    <x v="20"/>
  </r>
  <r>
    <x v="189"/>
    <n v="5911"/>
    <n v="2333"/>
    <n v="14"/>
    <x v="2"/>
    <x v="11"/>
    <x v="2"/>
    <x v="259"/>
    <x v="274"/>
    <x v="3"/>
    <x v="9"/>
    <x v="40"/>
  </r>
  <r>
    <x v="189"/>
    <n v="5911"/>
    <n v="2333"/>
    <n v="14"/>
    <x v="2"/>
    <x v="11"/>
    <x v="2"/>
    <x v="260"/>
    <x v="275"/>
    <x v="3"/>
    <x v="11"/>
    <x v="46"/>
  </r>
  <r>
    <x v="189"/>
    <n v="1818"/>
    <n v="738"/>
    <n v="11"/>
    <x v="1"/>
    <x v="6"/>
    <x v="2"/>
    <x v="259"/>
    <x v="274"/>
    <x v="3"/>
    <x v="9"/>
    <x v="40"/>
  </r>
  <r>
    <x v="189"/>
    <n v="1818"/>
    <n v="738"/>
    <n v="11"/>
    <x v="1"/>
    <x v="6"/>
    <x v="2"/>
    <x v="260"/>
    <x v="275"/>
    <x v="3"/>
    <x v="11"/>
    <x v="46"/>
  </r>
  <r>
    <x v="190"/>
    <n v="2140"/>
    <n v="970"/>
    <n v="4"/>
    <x v="1"/>
    <x v="8"/>
    <x v="3"/>
    <x v="224"/>
    <x v="276"/>
    <x v="3"/>
    <x v="9"/>
    <x v="57"/>
  </r>
  <r>
    <x v="190"/>
    <n v="2140"/>
    <n v="970"/>
    <n v="4"/>
    <x v="1"/>
    <x v="8"/>
    <x v="3"/>
    <x v="261"/>
    <x v="277"/>
    <x v="0"/>
    <x v="3"/>
    <x v="9"/>
  </r>
  <r>
    <x v="190"/>
    <n v="2140"/>
    <n v="970"/>
    <n v="4"/>
    <x v="1"/>
    <x v="8"/>
    <x v="3"/>
    <x v="105"/>
    <x v="278"/>
    <x v="3"/>
    <x v="11"/>
    <x v="25"/>
  </r>
  <r>
    <x v="190"/>
    <n v="2670"/>
    <n v="1026"/>
    <n v="1"/>
    <x v="0"/>
    <x v="3"/>
    <x v="1"/>
    <x v="224"/>
    <x v="276"/>
    <x v="3"/>
    <x v="9"/>
    <x v="57"/>
  </r>
  <r>
    <x v="190"/>
    <n v="2670"/>
    <n v="1026"/>
    <n v="1"/>
    <x v="0"/>
    <x v="3"/>
    <x v="1"/>
    <x v="261"/>
    <x v="277"/>
    <x v="0"/>
    <x v="3"/>
    <x v="9"/>
  </r>
  <r>
    <x v="190"/>
    <n v="2670"/>
    <n v="1026"/>
    <n v="1"/>
    <x v="0"/>
    <x v="3"/>
    <x v="1"/>
    <x v="105"/>
    <x v="278"/>
    <x v="3"/>
    <x v="11"/>
    <x v="25"/>
  </r>
  <r>
    <x v="191"/>
    <n v="1108"/>
    <n v="167"/>
    <n v="18"/>
    <x v="0"/>
    <x v="3"/>
    <x v="1"/>
    <x v="262"/>
    <x v="279"/>
    <x v="1"/>
    <x v="6"/>
    <x v="30"/>
  </r>
  <r>
    <x v="191"/>
    <n v="9776"/>
    <n v="3750"/>
    <n v="9"/>
    <x v="1"/>
    <x v="9"/>
    <x v="0"/>
    <x v="262"/>
    <x v="279"/>
    <x v="1"/>
    <x v="6"/>
    <x v="30"/>
  </r>
  <r>
    <x v="191"/>
    <n v="535"/>
    <n v="72"/>
    <n v="6"/>
    <x v="2"/>
    <x v="11"/>
    <x v="4"/>
    <x v="262"/>
    <x v="279"/>
    <x v="1"/>
    <x v="6"/>
    <x v="30"/>
  </r>
  <r>
    <x v="192"/>
    <n v="7564"/>
    <n v="3463"/>
    <n v="5"/>
    <x v="1"/>
    <x v="8"/>
    <x v="3"/>
    <x v="194"/>
    <x v="280"/>
    <x v="0"/>
    <x v="16"/>
    <x v="47"/>
  </r>
  <r>
    <x v="192"/>
    <n v="7564"/>
    <n v="3463"/>
    <n v="5"/>
    <x v="1"/>
    <x v="8"/>
    <x v="3"/>
    <x v="263"/>
    <x v="281"/>
    <x v="1"/>
    <x v="17"/>
    <x v="11"/>
  </r>
  <r>
    <x v="192"/>
    <n v="7564"/>
    <n v="3463"/>
    <n v="5"/>
    <x v="1"/>
    <x v="8"/>
    <x v="3"/>
    <x v="264"/>
    <x v="282"/>
    <x v="0"/>
    <x v="0"/>
    <x v="56"/>
  </r>
  <r>
    <x v="192"/>
    <n v="7564"/>
    <n v="3463"/>
    <n v="5"/>
    <x v="1"/>
    <x v="8"/>
    <x v="3"/>
    <x v="265"/>
    <x v="283"/>
    <x v="4"/>
    <x v="15"/>
    <x v="41"/>
  </r>
  <r>
    <x v="192"/>
    <n v="3409"/>
    <n v="1605"/>
    <n v="20"/>
    <x v="0"/>
    <x v="0"/>
    <x v="0"/>
    <x v="194"/>
    <x v="280"/>
    <x v="0"/>
    <x v="16"/>
    <x v="47"/>
  </r>
  <r>
    <x v="192"/>
    <n v="3409"/>
    <n v="1605"/>
    <n v="20"/>
    <x v="0"/>
    <x v="0"/>
    <x v="0"/>
    <x v="263"/>
    <x v="281"/>
    <x v="1"/>
    <x v="17"/>
    <x v="11"/>
  </r>
  <r>
    <x v="192"/>
    <n v="3409"/>
    <n v="1605"/>
    <n v="20"/>
    <x v="0"/>
    <x v="0"/>
    <x v="0"/>
    <x v="264"/>
    <x v="282"/>
    <x v="0"/>
    <x v="0"/>
    <x v="56"/>
  </r>
  <r>
    <x v="192"/>
    <n v="3409"/>
    <n v="1605"/>
    <n v="20"/>
    <x v="0"/>
    <x v="0"/>
    <x v="0"/>
    <x v="265"/>
    <x v="283"/>
    <x v="4"/>
    <x v="15"/>
    <x v="41"/>
  </r>
  <r>
    <x v="193"/>
    <n v="9751"/>
    <n v="2459"/>
    <n v="13"/>
    <x v="1"/>
    <x v="2"/>
    <x v="4"/>
    <x v="266"/>
    <x v="284"/>
    <x v="2"/>
    <x v="2"/>
    <x v="11"/>
  </r>
  <r>
    <x v="194"/>
    <n v="6385"/>
    <n v="2656"/>
    <n v="11"/>
    <x v="0"/>
    <x v="1"/>
    <x v="3"/>
    <x v="267"/>
    <x v="285"/>
    <x v="0"/>
    <x v="3"/>
    <x v="45"/>
  </r>
  <r>
    <x v="194"/>
    <n v="6385"/>
    <n v="2656"/>
    <n v="11"/>
    <x v="0"/>
    <x v="1"/>
    <x v="3"/>
    <x v="268"/>
    <x v="286"/>
    <x v="0"/>
    <x v="16"/>
    <x v="15"/>
  </r>
  <r>
    <x v="195"/>
    <n v="6355"/>
    <n v="1335"/>
    <n v="15"/>
    <x v="0"/>
    <x v="0"/>
    <x v="1"/>
    <x v="269"/>
    <x v="287"/>
    <x v="4"/>
    <x v="10"/>
    <x v="21"/>
  </r>
  <r>
    <x v="195"/>
    <n v="6355"/>
    <n v="1335"/>
    <n v="15"/>
    <x v="0"/>
    <x v="0"/>
    <x v="1"/>
    <x v="270"/>
    <x v="288"/>
    <x v="4"/>
    <x v="10"/>
    <x v="22"/>
  </r>
  <r>
    <x v="196"/>
    <n v="7377"/>
    <n v="320"/>
    <n v="15"/>
    <x v="0"/>
    <x v="1"/>
    <x v="1"/>
    <x v="271"/>
    <x v="289"/>
    <x v="4"/>
    <x v="10"/>
    <x v="29"/>
  </r>
  <r>
    <x v="196"/>
    <n v="2054"/>
    <n v="371"/>
    <n v="12"/>
    <x v="1"/>
    <x v="6"/>
    <x v="2"/>
    <x v="271"/>
    <x v="289"/>
    <x v="4"/>
    <x v="10"/>
    <x v="29"/>
  </r>
  <r>
    <x v="197"/>
    <n v="7497"/>
    <n v="319"/>
    <n v="18"/>
    <x v="2"/>
    <x v="5"/>
    <x v="4"/>
    <x v="272"/>
    <x v="290"/>
    <x v="1"/>
    <x v="17"/>
    <x v="42"/>
  </r>
  <r>
    <x v="198"/>
    <n v="2565"/>
    <n v="983"/>
    <n v="20"/>
    <x v="0"/>
    <x v="0"/>
    <x v="1"/>
    <x v="61"/>
    <x v="291"/>
    <x v="0"/>
    <x v="0"/>
    <x v="29"/>
  </r>
  <r>
    <x v="198"/>
    <n v="5024"/>
    <n v="1544"/>
    <n v="19"/>
    <x v="1"/>
    <x v="2"/>
    <x v="4"/>
    <x v="61"/>
    <x v="291"/>
    <x v="0"/>
    <x v="0"/>
    <x v="29"/>
  </r>
  <r>
    <x v="199"/>
    <n v="8243"/>
    <n v="1346"/>
    <n v="15"/>
    <x v="1"/>
    <x v="9"/>
    <x v="1"/>
    <x v="273"/>
    <x v="292"/>
    <x v="4"/>
    <x v="15"/>
    <x v="27"/>
  </r>
  <r>
    <x v="200"/>
    <n v="7792"/>
    <n v="1403"/>
    <n v="13"/>
    <x v="1"/>
    <x v="8"/>
    <x v="0"/>
    <x v="274"/>
    <x v="293"/>
    <x v="1"/>
    <x v="17"/>
    <x v="51"/>
  </r>
  <r>
    <x v="200"/>
    <n v="7792"/>
    <n v="1403"/>
    <n v="13"/>
    <x v="1"/>
    <x v="8"/>
    <x v="0"/>
    <x v="243"/>
    <x v="294"/>
    <x v="2"/>
    <x v="7"/>
    <x v="29"/>
  </r>
  <r>
    <x v="200"/>
    <n v="7792"/>
    <n v="1403"/>
    <n v="13"/>
    <x v="1"/>
    <x v="8"/>
    <x v="0"/>
    <x v="275"/>
    <x v="295"/>
    <x v="3"/>
    <x v="9"/>
    <x v="10"/>
  </r>
  <r>
    <x v="200"/>
    <n v="2346"/>
    <n v="388"/>
    <n v="14"/>
    <x v="2"/>
    <x v="5"/>
    <x v="1"/>
    <x v="274"/>
    <x v="293"/>
    <x v="1"/>
    <x v="17"/>
    <x v="51"/>
  </r>
  <r>
    <x v="200"/>
    <n v="2346"/>
    <n v="388"/>
    <n v="14"/>
    <x v="2"/>
    <x v="5"/>
    <x v="1"/>
    <x v="243"/>
    <x v="294"/>
    <x v="2"/>
    <x v="7"/>
    <x v="29"/>
  </r>
  <r>
    <x v="200"/>
    <n v="2346"/>
    <n v="388"/>
    <n v="14"/>
    <x v="2"/>
    <x v="5"/>
    <x v="1"/>
    <x v="275"/>
    <x v="295"/>
    <x v="3"/>
    <x v="9"/>
    <x v="10"/>
  </r>
  <r>
    <x v="201"/>
    <n v="7346"/>
    <n v="1043"/>
    <n v="10"/>
    <x v="2"/>
    <x v="7"/>
    <x v="3"/>
    <x v="276"/>
    <x v="296"/>
    <x v="5"/>
    <x v="12"/>
    <x v="29"/>
  </r>
  <r>
    <x v="201"/>
    <n v="9770"/>
    <n v="4132"/>
    <n v="7"/>
    <x v="0"/>
    <x v="0"/>
    <x v="0"/>
    <x v="276"/>
    <x v="296"/>
    <x v="5"/>
    <x v="12"/>
    <x v="29"/>
  </r>
  <r>
    <x v="201"/>
    <n v="7179"/>
    <n v="683"/>
    <n v="13"/>
    <x v="0"/>
    <x v="3"/>
    <x v="3"/>
    <x v="276"/>
    <x v="296"/>
    <x v="5"/>
    <x v="12"/>
    <x v="29"/>
  </r>
  <r>
    <x v="202"/>
    <n v="5449"/>
    <n v="2389"/>
    <n v="2"/>
    <x v="0"/>
    <x v="10"/>
    <x v="0"/>
    <x v="277"/>
    <x v="297"/>
    <x v="0"/>
    <x v="0"/>
    <x v="15"/>
  </r>
  <r>
    <x v="203"/>
    <n v="2895"/>
    <n v="104"/>
    <n v="6"/>
    <x v="2"/>
    <x v="5"/>
    <x v="4"/>
    <x v="278"/>
    <x v="298"/>
    <x v="2"/>
    <x v="2"/>
    <x v="32"/>
  </r>
  <r>
    <x v="203"/>
    <n v="2895"/>
    <n v="104"/>
    <n v="6"/>
    <x v="2"/>
    <x v="5"/>
    <x v="4"/>
    <x v="279"/>
    <x v="299"/>
    <x v="4"/>
    <x v="15"/>
    <x v="3"/>
  </r>
  <r>
    <x v="203"/>
    <n v="697"/>
    <n v="116"/>
    <n v="1"/>
    <x v="2"/>
    <x v="5"/>
    <x v="0"/>
    <x v="278"/>
    <x v="298"/>
    <x v="2"/>
    <x v="2"/>
    <x v="32"/>
  </r>
  <r>
    <x v="203"/>
    <n v="697"/>
    <n v="116"/>
    <n v="1"/>
    <x v="2"/>
    <x v="5"/>
    <x v="0"/>
    <x v="279"/>
    <x v="299"/>
    <x v="4"/>
    <x v="15"/>
    <x v="3"/>
  </r>
  <r>
    <x v="204"/>
    <n v="6145"/>
    <n v="1414"/>
    <n v="4"/>
    <x v="2"/>
    <x v="5"/>
    <x v="4"/>
    <x v="280"/>
    <x v="300"/>
    <x v="3"/>
    <x v="4"/>
    <x v="20"/>
  </r>
  <r>
    <x v="204"/>
    <n v="2504"/>
    <n v="440"/>
    <n v="18"/>
    <x v="0"/>
    <x v="1"/>
    <x v="0"/>
    <x v="280"/>
    <x v="300"/>
    <x v="3"/>
    <x v="4"/>
    <x v="20"/>
  </r>
  <r>
    <x v="204"/>
    <n v="3124"/>
    <n v="138"/>
    <n v="16"/>
    <x v="0"/>
    <x v="10"/>
    <x v="1"/>
    <x v="280"/>
    <x v="300"/>
    <x v="3"/>
    <x v="4"/>
    <x v="20"/>
  </r>
  <r>
    <x v="205"/>
    <n v="6934"/>
    <n v="1226"/>
    <n v="1"/>
    <x v="0"/>
    <x v="0"/>
    <x v="1"/>
    <x v="281"/>
    <x v="301"/>
    <x v="5"/>
    <x v="13"/>
    <x v="22"/>
  </r>
  <r>
    <x v="205"/>
    <n v="6934"/>
    <n v="1226"/>
    <n v="1"/>
    <x v="0"/>
    <x v="0"/>
    <x v="1"/>
    <x v="76"/>
    <x v="284"/>
    <x v="2"/>
    <x v="7"/>
    <x v="43"/>
  </r>
  <r>
    <x v="206"/>
    <n v="4202"/>
    <n v="1171"/>
    <n v="3"/>
    <x v="1"/>
    <x v="6"/>
    <x v="4"/>
    <x v="282"/>
    <x v="302"/>
    <x v="1"/>
    <x v="17"/>
    <x v="5"/>
  </r>
  <r>
    <x v="206"/>
    <n v="4202"/>
    <n v="1171"/>
    <n v="3"/>
    <x v="1"/>
    <x v="6"/>
    <x v="4"/>
    <x v="283"/>
    <x v="303"/>
    <x v="2"/>
    <x v="7"/>
    <x v="15"/>
  </r>
  <r>
    <x v="206"/>
    <n v="4202"/>
    <n v="1171"/>
    <n v="3"/>
    <x v="1"/>
    <x v="6"/>
    <x v="4"/>
    <x v="284"/>
    <x v="304"/>
    <x v="0"/>
    <x v="16"/>
    <x v="6"/>
  </r>
  <r>
    <x v="206"/>
    <n v="4202"/>
    <n v="1171"/>
    <n v="3"/>
    <x v="1"/>
    <x v="6"/>
    <x v="4"/>
    <x v="6"/>
    <x v="305"/>
    <x v="4"/>
    <x v="15"/>
    <x v="6"/>
  </r>
  <r>
    <x v="207"/>
    <n v="2239"/>
    <n v="828"/>
    <n v="1"/>
    <x v="0"/>
    <x v="1"/>
    <x v="0"/>
    <x v="285"/>
    <x v="306"/>
    <x v="3"/>
    <x v="4"/>
    <x v="0"/>
  </r>
  <r>
    <x v="207"/>
    <n v="2239"/>
    <n v="828"/>
    <n v="1"/>
    <x v="0"/>
    <x v="1"/>
    <x v="0"/>
    <x v="286"/>
    <x v="307"/>
    <x v="1"/>
    <x v="1"/>
    <x v="48"/>
  </r>
  <r>
    <x v="207"/>
    <n v="2450"/>
    <n v="1002"/>
    <n v="4"/>
    <x v="0"/>
    <x v="10"/>
    <x v="1"/>
    <x v="285"/>
    <x v="306"/>
    <x v="3"/>
    <x v="4"/>
    <x v="0"/>
  </r>
  <r>
    <x v="207"/>
    <n v="2450"/>
    <n v="1002"/>
    <n v="4"/>
    <x v="0"/>
    <x v="10"/>
    <x v="1"/>
    <x v="286"/>
    <x v="307"/>
    <x v="1"/>
    <x v="1"/>
    <x v="48"/>
  </r>
  <r>
    <x v="208"/>
    <n v="9827"/>
    <n v="4208"/>
    <n v="13"/>
    <x v="2"/>
    <x v="5"/>
    <x v="1"/>
    <x v="287"/>
    <x v="308"/>
    <x v="2"/>
    <x v="5"/>
    <x v="57"/>
  </r>
  <r>
    <x v="208"/>
    <n v="8077"/>
    <n v="240"/>
    <n v="15"/>
    <x v="2"/>
    <x v="7"/>
    <x v="3"/>
    <x v="287"/>
    <x v="308"/>
    <x v="2"/>
    <x v="5"/>
    <x v="57"/>
  </r>
  <r>
    <x v="209"/>
    <n v="5152"/>
    <n v="2045"/>
    <n v="14"/>
    <x v="0"/>
    <x v="10"/>
    <x v="0"/>
    <x v="288"/>
    <x v="309"/>
    <x v="1"/>
    <x v="6"/>
    <x v="11"/>
  </r>
  <r>
    <x v="209"/>
    <n v="5152"/>
    <n v="2045"/>
    <n v="14"/>
    <x v="0"/>
    <x v="10"/>
    <x v="0"/>
    <x v="289"/>
    <x v="310"/>
    <x v="3"/>
    <x v="4"/>
    <x v="40"/>
  </r>
  <r>
    <x v="209"/>
    <n v="5152"/>
    <n v="2045"/>
    <n v="14"/>
    <x v="0"/>
    <x v="10"/>
    <x v="0"/>
    <x v="290"/>
    <x v="311"/>
    <x v="1"/>
    <x v="1"/>
    <x v="21"/>
  </r>
  <r>
    <x v="209"/>
    <n v="5152"/>
    <n v="2045"/>
    <n v="14"/>
    <x v="0"/>
    <x v="10"/>
    <x v="0"/>
    <x v="291"/>
    <x v="312"/>
    <x v="2"/>
    <x v="7"/>
    <x v="59"/>
  </r>
  <r>
    <x v="210"/>
    <n v="2542"/>
    <n v="190"/>
    <n v="1"/>
    <x v="1"/>
    <x v="6"/>
    <x v="3"/>
    <x v="292"/>
    <x v="313"/>
    <x v="4"/>
    <x v="15"/>
    <x v="39"/>
  </r>
  <r>
    <x v="211"/>
    <n v="8102"/>
    <n v="1800"/>
    <n v="5"/>
    <x v="1"/>
    <x v="6"/>
    <x v="0"/>
    <x v="293"/>
    <x v="314"/>
    <x v="3"/>
    <x v="11"/>
    <x v="48"/>
  </r>
  <r>
    <x v="211"/>
    <n v="8102"/>
    <n v="1800"/>
    <n v="5"/>
    <x v="1"/>
    <x v="6"/>
    <x v="0"/>
    <x v="294"/>
    <x v="315"/>
    <x v="2"/>
    <x v="2"/>
    <x v="32"/>
  </r>
  <r>
    <x v="211"/>
    <n v="8102"/>
    <n v="1800"/>
    <n v="5"/>
    <x v="1"/>
    <x v="6"/>
    <x v="0"/>
    <x v="295"/>
    <x v="316"/>
    <x v="5"/>
    <x v="14"/>
    <x v="50"/>
  </r>
  <r>
    <x v="211"/>
    <n v="3234"/>
    <n v="1274"/>
    <n v="10"/>
    <x v="2"/>
    <x v="4"/>
    <x v="2"/>
    <x v="293"/>
    <x v="314"/>
    <x v="3"/>
    <x v="11"/>
    <x v="48"/>
  </r>
  <r>
    <x v="211"/>
    <n v="3234"/>
    <n v="1274"/>
    <n v="10"/>
    <x v="2"/>
    <x v="4"/>
    <x v="2"/>
    <x v="294"/>
    <x v="315"/>
    <x v="2"/>
    <x v="2"/>
    <x v="32"/>
  </r>
  <r>
    <x v="211"/>
    <n v="3234"/>
    <n v="1274"/>
    <n v="10"/>
    <x v="2"/>
    <x v="4"/>
    <x v="2"/>
    <x v="295"/>
    <x v="316"/>
    <x v="5"/>
    <x v="14"/>
    <x v="50"/>
  </r>
  <r>
    <x v="212"/>
    <n v="6200"/>
    <n v="2321"/>
    <n v="18"/>
    <x v="2"/>
    <x v="4"/>
    <x v="3"/>
    <x v="296"/>
    <x v="317"/>
    <x v="3"/>
    <x v="4"/>
    <x v="41"/>
  </r>
  <r>
    <x v="212"/>
    <n v="6200"/>
    <n v="2321"/>
    <n v="18"/>
    <x v="2"/>
    <x v="4"/>
    <x v="3"/>
    <x v="297"/>
    <x v="318"/>
    <x v="0"/>
    <x v="0"/>
    <x v="31"/>
  </r>
  <r>
    <x v="213"/>
    <n v="4470"/>
    <n v="413"/>
    <n v="13"/>
    <x v="0"/>
    <x v="3"/>
    <x v="0"/>
    <x v="170"/>
    <x v="319"/>
    <x v="3"/>
    <x v="4"/>
    <x v="9"/>
  </r>
  <r>
    <x v="214"/>
    <n v="916"/>
    <n v="362"/>
    <n v="7"/>
    <x v="1"/>
    <x v="2"/>
    <x v="0"/>
    <x v="298"/>
    <x v="320"/>
    <x v="1"/>
    <x v="6"/>
    <x v="15"/>
  </r>
  <r>
    <x v="214"/>
    <n v="916"/>
    <n v="362"/>
    <n v="7"/>
    <x v="1"/>
    <x v="2"/>
    <x v="0"/>
    <x v="299"/>
    <x v="321"/>
    <x v="3"/>
    <x v="11"/>
    <x v="20"/>
  </r>
  <r>
    <x v="214"/>
    <n v="1165"/>
    <n v="302"/>
    <n v="20"/>
    <x v="2"/>
    <x v="7"/>
    <x v="0"/>
    <x v="298"/>
    <x v="320"/>
    <x v="1"/>
    <x v="6"/>
    <x v="15"/>
  </r>
  <r>
    <x v="214"/>
    <n v="1165"/>
    <n v="302"/>
    <n v="20"/>
    <x v="2"/>
    <x v="7"/>
    <x v="0"/>
    <x v="299"/>
    <x v="321"/>
    <x v="3"/>
    <x v="11"/>
    <x v="20"/>
  </r>
  <r>
    <x v="214"/>
    <n v="7846"/>
    <n v="677"/>
    <n v="12"/>
    <x v="2"/>
    <x v="5"/>
    <x v="0"/>
    <x v="298"/>
    <x v="320"/>
    <x v="1"/>
    <x v="6"/>
    <x v="15"/>
  </r>
  <r>
    <x v="214"/>
    <n v="7846"/>
    <n v="677"/>
    <n v="12"/>
    <x v="2"/>
    <x v="5"/>
    <x v="0"/>
    <x v="299"/>
    <x v="321"/>
    <x v="3"/>
    <x v="11"/>
    <x v="20"/>
  </r>
  <r>
    <x v="215"/>
    <n v="3022"/>
    <n v="384"/>
    <n v="1"/>
    <x v="1"/>
    <x v="2"/>
    <x v="3"/>
    <x v="300"/>
    <x v="322"/>
    <x v="4"/>
    <x v="10"/>
    <x v="12"/>
  </r>
  <r>
    <x v="215"/>
    <n v="3022"/>
    <n v="384"/>
    <n v="1"/>
    <x v="1"/>
    <x v="2"/>
    <x v="3"/>
    <x v="301"/>
    <x v="323"/>
    <x v="1"/>
    <x v="1"/>
    <x v="51"/>
  </r>
  <r>
    <x v="215"/>
    <n v="5266"/>
    <n v="1111"/>
    <n v="13"/>
    <x v="0"/>
    <x v="0"/>
    <x v="1"/>
    <x v="300"/>
    <x v="322"/>
    <x v="4"/>
    <x v="10"/>
    <x v="12"/>
  </r>
  <r>
    <x v="215"/>
    <n v="5266"/>
    <n v="1111"/>
    <n v="13"/>
    <x v="0"/>
    <x v="0"/>
    <x v="1"/>
    <x v="301"/>
    <x v="323"/>
    <x v="1"/>
    <x v="1"/>
    <x v="51"/>
  </r>
  <r>
    <x v="216"/>
    <n v="4853"/>
    <n v="1764"/>
    <n v="9"/>
    <x v="1"/>
    <x v="2"/>
    <x v="1"/>
    <x v="302"/>
    <x v="324"/>
    <x v="0"/>
    <x v="3"/>
    <x v="35"/>
  </r>
  <r>
    <x v="216"/>
    <n v="4853"/>
    <n v="1764"/>
    <n v="9"/>
    <x v="1"/>
    <x v="2"/>
    <x v="1"/>
    <x v="303"/>
    <x v="325"/>
    <x v="4"/>
    <x v="15"/>
    <x v="40"/>
  </r>
  <r>
    <x v="217"/>
    <n v="9832"/>
    <n v="1270"/>
    <n v="1"/>
    <x v="1"/>
    <x v="2"/>
    <x v="4"/>
    <x v="23"/>
    <x v="326"/>
    <x v="3"/>
    <x v="11"/>
    <x v="15"/>
  </r>
  <r>
    <x v="217"/>
    <n v="796"/>
    <n v="153"/>
    <n v="15"/>
    <x v="1"/>
    <x v="2"/>
    <x v="3"/>
    <x v="23"/>
    <x v="326"/>
    <x v="3"/>
    <x v="11"/>
    <x v="15"/>
  </r>
  <r>
    <x v="218"/>
    <n v="883"/>
    <n v="127"/>
    <n v="7"/>
    <x v="2"/>
    <x v="5"/>
    <x v="4"/>
    <x v="304"/>
    <x v="327"/>
    <x v="3"/>
    <x v="11"/>
    <x v="0"/>
  </r>
  <r>
    <x v="218"/>
    <n v="4539"/>
    <n v="1155"/>
    <n v="8"/>
    <x v="2"/>
    <x v="11"/>
    <x v="1"/>
    <x v="304"/>
    <x v="327"/>
    <x v="3"/>
    <x v="11"/>
    <x v="0"/>
  </r>
  <r>
    <x v="218"/>
    <n v="9659"/>
    <n v="2226"/>
    <n v="16"/>
    <x v="1"/>
    <x v="9"/>
    <x v="1"/>
    <x v="304"/>
    <x v="327"/>
    <x v="3"/>
    <x v="11"/>
    <x v="0"/>
  </r>
  <r>
    <x v="219"/>
    <n v="9562"/>
    <n v="325"/>
    <n v="2"/>
    <x v="0"/>
    <x v="1"/>
    <x v="1"/>
    <x v="305"/>
    <x v="328"/>
    <x v="3"/>
    <x v="9"/>
    <x v="37"/>
  </r>
  <r>
    <x v="220"/>
    <n v="4688"/>
    <n v="1841"/>
    <n v="3"/>
    <x v="0"/>
    <x v="3"/>
    <x v="3"/>
    <x v="306"/>
    <x v="329"/>
    <x v="3"/>
    <x v="11"/>
    <x v="54"/>
  </r>
  <r>
    <x v="220"/>
    <n v="4688"/>
    <n v="1841"/>
    <n v="3"/>
    <x v="0"/>
    <x v="3"/>
    <x v="3"/>
    <x v="2"/>
    <x v="330"/>
    <x v="3"/>
    <x v="9"/>
    <x v="2"/>
  </r>
  <r>
    <x v="221"/>
    <n v="7900"/>
    <n v="482"/>
    <n v="4"/>
    <x v="0"/>
    <x v="10"/>
    <x v="4"/>
    <x v="307"/>
    <x v="331"/>
    <x v="5"/>
    <x v="12"/>
    <x v="30"/>
  </r>
  <r>
    <x v="222"/>
    <n v="6967"/>
    <n v="3257"/>
    <n v="17"/>
    <x v="2"/>
    <x v="11"/>
    <x v="4"/>
    <x v="276"/>
    <x v="332"/>
    <x v="5"/>
    <x v="13"/>
    <x v="29"/>
  </r>
  <r>
    <x v="222"/>
    <n v="1091"/>
    <n v="277"/>
    <n v="6"/>
    <x v="1"/>
    <x v="8"/>
    <x v="4"/>
    <x v="276"/>
    <x v="332"/>
    <x v="5"/>
    <x v="13"/>
    <x v="29"/>
  </r>
  <r>
    <x v="222"/>
    <n v="6027"/>
    <n v="1530"/>
    <n v="2"/>
    <x v="1"/>
    <x v="9"/>
    <x v="3"/>
    <x v="276"/>
    <x v="332"/>
    <x v="5"/>
    <x v="13"/>
    <x v="29"/>
  </r>
  <r>
    <x v="223"/>
    <n v="4852"/>
    <n v="218"/>
    <n v="2"/>
    <x v="2"/>
    <x v="4"/>
    <x v="2"/>
    <x v="308"/>
    <x v="333"/>
    <x v="4"/>
    <x v="8"/>
    <x v="44"/>
  </r>
  <r>
    <x v="223"/>
    <n v="4852"/>
    <n v="218"/>
    <n v="2"/>
    <x v="2"/>
    <x v="4"/>
    <x v="2"/>
    <x v="309"/>
    <x v="334"/>
    <x v="0"/>
    <x v="16"/>
    <x v="13"/>
  </r>
  <r>
    <x v="223"/>
    <n v="4852"/>
    <n v="218"/>
    <n v="2"/>
    <x v="2"/>
    <x v="4"/>
    <x v="2"/>
    <x v="310"/>
    <x v="335"/>
    <x v="1"/>
    <x v="6"/>
    <x v="48"/>
  </r>
  <r>
    <x v="224"/>
    <n v="4314"/>
    <n v="1453"/>
    <n v="6"/>
    <x v="2"/>
    <x v="7"/>
    <x v="4"/>
    <x v="311"/>
    <x v="336"/>
    <x v="0"/>
    <x v="16"/>
    <x v="36"/>
  </r>
  <r>
    <x v="225"/>
    <n v="3288"/>
    <n v="1477"/>
    <n v="3"/>
    <x v="1"/>
    <x v="2"/>
    <x v="2"/>
    <x v="312"/>
    <x v="337"/>
    <x v="4"/>
    <x v="10"/>
    <x v="3"/>
  </r>
  <r>
    <x v="225"/>
    <n v="3288"/>
    <n v="1477"/>
    <n v="3"/>
    <x v="1"/>
    <x v="2"/>
    <x v="2"/>
    <x v="313"/>
    <x v="338"/>
    <x v="1"/>
    <x v="6"/>
    <x v="26"/>
  </r>
  <r>
    <x v="226"/>
    <n v="3977"/>
    <n v="813"/>
    <n v="5"/>
    <x v="1"/>
    <x v="9"/>
    <x v="3"/>
    <x v="314"/>
    <x v="339"/>
    <x v="2"/>
    <x v="5"/>
    <x v="1"/>
  </r>
  <r>
    <x v="227"/>
    <n v="6252"/>
    <n v="1377"/>
    <n v="2"/>
    <x v="0"/>
    <x v="1"/>
    <x v="2"/>
    <x v="315"/>
    <x v="340"/>
    <x v="1"/>
    <x v="1"/>
    <x v="0"/>
  </r>
  <r>
    <x v="228"/>
    <n v="9084"/>
    <n v="3253"/>
    <n v="12"/>
    <x v="1"/>
    <x v="2"/>
    <x v="1"/>
    <x v="316"/>
    <x v="341"/>
    <x v="2"/>
    <x v="2"/>
    <x v="6"/>
  </r>
  <r>
    <x v="229"/>
    <n v="8994"/>
    <n v="1481"/>
    <n v="15"/>
    <x v="0"/>
    <x v="10"/>
    <x v="3"/>
    <x v="317"/>
    <x v="342"/>
    <x v="3"/>
    <x v="9"/>
    <x v="53"/>
  </r>
  <r>
    <x v="230"/>
    <n v="1089"/>
    <n v="176"/>
    <n v="16"/>
    <x v="1"/>
    <x v="6"/>
    <x v="2"/>
    <x v="318"/>
    <x v="343"/>
    <x v="4"/>
    <x v="8"/>
    <x v="20"/>
  </r>
  <r>
    <x v="231"/>
    <n v="6690"/>
    <n v="1001"/>
    <n v="19"/>
    <x v="1"/>
    <x v="9"/>
    <x v="0"/>
    <x v="319"/>
    <x v="344"/>
    <x v="1"/>
    <x v="6"/>
    <x v="33"/>
  </r>
  <r>
    <x v="231"/>
    <n v="6690"/>
    <n v="1001"/>
    <n v="19"/>
    <x v="1"/>
    <x v="9"/>
    <x v="0"/>
    <x v="202"/>
    <x v="345"/>
    <x v="1"/>
    <x v="1"/>
    <x v="35"/>
  </r>
  <r>
    <x v="231"/>
    <n v="4985"/>
    <n v="1920"/>
    <n v="10"/>
    <x v="2"/>
    <x v="11"/>
    <x v="3"/>
    <x v="319"/>
    <x v="344"/>
    <x v="1"/>
    <x v="6"/>
    <x v="33"/>
  </r>
  <r>
    <x v="231"/>
    <n v="4985"/>
    <n v="1920"/>
    <n v="10"/>
    <x v="2"/>
    <x v="11"/>
    <x v="3"/>
    <x v="202"/>
    <x v="345"/>
    <x v="1"/>
    <x v="1"/>
    <x v="35"/>
  </r>
  <r>
    <x v="232"/>
    <n v="8590"/>
    <n v="3565"/>
    <n v="15"/>
    <x v="0"/>
    <x v="0"/>
    <x v="2"/>
    <x v="320"/>
    <x v="346"/>
    <x v="0"/>
    <x v="0"/>
    <x v="35"/>
  </r>
  <r>
    <x v="232"/>
    <n v="6973"/>
    <n v="3038"/>
    <n v="10"/>
    <x v="2"/>
    <x v="4"/>
    <x v="4"/>
    <x v="320"/>
    <x v="346"/>
    <x v="0"/>
    <x v="0"/>
    <x v="35"/>
  </r>
  <r>
    <x v="233"/>
    <n v="4591"/>
    <n v="1941"/>
    <n v="19"/>
    <x v="0"/>
    <x v="1"/>
    <x v="2"/>
    <x v="321"/>
    <x v="214"/>
    <x v="4"/>
    <x v="8"/>
    <x v="2"/>
  </r>
  <r>
    <x v="233"/>
    <n v="9612"/>
    <n v="2572"/>
    <n v="17"/>
    <x v="1"/>
    <x v="2"/>
    <x v="3"/>
    <x v="321"/>
    <x v="214"/>
    <x v="4"/>
    <x v="8"/>
    <x v="2"/>
  </r>
  <r>
    <x v="234"/>
    <n v="5343"/>
    <n v="655"/>
    <n v="1"/>
    <x v="2"/>
    <x v="5"/>
    <x v="2"/>
    <x v="322"/>
    <x v="347"/>
    <x v="3"/>
    <x v="9"/>
    <x v="44"/>
  </r>
  <r>
    <x v="235"/>
    <n v="6956"/>
    <n v="318"/>
    <n v="20"/>
    <x v="1"/>
    <x v="6"/>
    <x v="1"/>
    <x v="55"/>
    <x v="348"/>
    <x v="1"/>
    <x v="6"/>
    <x v="39"/>
  </r>
  <r>
    <x v="236"/>
    <n v="5306"/>
    <n v="2405"/>
    <n v="17"/>
    <x v="2"/>
    <x v="4"/>
    <x v="2"/>
    <x v="323"/>
    <x v="349"/>
    <x v="2"/>
    <x v="2"/>
    <x v="55"/>
  </r>
  <r>
    <x v="237"/>
    <n v="8982"/>
    <n v="448"/>
    <n v="17"/>
    <x v="2"/>
    <x v="7"/>
    <x v="0"/>
    <x v="324"/>
    <x v="350"/>
    <x v="2"/>
    <x v="5"/>
    <x v="18"/>
  </r>
  <r>
    <x v="237"/>
    <n v="4826"/>
    <n v="562"/>
    <n v="5"/>
    <x v="1"/>
    <x v="8"/>
    <x v="1"/>
    <x v="324"/>
    <x v="350"/>
    <x v="2"/>
    <x v="5"/>
    <x v="18"/>
  </r>
  <r>
    <x v="238"/>
    <n v="972"/>
    <n v="106"/>
    <n v="15"/>
    <x v="1"/>
    <x v="2"/>
    <x v="2"/>
    <x v="112"/>
    <x v="351"/>
    <x v="5"/>
    <x v="13"/>
    <x v="37"/>
  </r>
  <r>
    <x v="239"/>
    <n v="3665"/>
    <n v="802"/>
    <n v="4"/>
    <x v="1"/>
    <x v="6"/>
    <x v="3"/>
    <x v="325"/>
    <x v="352"/>
    <x v="0"/>
    <x v="0"/>
    <x v="36"/>
  </r>
  <r>
    <x v="239"/>
    <n v="3665"/>
    <n v="802"/>
    <n v="4"/>
    <x v="1"/>
    <x v="6"/>
    <x v="3"/>
    <x v="326"/>
    <x v="353"/>
    <x v="0"/>
    <x v="16"/>
    <x v="9"/>
  </r>
  <r>
    <x v="240"/>
    <n v="9808"/>
    <n v="2117"/>
    <n v="2"/>
    <x v="1"/>
    <x v="2"/>
    <x v="0"/>
    <x v="327"/>
    <x v="354"/>
    <x v="3"/>
    <x v="4"/>
    <x v="44"/>
  </r>
  <r>
    <x v="241"/>
    <n v="1133"/>
    <n v="73"/>
    <n v="17"/>
    <x v="2"/>
    <x v="5"/>
    <x v="0"/>
    <x v="328"/>
    <x v="355"/>
    <x v="5"/>
    <x v="14"/>
    <x v="14"/>
  </r>
  <r>
    <x v="241"/>
    <n v="1133"/>
    <n v="73"/>
    <n v="17"/>
    <x v="2"/>
    <x v="5"/>
    <x v="0"/>
    <x v="329"/>
    <x v="356"/>
    <x v="3"/>
    <x v="9"/>
    <x v="47"/>
  </r>
  <r>
    <x v="241"/>
    <n v="6248"/>
    <n v="1168"/>
    <n v="19"/>
    <x v="2"/>
    <x v="11"/>
    <x v="4"/>
    <x v="328"/>
    <x v="355"/>
    <x v="5"/>
    <x v="14"/>
    <x v="14"/>
  </r>
  <r>
    <x v="241"/>
    <n v="6248"/>
    <n v="1168"/>
    <n v="19"/>
    <x v="2"/>
    <x v="11"/>
    <x v="4"/>
    <x v="329"/>
    <x v="356"/>
    <x v="3"/>
    <x v="9"/>
    <x v="47"/>
  </r>
  <r>
    <x v="242"/>
    <n v="5666"/>
    <n v="2733"/>
    <n v="17"/>
    <x v="0"/>
    <x v="0"/>
    <x v="3"/>
    <x v="330"/>
    <x v="357"/>
    <x v="0"/>
    <x v="16"/>
    <x v="52"/>
  </r>
  <r>
    <x v="243"/>
    <n v="4171"/>
    <n v="1450"/>
    <n v="18"/>
    <x v="1"/>
    <x v="6"/>
    <x v="4"/>
    <x v="331"/>
    <x v="358"/>
    <x v="4"/>
    <x v="8"/>
    <x v="28"/>
  </r>
  <r>
    <x v="244"/>
    <n v="6236"/>
    <n v="2839"/>
    <n v="7"/>
    <x v="0"/>
    <x v="1"/>
    <x v="3"/>
    <x v="332"/>
    <x v="359"/>
    <x v="1"/>
    <x v="6"/>
    <x v="12"/>
  </r>
  <r>
    <x v="244"/>
    <n v="6236"/>
    <n v="2839"/>
    <n v="7"/>
    <x v="0"/>
    <x v="1"/>
    <x v="3"/>
    <x v="333"/>
    <x v="360"/>
    <x v="0"/>
    <x v="3"/>
    <x v="37"/>
  </r>
  <r>
    <x v="245"/>
    <n v="5410"/>
    <n v="2456"/>
    <n v="8"/>
    <x v="2"/>
    <x v="5"/>
    <x v="3"/>
    <x v="334"/>
    <x v="361"/>
    <x v="3"/>
    <x v="4"/>
    <x v="3"/>
  </r>
  <r>
    <x v="245"/>
    <n v="5410"/>
    <n v="2456"/>
    <n v="8"/>
    <x v="2"/>
    <x v="5"/>
    <x v="3"/>
    <x v="335"/>
    <x v="362"/>
    <x v="0"/>
    <x v="16"/>
    <x v="12"/>
  </r>
  <r>
    <x v="246"/>
    <n v="3024"/>
    <n v="1353"/>
    <n v="1"/>
    <x v="2"/>
    <x v="7"/>
    <x v="3"/>
    <x v="336"/>
    <x v="363"/>
    <x v="3"/>
    <x v="4"/>
    <x v="3"/>
  </r>
  <r>
    <x v="246"/>
    <n v="3024"/>
    <n v="1353"/>
    <n v="1"/>
    <x v="2"/>
    <x v="7"/>
    <x v="3"/>
    <x v="337"/>
    <x v="364"/>
    <x v="5"/>
    <x v="12"/>
    <x v="13"/>
  </r>
  <r>
    <x v="247"/>
    <n v="7434"/>
    <n v="2851"/>
    <n v="5"/>
    <x v="1"/>
    <x v="6"/>
    <x v="0"/>
    <x v="116"/>
    <x v="365"/>
    <x v="1"/>
    <x v="6"/>
    <x v="29"/>
  </r>
  <r>
    <x v="248"/>
    <n v="7213"/>
    <n v="508"/>
    <n v="19"/>
    <x v="0"/>
    <x v="0"/>
    <x v="1"/>
    <x v="338"/>
    <x v="366"/>
    <x v="4"/>
    <x v="8"/>
    <x v="21"/>
  </r>
  <r>
    <x v="248"/>
    <n v="7213"/>
    <n v="508"/>
    <n v="19"/>
    <x v="0"/>
    <x v="0"/>
    <x v="1"/>
    <x v="339"/>
    <x v="367"/>
    <x v="5"/>
    <x v="13"/>
    <x v="35"/>
  </r>
  <r>
    <x v="248"/>
    <n v="3176"/>
    <n v="586"/>
    <n v="9"/>
    <x v="2"/>
    <x v="4"/>
    <x v="2"/>
    <x v="338"/>
    <x v="366"/>
    <x v="4"/>
    <x v="8"/>
    <x v="21"/>
  </r>
  <r>
    <x v="248"/>
    <n v="3176"/>
    <n v="586"/>
    <n v="9"/>
    <x v="2"/>
    <x v="4"/>
    <x v="2"/>
    <x v="339"/>
    <x v="367"/>
    <x v="5"/>
    <x v="13"/>
    <x v="35"/>
  </r>
  <r>
    <x v="249"/>
    <n v="9144"/>
    <n v="2220"/>
    <n v="18"/>
    <x v="1"/>
    <x v="9"/>
    <x v="3"/>
    <x v="340"/>
    <x v="368"/>
    <x v="0"/>
    <x v="0"/>
    <x v="22"/>
  </r>
  <r>
    <x v="250"/>
    <n v="4146"/>
    <n v="865"/>
    <n v="19"/>
    <x v="2"/>
    <x v="4"/>
    <x v="2"/>
    <x v="341"/>
    <x v="369"/>
    <x v="4"/>
    <x v="15"/>
    <x v="58"/>
  </r>
  <r>
    <x v="250"/>
    <n v="3793"/>
    <n v="875"/>
    <n v="7"/>
    <x v="2"/>
    <x v="4"/>
    <x v="2"/>
    <x v="341"/>
    <x v="369"/>
    <x v="4"/>
    <x v="15"/>
    <x v="58"/>
  </r>
  <r>
    <x v="251"/>
    <n v="7169"/>
    <n v="2385"/>
    <n v="11"/>
    <x v="2"/>
    <x v="7"/>
    <x v="4"/>
    <x v="342"/>
    <x v="370"/>
    <x v="3"/>
    <x v="4"/>
    <x v="22"/>
  </r>
  <r>
    <x v="251"/>
    <n v="4046"/>
    <n v="417"/>
    <n v="18"/>
    <x v="2"/>
    <x v="5"/>
    <x v="3"/>
    <x v="342"/>
    <x v="370"/>
    <x v="3"/>
    <x v="4"/>
    <x v="22"/>
  </r>
  <r>
    <x v="252"/>
    <n v="4164"/>
    <n v="905"/>
    <n v="11"/>
    <x v="0"/>
    <x v="10"/>
    <x v="4"/>
    <x v="343"/>
    <x v="371"/>
    <x v="3"/>
    <x v="9"/>
    <x v="16"/>
  </r>
  <r>
    <x v="252"/>
    <n v="5389"/>
    <n v="2196"/>
    <n v="5"/>
    <x v="2"/>
    <x v="4"/>
    <x v="0"/>
    <x v="343"/>
    <x v="371"/>
    <x v="3"/>
    <x v="9"/>
    <x v="16"/>
  </r>
  <r>
    <x v="253"/>
    <n v="5448"/>
    <n v="2204"/>
    <n v="5"/>
    <x v="2"/>
    <x v="7"/>
    <x v="4"/>
    <x v="344"/>
    <x v="372"/>
    <x v="2"/>
    <x v="5"/>
    <x v="40"/>
  </r>
  <r>
    <x v="254"/>
    <n v="4115"/>
    <n v="1285"/>
    <n v="1"/>
    <x v="2"/>
    <x v="7"/>
    <x v="0"/>
    <x v="156"/>
    <x v="373"/>
    <x v="0"/>
    <x v="3"/>
    <x v="32"/>
  </r>
  <r>
    <x v="254"/>
    <n v="4761"/>
    <n v="2231"/>
    <n v="12"/>
    <x v="2"/>
    <x v="4"/>
    <x v="0"/>
    <x v="156"/>
    <x v="373"/>
    <x v="0"/>
    <x v="3"/>
    <x v="32"/>
  </r>
  <r>
    <x v="255"/>
    <n v="5899"/>
    <n v="2264"/>
    <n v="6"/>
    <x v="1"/>
    <x v="9"/>
    <x v="2"/>
    <x v="345"/>
    <x v="374"/>
    <x v="2"/>
    <x v="2"/>
    <x v="59"/>
  </r>
  <r>
    <x v="256"/>
    <n v="6109"/>
    <n v="3040"/>
    <n v="9"/>
    <x v="2"/>
    <x v="5"/>
    <x v="2"/>
    <x v="346"/>
    <x v="375"/>
    <x v="2"/>
    <x v="2"/>
    <x v="26"/>
  </r>
  <r>
    <x v="256"/>
    <n v="6109"/>
    <n v="3040"/>
    <n v="9"/>
    <x v="2"/>
    <x v="5"/>
    <x v="2"/>
    <x v="347"/>
    <x v="376"/>
    <x v="2"/>
    <x v="7"/>
    <x v="59"/>
  </r>
  <r>
    <x v="256"/>
    <n v="4628"/>
    <n v="1491"/>
    <n v="17"/>
    <x v="0"/>
    <x v="0"/>
    <x v="0"/>
    <x v="346"/>
    <x v="375"/>
    <x v="2"/>
    <x v="2"/>
    <x v="26"/>
  </r>
  <r>
    <x v="256"/>
    <n v="4628"/>
    <n v="1491"/>
    <n v="17"/>
    <x v="0"/>
    <x v="0"/>
    <x v="0"/>
    <x v="347"/>
    <x v="376"/>
    <x v="2"/>
    <x v="7"/>
    <x v="59"/>
  </r>
  <r>
    <x v="257"/>
    <n v="4369"/>
    <n v="584"/>
    <n v="13"/>
    <x v="1"/>
    <x v="2"/>
    <x v="3"/>
    <x v="129"/>
    <x v="377"/>
    <x v="1"/>
    <x v="17"/>
    <x v="24"/>
  </r>
  <r>
    <x v="257"/>
    <n v="4369"/>
    <n v="584"/>
    <n v="13"/>
    <x v="1"/>
    <x v="2"/>
    <x v="3"/>
    <x v="348"/>
    <x v="378"/>
    <x v="4"/>
    <x v="10"/>
    <x v="27"/>
  </r>
  <r>
    <x v="258"/>
    <n v="5632"/>
    <n v="2358"/>
    <n v="20"/>
    <x v="2"/>
    <x v="7"/>
    <x v="3"/>
    <x v="349"/>
    <x v="379"/>
    <x v="3"/>
    <x v="4"/>
    <x v="18"/>
  </r>
  <r>
    <x v="258"/>
    <n v="5632"/>
    <n v="2358"/>
    <n v="20"/>
    <x v="2"/>
    <x v="7"/>
    <x v="3"/>
    <x v="350"/>
    <x v="380"/>
    <x v="0"/>
    <x v="0"/>
    <x v="42"/>
  </r>
  <r>
    <x v="258"/>
    <n v="5632"/>
    <n v="2358"/>
    <n v="20"/>
    <x v="2"/>
    <x v="7"/>
    <x v="3"/>
    <x v="351"/>
    <x v="381"/>
    <x v="5"/>
    <x v="14"/>
    <x v="9"/>
  </r>
  <r>
    <x v="259"/>
    <n v="7519"/>
    <n v="402"/>
    <n v="14"/>
    <x v="1"/>
    <x v="8"/>
    <x v="0"/>
    <x v="352"/>
    <x v="382"/>
    <x v="3"/>
    <x v="9"/>
    <x v="15"/>
  </r>
  <r>
    <x v="259"/>
    <n v="1564"/>
    <n v="674"/>
    <n v="13"/>
    <x v="0"/>
    <x v="0"/>
    <x v="1"/>
    <x v="352"/>
    <x v="382"/>
    <x v="3"/>
    <x v="9"/>
    <x v="15"/>
  </r>
  <r>
    <x v="260"/>
    <n v="2804"/>
    <n v="936"/>
    <n v="10"/>
    <x v="0"/>
    <x v="0"/>
    <x v="3"/>
    <x v="353"/>
    <x v="383"/>
    <x v="4"/>
    <x v="10"/>
    <x v="26"/>
  </r>
  <r>
    <x v="260"/>
    <n v="2804"/>
    <n v="936"/>
    <n v="10"/>
    <x v="0"/>
    <x v="0"/>
    <x v="3"/>
    <x v="354"/>
    <x v="384"/>
    <x v="0"/>
    <x v="16"/>
    <x v="11"/>
  </r>
  <r>
    <x v="260"/>
    <n v="2804"/>
    <n v="936"/>
    <n v="10"/>
    <x v="0"/>
    <x v="0"/>
    <x v="3"/>
    <x v="355"/>
    <x v="385"/>
    <x v="0"/>
    <x v="16"/>
    <x v="23"/>
  </r>
  <r>
    <x v="261"/>
    <n v="2321"/>
    <n v="505"/>
    <n v="6"/>
    <x v="2"/>
    <x v="5"/>
    <x v="2"/>
    <x v="356"/>
    <x v="386"/>
    <x v="1"/>
    <x v="6"/>
    <x v="15"/>
  </r>
  <r>
    <x v="262"/>
    <n v="5730"/>
    <n v="482"/>
    <n v="6"/>
    <x v="0"/>
    <x v="3"/>
    <x v="4"/>
    <x v="357"/>
    <x v="387"/>
    <x v="0"/>
    <x v="16"/>
    <x v="19"/>
  </r>
  <r>
    <x v="263"/>
    <n v="7441"/>
    <n v="867"/>
    <n v="12"/>
    <x v="2"/>
    <x v="7"/>
    <x v="4"/>
    <x v="179"/>
    <x v="388"/>
    <x v="1"/>
    <x v="1"/>
    <x v="35"/>
  </r>
  <r>
    <x v="263"/>
    <n v="7441"/>
    <n v="867"/>
    <n v="12"/>
    <x v="2"/>
    <x v="7"/>
    <x v="4"/>
    <x v="358"/>
    <x v="389"/>
    <x v="4"/>
    <x v="10"/>
    <x v="8"/>
  </r>
  <r>
    <x v="264"/>
    <n v="1732"/>
    <n v="766"/>
    <n v="7"/>
    <x v="1"/>
    <x v="9"/>
    <x v="0"/>
    <x v="78"/>
    <x v="390"/>
    <x v="2"/>
    <x v="5"/>
    <x v="14"/>
  </r>
  <r>
    <x v="264"/>
    <n v="8788"/>
    <n v="3944"/>
    <n v="19"/>
    <x v="1"/>
    <x v="8"/>
    <x v="2"/>
    <x v="78"/>
    <x v="390"/>
    <x v="2"/>
    <x v="5"/>
    <x v="14"/>
  </r>
  <r>
    <x v="265"/>
    <n v="838"/>
    <n v="271"/>
    <n v="11"/>
    <x v="1"/>
    <x v="6"/>
    <x v="2"/>
    <x v="359"/>
    <x v="391"/>
    <x v="5"/>
    <x v="12"/>
    <x v="49"/>
  </r>
  <r>
    <x v="265"/>
    <n v="838"/>
    <n v="271"/>
    <n v="11"/>
    <x v="1"/>
    <x v="6"/>
    <x v="2"/>
    <x v="360"/>
    <x v="392"/>
    <x v="1"/>
    <x v="17"/>
    <x v="26"/>
  </r>
  <r>
    <x v="265"/>
    <n v="3577"/>
    <n v="699"/>
    <n v="2"/>
    <x v="2"/>
    <x v="4"/>
    <x v="0"/>
    <x v="359"/>
    <x v="391"/>
    <x v="5"/>
    <x v="12"/>
    <x v="49"/>
  </r>
  <r>
    <x v="265"/>
    <n v="3577"/>
    <n v="699"/>
    <n v="2"/>
    <x v="2"/>
    <x v="4"/>
    <x v="0"/>
    <x v="360"/>
    <x v="392"/>
    <x v="1"/>
    <x v="17"/>
    <x v="26"/>
  </r>
  <r>
    <x v="266"/>
    <n v="7122"/>
    <n v="1836"/>
    <n v="6"/>
    <x v="0"/>
    <x v="10"/>
    <x v="1"/>
    <x v="361"/>
    <x v="393"/>
    <x v="4"/>
    <x v="8"/>
    <x v="44"/>
  </r>
  <r>
    <x v="266"/>
    <n v="7122"/>
    <n v="1836"/>
    <n v="6"/>
    <x v="0"/>
    <x v="10"/>
    <x v="1"/>
    <x v="362"/>
    <x v="394"/>
    <x v="4"/>
    <x v="15"/>
    <x v="45"/>
  </r>
  <r>
    <x v="266"/>
    <n v="7122"/>
    <n v="1836"/>
    <n v="6"/>
    <x v="0"/>
    <x v="10"/>
    <x v="1"/>
    <x v="363"/>
    <x v="395"/>
    <x v="2"/>
    <x v="5"/>
    <x v="17"/>
  </r>
  <r>
    <x v="266"/>
    <n v="7327"/>
    <n v="2596"/>
    <n v="15"/>
    <x v="1"/>
    <x v="6"/>
    <x v="3"/>
    <x v="361"/>
    <x v="393"/>
    <x v="4"/>
    <x v="8"/>
    <x v="44"/>
  </r>
  <r>
    <x v="266"/>
    <n v="7327"/>
    <n v="2596"/>
    <n v="15"/>
    <x v="1"/>
    <x v="6"/>
    <x v="3"/>
    <x v="362"/>
    <x v="394"/>
    <x v="4"/>
    <x v="15"/>
    <x v="45"/>
  </r>
  <r>
    <x v="266"/>
    <n v="7327"/>
    <n v="2596"/>
    <n v="15"/>
    <x v="1"/>
    <x v="6"/>
    <x v="3"/>
    <x v="363"/>
    <x v="395"/>
    <x v="2"/>
    <x v="5"/>
    <x v="17"/>
  </r>
  <r>
    <x v="267"/>
    <n v="2239"/>
    <n v="1094"/>
    <n v="18"/>
    <x v="0"/>
    <x v="1"/>
    <x v="4"/>
    <x v="364"/>
    <x v="396"/>
    <x v="0"/>
    <x v="16"/>
    <x v="41"/>
  </r>
  <r>
    <x v="267"/>
    <n v="4932"/>
    <n v="1153"/>
    <n v="1"/>
    <x v="1"/>
    <x v="6"/>
    <x v="4"/>
    <x v="364"/>
    <x v="396"/>
    <x v="0"/>
    <x v="16"/>
    <x v="41"/>
  </r>
  <r>
    <x v="268"/>
    <n v="4609"/>
    <n v="1084"/>
    <n v="8"/>
    <x v="0"/>
    <x v="1"/>
    <x v="0"/>
    <x v="365"/>
    <x v="397"/>
    <x v="0"/>
    <x v="3"/>
    <x v="17"/>
  </r>
  <r>
    <x v="268"/>
    <n v="2328"/>
    <n v="788"/>
    <n v="4"/>
    <x v="1"/>
    <x v="8"/>
    <x v="0"/>
    <x v="365"/>
    <x v="397"/>
    <x v="0"/>
    <x v="3"/>
    <x v="17"/>
  </r>
  <r>
    <x v="268"/>
    <n v="4734"/>
    <n v="958"/>
    <n v="7"/>
    <x v="0"/>
    <x v="1"/>
    <x v="1"/>
    <x v="365"/>
    <x v="397"/>
    <x v="0"/>
    <x v="3"/>
    <x v="17"/>
  </r>
  <r>
    <x v="269"/>
    <n v="1388"/>
    <n v="345"/>
    <n v="5"/>
    <x v="2"/>
    <x v="7"/>
    <x v="0"/>
    <x v="366"/>
    <x v="398"/>
    <x v="2"/>
    <x v="5"/>
    <x v="56"/>
  </r>
  <r>
    <x v="269"/>
    <n v="8555"/>
    <n v="1638"/>
    <n v="8"/>
    <x v="0"/>
    <x v="3"/>
    <x v="3"/>
    <x v="366"/>
    <x v="398"/>
    <x v="2"/>
    <x v="5"/>
    <x v="56"/>
  </r>
  <r>
    <x v="270"/>
    <n v="9024"/>
    <n v="730"/>
    <n v="4"/>
    <x v="2"/>
    <x v="4"/>
    <x v="3"/>
    <x v="367"/>
    <x v="399"/>
    <x v="4"/>
    <x v="8"/>
    <x v="42"/>
  </r>
  <r>
    <x v="270"/>
    <n v="2468"/>
    <n v="418"/>
    <n v="4"/>
    <x v="0"/>
    <x v="3"/>
    <x v="3"/>
    <x v="367"/>
    <x v="399"/>
    <x v="4"/>
    <x v="8"/>
    <x v="42"/>
  </r>
  <r>
    <x v="271"/>
    <n v="9438"/>
    <n v="1801"/>
    <n v="4"/>
    <x v="0"/>
    <x v="0"/>
    <x v="4"/>
    <x v="368"/>
    <x v="400"/>
    <x v="0"/>
    <x v="3"/>
    <x v="28"/>
  </r>
  <r>
    <x v="271"/>
    <n v="9438"/>
    <n v="1801"/>
    <n v="4"/>
    <x v="0"/>
    <x v="0"/>
    <x v="4"/>
    <x v="369"/>
    <x v="401"/>
    <x v="4"/>
    <x v="10"/>
    <x v="59"/>
  </r>
  <r>
    <x v="272"/>
    <n v="2685"/>
    <n v="379"/>
    <n v="18"/>
    <x v="0"/>
    <x v="10"/>
    <x v="0"/>
    <x v="370"/>
    <x v="402"/>
    <x v="5"/>
    <x v="14"/>
    <x v="25"/>
  </r>
  <r>
    <x v="272"/>
    <n v="2685"/>
    <n v="379"/>
    <n v="18"/>
    <x v="0"/>
    <x v="10"/>
    <x v="0"/>
    <x v="174"/>
    <x v="403"/>
    <x v="0"/>
    <x v="16"/>
    <x v="29"/>
  </r>
  <r>
    <x v="272"/>
    <n v="9916"/>
    <n v="4602"/>
    <n v="14"/>
    <x v="2"/>
    <x v="5"/>
    <x v="0"/>
    <x v="370"/>
    <x v="402"/>
    <x v="5"/>
    <x v="14"/>
    <x v="25"/>
  </r>
  <r>
    <x v="272"/>
    <n v="9916"/>
    <n v="4602"/>
    <n v="14"/>
    <x v="2"/>
    <x v="5"/>
    <x v="0"/>
    <x v="174"/>
    <x v="403"/>
    <x v="0"/>
    <x v="16"/>
    <x v="29"/>
  </r>
  <r>
    <x v="272"/>
    <n v="6184"/>
    <n v="50"/>
    <n v="14"/>
    <x v="0"/>
    <x v="0"/>
    <x v="3"/>
    <x v="370"/>
    <x v="402"/>
    <x v="5"/>
    <x v="14"/>
    <x v="25"/>
  </r>
  <r>
    <x v="272"/>
    <n v="6184"/>
    <n v="50"/>
    <n v="14"/>
    <x v="0"/>
    <x v="0"/>
    <x v="3"/>
    <x v="174"/>
    <x v="403"/>
    <x v="0"/>
    <x v="16"/>
    <x v="29"/>
  </r>
  <r>
    <x v="272"/>
    <n v="4548"/>
    <n v="2135"/>
    <n v="8"/>
    <x v="1"/>
    <x v="6"/>
    <x v="1"/>
    <x v="370"/>
    <x v="402"/>
    <x v="5"/>
    <x v="14"/>
    <x v="25"/>
  </r>
  <r>
    <x v="272"/>
    <n v="4548"/>
    <n v="2135"/>
    <n v="8"/>
    <x v="1"/>
    <x v="6"/>
    <x v="1"/>
    <x v="174"/>
    <x v="403"/>
    <x v="0"/>
    <x v="16"/>
    <x v="29"/>
  </r>
  <r>
    <x v="273"/>
    <n v="7195"/>
    <n v="1665"/>
    <n v="7"/>
    <x v="1"/>
    <x v="6"/>
    <x v="4"/>
    <x v="371"/>
    <x v="404"/>
    <x v="2"/>
    <x v="7"/>
    <x v="41"/>
  </r>
  <r>
    <x v="273"/>
    <n v="7195"/>
    <n v="1665"/>
    <n v="7"/>
    <x v="1"/>
    <x v="6"/>
    <x v="4"/>
    <x v="372"/>
    <x v="405"/>
    <x v="2"/>
    <x v="2"/>
    <x v="58"/>
  </r>
  <r>
    <x v="274"/>
    <n v="3098"/>
    <n v="957"/>
    <n v="18"/>
    <x v="2"/>
    <x v="11"/>
    <x v="4"/>
    <x v="373"/>
    <x v="406"/>
    <x v="4"/>
    <x v="10"/>
    <x v="41"/>
  </r>
  <r>
    <x v="275"/>
    <n v="5412"/>
    <n v="1192"/>
    <n v="18"/>
    <x v="2"/>
    <x v="4"/>
    <x v="3"/>
    <x v="374"/>
    <x v="407"/>
    <x v="3"/>
    <x v="9"/>
    <x v="42"/>
  </r>
  <r>
    <x v="275"/>
    <n v="5412"/>
    <n v="1192"/>
    <n v="18"/>
    <x v="2"/>
    <x v="4"/>
    <x v="3"/>
    <x v="375"/>
    <x v="408"/>
    <x v="3"/>
    <x v="4"/>
    <x v="52"/>
  </r>
  <r>
    <x v="276"/>
    <n v="1397"/>
    <n v="686"/>
    <n v="11"/>
    <x v="2"/>
    <x v="5"/>
    <x v="3"/>
    <x v="376"/>
    <x v="409"/>
    <x v="2"/>
    <x v="5"/>
    <x v="13"/>
  </r>
  <r>
    <x v="277"/>
    <n v="9279"/>
    <n v="552"/>
    <n v="14"/>
    <x v="2"/>
    <x v="5"/>
    <x v="2"/>
    <x v="377"/>
    <x v="410"/>
    <x v="2"/>
    <x v="2"/>
    <x v="13"/>
  </r>
  <r>
    <x v="277"/>
    <n v="9279"/>
    <n v="552"/>
    <n v="14"/>
    <x v="2"/>
    <x v="5"/>
    <x v="2"/>
    <x v="378"/>
    <x v="411"/>
    <x v="3"/>
    <x v="11"/>
    <x v="11"/>
  </r>
  <r>
    <x v="277"/>
    <n v="2596"/>
    <n v="1003"/>
    <n v="19"/>
    <x v="1"/>
    <x v="8"/>
    <x v="3"/>
    <x v="377"/>
    <x v="410"/>
    <x v="2"/>
    <x v="2"/>
    <x v="13"/>
  </r>
  <r>
    <x v="277"/>
    <n v="2596"/>
    <n v="1003"/>
    <n v="19"/>
    <x v="1"/>
    <x v="8"/>
    <x v="3"/>
    <x v="378"/>
    <x v="411"/>
    <x v="3"/>
    <x v="11"/>
    <x v="11"/>
  </r>
  <r>
    <x v="278"/>
    <n v="6732"/>
    <n v="911"/>
    <n v="19"/>
    <x v="2"/>
    <x v="11"/>
    <x v="2"/>
    <x v="379"/>
    <x v="412"/>
    <x v="2"/>
    <x v="2"/>
    <x v="13"/>
  </r>
  <r>
    <x v="278"/>
    <n v="4495"/>
    <n v="1408"/>
    <n v="14"/>
    <x v="1"/>
    <x v="2"/>
    <x v="2"/>
    <x v="379"/>
    <x v="412"/>
    <x v="2"/>
    <x v="2"/>
    <x v="13"/>
  </r>
  <r>
    <x v="279"/>
    <n v="9653"/>
    <n v="2471"/>
    <n v="6"/>
    <x v="1"/>
    <x v="8"/>
    <x v="0"/>
    <x v="380"/>
    <x v="413"/>
    <x v="2"/>
    <x v="2"/>
    <x v="41"/>
  </r>
  <r>
    <x v="280"/>
    <n v="8945"/>
    <n v="1728"/>
    <n v="10"/>
    <x v="2"/>
    <x v="4"/>
    <x v="0"/>
    <x v="381"/>
    <x v="414"/>
    <x v="1"/>
    <x v="17"/>
    <x v="51"/>
  </r>
  <r>
    <x v="281"/>
    <n v="4007"/>
    <n v="201"/>
    <n v="13"/>
    <x v="2"/>
    <x v="11"/>
    <x v="4"/>
    <x v="299"/>
    <x v="415"/>
    <x v="5"/>
    <x v="12"/>
    <x v="20"/>
  </r>
  <r>
    <x v="281"/>
    <n v="4007"/>
    <n v="201"/>
    <n v="13"/>
    <x v="2"/>
    <x v="11"/>
    <x v="4"/>
    <x v="103"/>
    <x v="416"/>
    <x v="4"/>
    <x v="8"/>
    <x v="28"/>
  </r>
  <r>
    <x v="282"/>
    <n v="810"/>
    <n v="231"/>
    <n v="18"/>
    <x v="2"/>
    <x v="11"/>
    <x v="2"/>
    <x v="299"/>
    <x v="417"/>
    <x v="0"/>
    <x v="16"/>
    <x v="20"/>
  </r>
  <r>
    <x v="283"/>
    <n v="9789"/>
    <n v="2071"/>
    <n v="18"/>
    <x v="2"/>
    <x v="11"/>
    <x v="1"/>
    <x v="382"/>
    <x v="418"/>
    <x v="2"/>
    <x v="7"/>
    <x v="16"/>
  </r>
  <r>
    <x v="283"/>
    <n v="9229"/>
    <n v="4090"/>
    <n v="8"/>
    <x v="0"/>
    <x v="0"/>
    <x v="4"/>
    <x v="382"/>
    <x v="418"/>
    <x v="2"/>
    <x v="7"/>
    <x v="16"/>
  </r>
  <r>
    <x v="284"/>
    <n v="8141"/>
    <n v="3968"/>
    <n v="18"/>
    <x v="1"/>
    <x v="6"/>
    <x v="1"/>
    <x v="56"/>
    <x v="419"/>
    <x v="2"/>
    <x v="7"/>
    <x v="29"/>
  </r>
  <r>
    <x v="284"/>
    <n v="8141"/>
    <n v="3968"/>
    <n v="18"/>
    <x v="1"/>
    <x v="6"/>
    <x v="1"/>
    <x v="383"/>
    <x v="420"/>
    <x v="1"/>
    <x v="17"/>
    <x v="40"/>
  </r>
  <r>
    <x v="284"/>
    <n v="1067"/>
    <n v="251"/>
    <n v="14"/>
    <x v="2"/>
    <x v="7"/>
    <x v="2"/>
    <x v="56"/>
    <x v="419"/>
    <x v="2"/>
    <x v="7"/>
    <x v="29"/>
  </r>
  <r>
    <x v="284"/>
    <n v="1067"/>
    <n v="251"/>
    <n v="14"/>
    <x v="2"/>
    <x v="7"/>
    <x v="2"/>
    <x v="383"/>
    <x v="420"/>
    <x v="1"/>
    <x v="17"/>
    <x v="40"/>
  </r>
  <r>
    <x v="285"/>
    <n v="3839"/>
    <n v="1415"/>
    <n v="10"/>
    <x v="1"/>
    <x v="9"/>
    <x v="0"/>
    <x v="384"/>
    <x v="421"/>
    <x v="3"/>
    <x v="4"/>
    <x v="59"/>
  </r>
  <r>
    <x v="285"/>
    <n v="3839"/>
    <n v="1415"/>
    <n v="10"/>
    <x v="1"/>
    <x v="9"/>
    <x v="0"/>
    <x v="360"/>
    <x v="422"/>
    <x v="0"/>
    <x v="3"/>
    <x v="26"/>
  </r>
  <r>
    <x v="286"/>
    <n v="2858"/>
    <n v="482"/>
    <n v="13"/>
    <x v="0"/>
    <x v="0"/>
    <x v="4"/>
    <x v="385"/>
    <x v="423"/>
    <x v="4"/>
    <x v="10"/>
    <x v="3"/>
  </r>
  <r>
    <x v="287"/>
    <n v="2137"/>
    <n v="638"/>
    <n v="12"/>
    <x v="2"/>
    <x v="11"/>
    <x v="1"/>
    <x v="218"/>
    <x v="424"/>
    <x v="2"/>
    <x v="5"/>
    <x v="20"/>
  </r>
  <r>
    <x v="287"/>
    <n v="2831"/>
    <n v="1289"/>
    <n v="12"/>
    <x v="2"/>
    <x v="5"/>
    <x v="1"/>
    <x v="218"/>
    <x v="424"/>
    <x v="2"/>
    <x v="5"/>
    <x v="20"/>
  </r>
  <r>
    <x v="288"/>
    <n v="3913"/>
    <n v="961"/>
    <n v="15"/>
    <x v="2"/>
    <x v="7"/>
    <x v="0"/>
    <x v="386"/>
    <x v="425"/>
    <x v="5"/>
    <x v="12"/>
    <x v="42"/>
  </r>
  <r>
    <x v="288"/>
    <n v="3913"/>
    <n v="961"/>
    <n v="15"/>
    <x v="2"/>
    <x v="7"/>
    <x v="0"/>
    <x v="387"/>
    <x v="426"/>
    <x v="3"/>
    <x v="11"/>
    <x v="51"/>
  </r>
  <r>
    <x v="289"/>
    <n v="4468"/>
    <n v="1940"/>
    <n v="9"/>
    <x v="1"/>
    <x v="8"/>
    <x v="4"/>
    <x v="388"/>
    <x v="427"/>
    <x v="0"/>
    <x v="16"/>
    <x v="25"/>
  </r>
  <r>
    <x v="290"/>
    <n v="1579"/>
    <n v="602"/>
    <n v="9"/>
    <x v="0"/>
    <x v="3"/>
    <x v="3"/>
    <x v="389"/>
    <x v="428"/>
    <x v="5"/>
    <x v="13"/>
    <x v="8"/>
  </r>
  <r>
    <x v="290"/>
    <n v="1579"/>
    <n v="602"/>
    <n v="9"/>
    <x v="0"/>
    <x v="3"/>
    <x v="3"/>
    <x v="390"/>
    <x v="429"/>
    <x v="4"/>
    <x v="8"/>
    <x v="9"/>
  </r>
  <r>
    <x v="290"/>
    <n v="1579"/>
    <n v="602"/>
    <n v="9"/>
    <x v="0"/>
    <x v="3"/>
    <x v="3"/>
    <x v="84"/>
    <x v="430"/>
    <x v="5"/>
    <x v="13"/>
    <x v="35"/>
  </r>
  <r>
    <x v="290"/>
    <n v="1579"/>
    <n v="602"/>
    <n v="9"/>
    <x v="0"/>
    <x v="3"/>
    <x v="3"/>
    <x v="391"/>
    <x v="431"/>
    <x v="2"/>
    <x v="7"/>
    <x v="31"/>
  </r>
  <r>
    <x v="290"/>
    <n v="3760"/>
    <n v="1849"/>
    <n v="19"/>
    <x v="2"/>
    <x v="5"/>
    <x v="2"/>
    <x v="389"/>
    <x v="428"/>
    <x v="5"/>
    <x v="13"/>
    <x v="8"/>
  </r>
  <r>
    <x v="290"/>
    <n v="3760"/>
    <n v="1849"/>
    <n v="19"/>
    <x v="2"/>
    <x v="5"/>
    <x v="2"/>
    <x v="390"/>
    <x v="429"/>
    <x v="4"/>
    <x v="8"/>
    <x v="9"/>
  </r>
  <r>
    <x v="290"/>
    <n v="3760"/>
    <n v="1849"/>
    <n v="19"/>
    <x v="2"/>
    <x v="5"/>
    <x v="2"/>
    <x v="84"/>
    <x v="430"/>
    <x v="5"/>
    <x v="13"/>
    <x v="35"/>
  </r>
  <r>
    <x v="290"/>
    <n v="3760"/>
    <n v="1849"/>
    <n v="19"/>
    <x v="2"/>
    <x v="5"/>
    <x v="2"/>
    <x v="391"/>
    <x v="431"/>
    <x v="2"/>
    <x v="7"/>
    <x v="31"/>
  </r>
  <r>
    <x v="291"/>
    <n v="8706"/>
    <n v="3099"/>
    <n v="14"/>
    <x v="1"/>
    <x v="2"/>
    <x v="3"/>
    <x v="392"/>
    <x v="432"/>
    <x v="1"/>
    <x v="1"/>
    <x v="33"/>
  </r>
  <r>
    <x v="291"/>
    <n v="4708"/>
    <n v="696"/>
    <n v="14"/>
    <x v="0"/>
    <x v="0"/>
    <x v="3"/>
    <x v="392"/>
    <x v="432"/>
    <x v="1"/>
    <x v="1"/>
    <x v="33"/>
  </r>
  <r>
    <x v="291"/>
    <n v="8089"/>
    <n v="3132"/>
    <n v="17"/>
    <x v="2"/>
    <x v="5"/>
    <x v="4"/>
    <x v="392"/>
    <x v="432"/>
    <x v="1"/>
    <x v="1"/>
    <x v="33"/>
  </r>
  <r>
    <x v="292"/>
    <n v="5462"/>
    <n v="673"/>
    <n v="12"/>
    <x v="0"/>
    <x v="1"/>
    <x v="1"/>
    <x v="393"/>
    <x v="433"/>
    <x v="4"/>
    <x v="10"/>
    <x v="5"/>
  </r>
  <r>
    <x v="293"/>
    <n v="6392"/>
    <n v="444"/>
    <n v="18"/>
    <x v="0"/>
    <x v="0"/>
    <x v="3"/>
    <x v="394"/>
    <x v="434"/>
    <x v="0"/>
    <x v="16"/>
    <x v="6"/>
  </r>
  <r>
    <x v="294"/>
    <n v="8706"/>
    <n v="1724"/>
    <n v="3"/>
    <x v="0"/>
    <x v="0"/>
    <x v="1"/>
    <x v="395"/>
    <x v="435"/>
    <x v="0"/>
    <x v="3"/>
    <x v="32"/>
  </r>
  <r>
    <x v="295"/>
    <n v="2349"/>
    <n v="319"/>
    <n v="4"/>
    <x v="1"/>
    <x v="2"/>
    <x v="0"/>
    <x v="138"/>
    <x v="436"/>
    <x v="0"/>
    <x v="0"/>
    <x v="12"/>
  </r>
  <r>
    <x v="295"/>
    <n v="8220"/>
    <n v="3882"/>
    <n v="14"/>
    <x v="2"/>
    <x v="5"/>
    <x v="0"/>
    <x v="138"/>
    <x v="436"/>
    <x v="0"/>
    <x v="0"/>
    <x v="12"/>
  </r>
  <r>
    <x v="295"/>
    <n v="2379"/>
    <n v="279"/>
    <n v="7"/>
    <x v="2"/>
    <x v="5"/>
    <x v="1"/>
    <x v="138"/>
    <x v="436"/>
    <x v="0"/>
    <x v="0"/>
    <x v="12"/>
  </r>
  <r>
    <x v="295"/>
    <n v="7377"/>
    <n v="2049"/>
    <n v="4"/>
    <x v="1"/>
    <x v="6"/>
    <x v="0"/>
    <x v="138"/>
    <x v="436"/>
    <x v="0"/>
    <x v="0"/>
    <x v="12"/>
  </r>
  <r>
    <x v="296"/>
    <n v="717"/>
    <n v="158"/>
    <n v="16"/>
    <x v="2"/>
    <x v="4"/>
    <x v="3"/>
    <x v="396"/>
    <x v="437"/>
    <x v="5"/>
    <x v="14"/>
    <x v="25"/>
  </r>
  <r>
    <x v="296"/>
    <n v="717"/>
    <n v="158"/>
    <n v="16"/>
    <x v="2"/>
    <x v="4"/>
    <x v="3"/>
    <x v="397"/>
    <x v="438"/>
    <x v="0"/>
    <x v="0"/>
    <x v="53"/>
  </r>
  <r>
    <x v="296"/>
    <n v="717"/>
    <n v="158"/>
    <n v="16"/>
    <x v="2"/>
    <x v="4"/>
    <x v="3"/>
    <x v="56"/>
    <x v="439"/>
    <x v="2"/>
    <x v="2"/>
    <x v="29"/>
  </r>
  <r>
    <x v="296"/>
    <n v="717"/>
    <n v="158"/>
    <n v="16"/>
    <x v="2"/>
    <x v="4"/>
    <x v="3"/>
    <x v="398"/>
    <x v="440"/>
    <x v="2"/>
    <x v="5"/>
    <x v="46"/>
  </r>
  <r>
    <x v="296"/>
    <n v="717"/>
    <n v="158"/>
    <n v="16"/>
    <x v="2"/>
    <x v="4"/>
    <x v="3"/>
    <x v="399"/>
    <x v="441"/>
    <x v="0"/>
    <x v="3"/>
    <x v="11"/>
  </r>
  <r>
    <x v="296"/>
    <n v="717"/>
    <n v="158"/>
    <n v="16"/>
    <x v="2"/>
    <x v="4"/>
    <x v="3"/>
    <x v="400"/>
    <x v="442"/>
    <x v="2"/>
    <x v="7"/>
    <x v="59"/>
  </r>
  <r>
    <x v="296"/>
    <n v="508"/>
    <n v="177"/>
    <n v="17"/>
    <x v="2"/>
    <x v="7"/>
    <x v="0"/>
    <x v="396"/>
    <x v="437"/>
    <x v="5"/>
    <x v="14"/>
    <x v="25"/>
  </r>
  <r>
    <x v="296"/>
    <n v="508"/>
    <n v="177"/>
    <n v="17"/>
    <x v="2"/>
    <x v="7"/>
    <x v="0"/>
    <x v="397"/>
    <x v="438"/>
    <x v="0"/>
    <x v="0"/>
    <x v="53"/>
  </r>
  <r>
    <x v="296"/>
    <n v="508"/>
    <n v="177"/>
    <n v="17"/>
    <x v="2"/>
    <x v="7"/>
    <x v="0"/>
    <x v="56"/>
    <x v="439"/>
    <x v="2"/>
    <x v="2"/>
    <x v="29"/>
  </r>
  <r>
    <x v="296"/>
    <n v="508"/>
    <n v="177"/>
    <n v="17"/>
    <x v="2"/>
    <x v="7"/>
    <x v="0"/>
    <x v="398"/>
    <x v="440"/>
    <x v="2"/>
    <x v="5"/>
    <x v="46"/>
  </r>
  <r>
    <x v="296"/>
    <n v="508"/>
    <n v="177"/>
    <n v="17"/>
    <x v="2"/>
    <x v="7"/>
    <x v="0"/>
    <x v="399"/>
    <x v="441"/>
    <x v="0"/>
    <x v="3"/>
    <x v="11"/>
  </r>
  <r>
    <x v="296"/>
    <n v="508"/>
    <n v="177"/>
    <n v="17"/>
    <x v="2"/>
    <x v="7"/>
    <x v="0"/>
    <x v="400"/>
    <x v="442"/>
    <x v="2"/>
    <x v="7"/>
    <x v="59"/>
  </r>
  <r>
    <x v="297"/>
    <n v="9382"/>
    <n v="1085"/>
    <n v="3"/>
    <x v="0"/>
    <x v="1"/>
    <x v="1"/>
    <x v="401"/>
    <x v="443"/>
    <x v="1"/>
    <x v="1"/>
    <x v="17"/>
  </r>
  <r>
    <x v="297"/>
    <n v="9382"/>
    <n v="1085"/>
    <n v="3"/>
    <x v="0"/>
    <x v="1"/>
    <x v="1"/>
    <x v="52"/>
    <x v="444"/>
    <x v="2"/>
    <x v="7"/>
    <x v="37"/>
  </r>
  <r>
    <x v="297"/>
    <n v="4936"/>
    <n v="576"/>
    <n v="19"/>
    <x v="2"/>
    <x v="4"/>
    <x v="4"/>
    <x v="401"/>
    <x v="443"/>
    <x v="1"/>
    <x v="1"/>
    <x v="17"/>
  </r>
  <r>
    <x v="297"/>
    <n v="4936"/>
    <n v="576"/>
    <n v="19"/>
    <x v="2"/>
    <x v="4"/>
    <x v="4"/>
    <x v="52"/>
    <x v="444"/>
    <x v="2"/>
    <x v="7"/>
    <x v="37"/>
  </r>
  <r>
    <x v="298"/>
    <n v="2663"/>
    <n v="64"/>
    <n v="19"/>
    <x v="2"/>
    <x v="7"/>
    <x v="4"/>
    <x v="194"/>
    <x v="445"/>
    <x v="3"/>
    <x v="11"/>
    <x v="47"/>
  </r>
  <r>
    <x v="298"/>
    <n v="2663"/>
    <n v="64"/>
    <n v="19"/>
    <x v="2"/>
    <x v="7"/>
    <x v="4"/>
    <x v="204"/>
    <x v="446"/>
    <x v="5"/>
    <x v="14"/>
    <x v="4"/>
  </r>
  <r>
    <x v="299"/>
    <n v="5151"/>
    <n v="1680"/>
    <n v="5"/>
    <x v="0"/>
    <x v="1"/>
    <x v="2"/>
    <x v="402"/>
    <x v="447"/>
    <x v="4"/>
    <x v="15"/>
    <x v="15"/>
  </r>
  <r>
    <x v="300"/>
    <n v="2514"/>
    <n v="95"/>
    <n v="8"/>
    <x v="1"/>
    <x v="2"/>
    <x v="0"/>
    <x v="403"/>
    <x v="448"/>
    <x v="2"/>
    <x v="7"/>
    <x v="17"/>
  </r>
  <r>
    <x v="301"/>
    <n v="6129"/>
    <n v="2976"/>
    <n v="2"/>
    <x v="0"/>
    <x v="3"/>
    <x v="2"/>
    <x v="404"/>
    <x v="449"/>
    <x v="2"/>
    <x v="5"/>
    <x v="9"/>
  </r>
  <r>
    <x v="301"/>
    <n v="4395"/>
    <n v="1663"/>
    <n v="3"/>
    <x v="2"/>
    <x v="11"/>
    <x v="4"/>
    <x v="404"/>
    <x v="449"/>
    <x v="2"/>
    <x v="5"/>
    <x v="9"/>
  </r>
  <r>
    <x v="302"/>
    <n v="5393"/>
    <n v="2642"/>
    <n v="8"/>
    <x v="2"/>
    <x v="5"/>
    <x v="0"/>
    <x v="405"/>
    <x v="450"/>
    <x v="5"/>
    <x v="13"/>
    <x v="34"/>
  </r>
  <r>
    <x v="303"/>
    <n v="2280"/>
    <n v="509"/>
    <n v="8"/>
    <x v="0"/>
    <x v="10"/>
    <x v="3"/>
    <x v="125"/>
    <x v="451"/>
    <x v="2"/>
    <x v="2"/>
    <x v="49"/>
  </r>
  <r>
    <x v="304"/>
    <n v="6596"/>
    <n v="1439"/>
    <n v="9"/>
    <x v="1"/>
    <x v="8"/>
    <x v="1"/>
    <x v="355"/>
    <x v="452"/>
    <x v="5"/>
    <x v="13"/>
    <x v="23"/>
  </r>
  <r>
    <x v="305"/>
    <n v="4510"/>
    <n v="1896"/>
    <n v="5"/>
    <x v="1"/>
    <x v="8"/>
    <x v="2"/>
    <x v="406"/>
    <x v="453"/>
    <x v="3"/>
    <x v="4"/>
    <x v="59"/>
  </r>
  <r>
    <x v="306"/>
    <n v="6077"/>
    <n v="2378"/>
    <n v="18"/>
    <x v="0"/>
    <x v="10"/>
    <x v="4"/>
    <x v="232"/>
    <x v="454"/>
    <x v="2"/>
    <x v="5"/>
    <x v="40"/>
  </r>
  <r>
    <x v="307"/>
    <n v="5379"/>
    <n v="2510"/>
    <n v="17"/>
    <x v="0"/>
    <x v="1"/>
    <x v="4"/>
    <x v="211"/>
    <x v="455"/>
    <x v="5"/>
    <x v="12"/>
    <x v="39"/>
  </r>
  <r>
    <x v="308"/>
    <n v="4629"/>
    <n v="1660"/>
    <n v="16"/>
    <x v="1"/>
    <x v="6"/>
    <x v="2"/>
    <x v="407"/>
    <x v="456"/>
    <x v="3"/>
    <x v="9"/>
    <x v="28"/>
  </r>
  <r>
    <x v="309"/>
    <n v="2710"/>
    <n v="555"/>
    <n v="20"/>
    <x v="0"/>
    <x v="3"/>
    <x v="1"/>
    <x v="408"/>
    <x v="457"/>
    <x v="1"/>
    <x v="1"/>
    <x v="56"/>
  </r>
  <r>
    <x v="309"/>
    <n v="3224"/>
    <n v="1018"/>
    <n v="14"/>
    <x v="1"/>
    <x v="9"/>
    <x v="0"/>
    <x v="408"/>
    <x v="457"/>
    <x v="1"/>
    <x v="1"/>
    <x v="56"/>
  </r>
  <r>
    <x v="310"/>
    <n v="8042"/>
    <n v="936"/>
    <n v="15"/>
    <x v="1"/>
    <x v="6"/>
    <x v="2"/>
    <x v="409"/>
    <x v="458"/>
    <x v="1"/>
    <x v="6"/>
    <x v="2"/>
  </r>
  <r>
    <x v="310"/>
    <n v="8042"/>
    <n v="936"/>
    <n v="15"/>
    <x v="1"/>
    <x v="6"/>
    <x v="2"/>
    <x v="410"/>
    <x v="459"/>
    <x v="3"/>
    <x v="4"/>
    <x v="39"/>
  </r>
  <r>
    <x v="311"/>
    <n v="3957"/>
    <n v="151"/>
    <n v="10"/>
    <x v="1"/>
    <x v="9"/>
    <x v="2"/>
    <x v="411"/>
    <x v="460"/>
    <x v="4"/>
    <x v="10"/>
    <x v="39"/>
  </r>
  <r>
    <x v="312"/>
    <n v="8769"/>
    <n v="3178"/>
    <n v="16"/>
    <x v="1"/>
    <x v="6"/>
    <x v="1"/>
    <x v="412"/>
    <x v="461"/>
    <x v="1"/>
    <x v="1"/>
    <x v="54"/>
  </r>
  <r>
    <x v="313"/>
    <n v="2957"/>
    <n v="917"/>
    <n v="16"/>
    <x v="1"/>
    <x v="2"/>
    <x v="1"/>
    <x v="413"/>
    <x v="462"/>
    <x v="1"/>
    <x v="1"/>
    <x v="46"/>
  </r>
  <r>
    <x v="314"/>
    <n v="5344"/>
    <n v="2607"/>
    <n v="6"/>
    <x v="1"/>
    <x v="8"/>
    <x v="1"/>
    <x v="414"/>
    <x v="463"/>
    <x v="4"/>
    <x v="8"/>
    <x v="39"/>
  </r>
  <r>
    <x v="314"/>
    <n v="5344"/>
    <n v="2607"/>
    <n v="6"/>
    <x v="1"/>
    <x v="8"/>
    <x v="1"/>
    <x v="415"/>
    <x v="464"/>
    <x v="2"/>
    <x v="7"/>
    <x v="9"/>
  </r>
  <r>
    <x v="315"/>
    <n v="6061"/>
    <n v="2121"/>
    <n v="19"/>
    <x v="0"/>
    <x v="3"/>
    <x v="2"/>
    <x v="416"/>
    <x v="465"/>
    <x v="5"/>
    <x v="14"/>
    <x v="18"/>
  </r>
  <r>
    <x v="315"/>
    <n v="6061"/>
    <n v="2121"/>
    <n v="19"/>
    <x v="0"/>
    <x v="3"/>
    <x v="2"/>
    <x v="417"/>
    <x v="466"/>
    <x v="3"/>
    <x v="9"/>
    <x v="12"/>
  </r>
  <r>
    <x v="316"/>
    <n v="5376"/>
    <n v="1928"/>
    <n v="7"/>
    <x v="2"/>
    <x v="4"/>
    <x v="3"/>
    <x v="418"/>
    <x v="467"/>
    <x v="2"/>
    <x v="5"/>
    <x v="52"/>
  </r>
  <r>
    <x v="317"/>
    <n v="2792"/>
    <n v="1008"/>
    <n v="8"/>
    <x v="0"/>
    <x v="1"/>
    <x v="4"/>
    <x v="419"/>
    <x v="468"/>
    <x v="0"/>
    <x v="0"/>
    <x v="51"/>
  </r>
  <r>
    <x v="318"/>
    <n v="2944"/>
    <n v="249"/>
    <n v="5"/>
    <x v="1"/>
    <x v="9"/>
    <x v="3"/>
    <x v="420"/>
    <x v="469"/>
    <x v="5"/>
    <x v="12"/>
    <x v="19"/>
  </r>
  <r>
    <x v="318"/>
    <n v="2944"/>
    <n v="249"/>
    <n v="5"/>
    <x v="1"/>
    <x v="9"/>
    <x v="3"/>
    <x v="421"/>
    <x v="470"/>
    <x v="4"/>
    <x v="8"/>
    <x v="29"/>
  </r>
  <r>
    <x v="319"/>
    <n v="4220"/>
    <n v="945"/>
    <n v="13"/>
    <x v="1"/>
    <x v="6"/>
    <x v="2"/>
    <x v="422"/>
    <x v="471"/>
    <x v="1"/>
    <x v="6"/>
    <x v="55"/>
  </r>
  <r>
    <x v="319"/>
    <n v="4220"/>
    <n v="945"/>
    <n v="13"/>
    <x v="1"/>
    <x v="6"/>
    <x v="2"/>
    <x v="295"/>
    <x v="472"/>
    <x v="1"/>
    <x v="17"/>
    <x v="50"/>
  </r>
  <r>
    <x v="320"/>
    <n v="8526"/>
    <n v="1704"/>
    <n v="4"/>
    <x v="1"/>
    <x v="9"/>
    <x v="1"/>
    <x v="150"/>
    <x v="473"/>
    <x v="4"/>
    <x v="10"/>
    <x v="45"/>
  </r>
  <r>
    <x v="321"/>
    <n v="8218"/>
    <n v="1430"/>
    <n v="19"/>
    <x v="2"/>
    <x v="11"/>
    <x v="3"/>
    <x v="123"/>
    <x v="474"/>
    <x v="3"/>
    <x v="11"/>
    <x v="0"/>
  </r>
  <r>
    <x v="322"/>
    <n v="599"/>
    <n v="265"/>
    <n v="4"/>
    <x v="0"/>
    <x v="10"/>
    <x v="3"/>
    <x v="423"/>
    <x v="475"/>
    <x v="2"/>
    <x v="2"/>
    <x v="58"/>
  </r>
  <r>
    <x v="322"/>
    <n v="599"/>
    <n v="265"/>
    <n v="4"/>
    <x v="0"/>
    <x v="10"/>
    <x v="3"/>
    <x v="424"/>
    <x v="476"/>
    <x v="2"/>
    <x v="7"/>
    <x v="1"/>
  </r>
  <r>
    <x v="322"/>
    <n v="2727"/>
    <n v="543"/>
    <n v="10"/>
    <x v="2"/>
    <x v="11"/>
    <x v="3"/>
    <x v="423"/>
    <x v="475"/>
    <x v="2"/>
    <x v="2"/>
    <x v="58"/>
  </r>
  <r>
    <x v="322"/>
    <n v="2727"/>
    <n v="543"/>
    <n v="10"/>
    <x v="2"/>
    <x v="11"/>
    <x v="3"/>
    <x v="424"/>
    <x v="476"/>
    <x v="2"/>
    <x v="7"/>
    <x v="1"/>
  </r>
  <r>
    <x v="323"/>
    <n v="2589"/>
    <n v="605"/>
    <n v="11"/>
    <x v="1"/>
    <x v="2"/>
    <x v="2"/>
    <x v="425"/>
    <x v="477"/>
    <x v="3"/>
    <x v="11"/>
    <x v="6"/>
  </r>
  <r>
    <x v="323"/>
    <n v="2589"/>
    <n v="605"/>
    <n v="11"/>
    <x v="1"/>
    <x v="2"/>
    <x v="2"/>
    <x v="366"/>
    <x v="478"/>
    <x v="5"/>
    <x v="14"/>
    <x v="56"/>
  </r>
  <r>
    <x v="324"/>
    <n v="3776"/>
    <n v="1100"/>
    <n v="9"/>
    <x v="0"/>
    <x v="0"/>
    <x v="2"/>
    <x v="426"/>
    <x v="479"/>
    <x v="4"/>
    <x v="10"/>
    <x v="5"/>
  </r>
  <r>
    <x v="324"/>
    <n v="3776"/>
    <n v="1100"/>
    <n v="9"/>
    <x v="0"/>
    <x v="0"/>
    <x v="2"/>
    <x v="427"/>
    <x v="480"/>
    <x v="1"/>
    <x v="17"/>
    <x v="29"/>
  </r>
  <r>
    <x v="325"/>
    <n v="5402"/>
    <n v="1666"/>
    <n v="12"/>
    <x v="2"/>
    <x v="11"/>
    <x v="2"/>
    <x v="428"/>
    <x v="481"/>
    <x v="5"/>
    <x v="14"/>
    <x v="9"/>
  </r>
  <r>
    <x v="326"/>
    <n v="5165"/>
    <n v="885"/>
    <n v="16"/>
    <x v="1"/>
    <x v="2"/>
    <x v="2"/>
    <x v="429"/>
    <x v="482"/>
    <x v="1"/>
    <x v="17"/>
    <x v="5"/>
  </r>
  <r>
    <x v="326"/>
    <n v="4863"/>
    <n v="2394"/>
    <n v="4"/>
    <x v="2"/>
    <x v="11"/>
    <x v="2"/>
    <x v="429"/>
    <x v="482"/>
    <x v="1"/>
    <x v="17"/>
    <x v="5"/>
  </r>
  <r>
    <x v="327"/>
    <n v="1626"/>
    <n v="258"/>
    <n v="15"/>
    <x v="1"/>
    <x v="2"/>
    <x v="2"/>
    <x v="430"/>
    <x v="483"/>
    <x v="0"/>
    <x v="3"/>
    <x v="22"/>
  </r>
  <r>
    <x v="328"/>
    <n v="8851"/>
    <n v="3962"/>
    <n v="7"/>
    <x v="2"/>
    <x v="4"/>
    <x v="2"/>
    <x v="161"/>
    <x v="484"/>
    <x v="0"/>
    <x v="0"/>
    <x v="57"/>
  </r>
  <r>
    <x v="329"/>
    <n v="9680"/>
    <n v="3295"/>
    <n v="9"/>
    <x v="2"/>
    <x v="4"/>
    <x v="4"/>
    <x v="81"/>
    <x v="485"/>
    <x v="2"/>
    <x v="7"/>
    <x v="44"/>
  </r>
  <r>
    <x v="329"/>
    <n v="8468"/>
    <n v="3666"/>
    <n v="8"/>
    <x v="1"/>
    <x v="2"/>
    <x v="0"/>
    <x v="81"/>
    <x v="485"/>
    <x v="2"/>
    <x v="7"/>
    <x v="44"/>
  </r>
  <r>
    <x v="329"/>
    <n v="4441"/>
    <n v="314"/>
    <n v="14"/>
    <x v="2"/>
    <x v="5"/>
    <x v="1"/>
    <x v="81"/>
    <x v="485"/>
    <x v="2"/>
    <x v="7"/>
    <x v="44"/>
  </r>
  <r>
    <x v="330"/>
    <n v="6622"/>
    <n v="2673"/>
    <n v="8"/>
    <x v="2"/>
    <x v="7"/>
    <x v="4"/>
    <x v="431"/>
    <x v="486"/>
    <x v="2"/>
    <x v="5"/>
    <x v="44"/>
  </r>
  <r>
    <x v="331"/>
    <n v="3260"/>
    <n v="207"/>
    <n v="17"/>
    <x v="2"/>
    <x v="4"/>
    <x v="0"/>
    <x v="432"/>
    <x v="487"/>
    <x v="3"/>
    <x v="9"/>
    <x v="16"/>
  </r>
  <r>
    <x v="332"/>
    <n v="8709"/>
    <n v="2322"/>
    <n v="8"/>
    <x v="2"/>
    <x v="4"/>
    <x v="1"/>
    <x v="336"/>
    <x v="488"/>
    <x v="4"/>
    <x v="10"/>
    <x v="3"/>
  </r>
  <r>
    <x v="332"/>
    <n v="8709"/>
    <n v="2322"/>
    <n v="8"/>
    <x v="2"/>
    <x v="4"/>
    <x v="1"/>
    <x v="433"/>
    <x v="489"/>
    <x v="3"/>
    <x v="11"/>
    <x v="46"/>
  </r>
  <r>
    <x v="333"/>
    <n v="5250"/>
    <n v="187"/>
    <n v="1"/>
    <x v="1"/>
    <x v="9"/>
    <x v="4"/>
    <x v="434"/>
    <x v="490"/>
    <x v="5"/>
    <x v="13"/>
    <x v="25"/>
  </r>
  <r>
    <x v="333"/>
    <n v="5250"/>
    <n v="187"/>
    <n v="1"/>
    <x v="1"/>
    <x v="9"/>
    <x v="4"/>
    <x v="435"/>
    <x v="491"/>
    <x v="4"/>
    <x v="15"/>
    <x v="23"/>
  </r>
  <r>
    <x v="334"/>
    <n v="4116"/>
    <n v="921"/>
    <n v="20"/>
    <x v="1"/>
    <x v="8"/>
    <x v="0"/>
    <x v="436"/>
    <x v="492"/>
    <x v="3"/>
    <x v="4"/>
    <x v="56"/>
  </r>
  <r>
    <x v="334"/>
    <n v="4116"/>
    <n v="921"/>
    <n v="20"/>
    <x v="1"/>
    <x v="8"/>
    <x v="0"/>
    <x v="437"/>
    <x v="493"/>
    <x v="1"/>
    <x v="6"/>
    <x v="57"/>
  </r>
  <r>
    <x v="335"/>
    <n v="1109"/>
    <n v="418"/>
    <n v="15"/>
    <x v="1"/>
    <x v="8"/>
    <x v="0"/>
    <x v="438"/>
    <x v="494"/>
    <x v="3"/>
    <x v="4"/>
    <x v="36"/>
  </r>
  <r>
    <x v="336"/>
    <n v="3573"/>
    <n v="562"/>
    <n v="7"/>
    <x v="1"/>
    <x v="2"/>
    <x v="2"/>
    <x v="352"/>
    <x v="201"/>
    <x v="2"/>
    <x v="7"/>
    <x v="15"/>
  </r>
  <r>
    <x v="336"/>
    <n v="3573"/>
    <n v="562"/>
    <n v="7"/>
    <x v="1"/>
    <x v="2"/>
    <x v="2"/>
    <x v="439"/>
    <x v="495"/>
    <x v="3"/>
    <x v="9"/>
    <x v="8"/>
  </r>
  <r>
    <x v="336"/>
    <n v="3573"/>
    <n v="562"/>
    <n v="7"/>
    <x v="1"/>
    <x v="2"/>
    <x v="2"/>
    <x v="440"/>
    <x v="496"/>
    <x v="0"/>
    <x v="16"/>
    <x v="32"/>
  </r>
  <r>
    <x v="336"/>
    <n v="8055"/>
    <n v="661"/>
    <n v="10"/>
    <x v="0"/>
    <x v="10"/>
    <x v="2"/>
    <x v="352"/>
    <x v="201"/>
    <x v="2"/>
    <x v="7"/>
    <x v="15"/>
  </r>
  <r>
    <x v="336"/>
    <n v="8055"/>
    <n v="661"/>
    <n v="10"/>
    <x v="0"/>
    <x v="10"/>
    <x v="2"/>
    <x v="439"/>
    <x v="495"/>
    <x v="3"/>
    <x v="9"/>
    <x v="8"/>
  </r>
  <r>
    <x v="336"/>
    <n v="8055"/>
    <n v="661"/>
    <n v="10"/>
    <x v="0"/>
    <x v="10"/>
    <x v="2"/>
    <x v="440"/>
    <x v="496"/>
    <x v="0"/>
    <x v="16"/>
    <x v="32"/>
  </r>
  <r>
    <x v="337"/>
    <n v="6829"/>
    <n v="2609"/>
    <n v="2"/>
    <x v="0"/>
    <x v="3"/>
    <x v="2"/>
    <x v="441"/>
    <x v="497"/>
    <x v="3"/>
    <x v="11"/>
    <x v="33"/>
  </r>
  <r>
    <x v="337"/>
    <n v="6390"/>
    <n v="3089"/>
    <n v="12"/>
    <x v="1"/>
    <x v="8"/>
    <x v="4"/>
    <x v="441"/>
    <x v="497"/>
    <x v="3"/>
    <x v="11"/>
    <x v="33"/>
  </r>
  <r>
    <x v="338"/>
    <n v="5831"/>
    <n v="1574"/>
    <n v="17"/>
    <x v="1"/>
    <x v="2"/>
    <x v="1"/>
    <x v="442"/>
    <x v="498"/>
    <x v="3"/>
    <x v="11"/>
    <x v="5"/>
  </r>
  <r>
    <x v="338"/>
    <n v="5831"/>
    <n v="1574"/>
    <n v="17"/>
    <x v="1"/>
    <x v="2"/>
    <x v="1"/>
    <x v="114"/>
    <x v="499"/>
    <x v="3"/>
    <x v="9"/>
    <x v="41"/>
  </r>
  <r>
    <x v="338"/>
    <n v="5831"/>
    <n v="1574"/>
    <n v="17"/>
    <x v="1"/>
    <x v="2"/>
    <x v="1"/>
    <x v="53"/>
    <x v="500"/>
    <x v="0"/>
    <x v="0"/>
    <x v="17"/>
  </r>
  <r>
    <x v="339"/>
    <n v="7952"/>
    <n v="3865"/>
    <n v="8"/>
    <x v="2"/>
    <x v="7"/>
    <x v="1"/>
    <x v="443"/>
    <x v="501"/>
    <x v="1"/>
    <x v="17"/>
    <x v="38"/>
  </r>
  <r>
    <x v="340"/>
    <n v="3659"/>
    <n v="379"/>
    <n v="5"/>
    <x v="2"/>
    <x v="11"/>
    <x v="0"/>
    <x v="444"/>
    <x v="502"/>
    <x v="3"/>
    <x v="4"/>
    <x v="47"/>
  </r>
  <r>
    <x v="341"/>
    <n v="4183"/>
    <n v="1159"/>
    <n v="4"/>
    <x v="1"/>
    <x v="2"/>
    <x v="1"/>
    <x v="445"/>
    <x v="503"/>
    <x v="1"/>
    <x v="6"/>
    <x v="60"/>
  </r>
  <r>
    <x v="342"/>
    <n v="7478"/>
    <n v="1381"/>
    <n v="11"/>
    <x v="0"/>
    <x v="10"/>
    <x v="2"/>
    <x v="198"/>
    <x v="504"/>
    <x v="4"/>
    <x v="15"/>
    <x v="44"/>
  </r>
  <r>
    <x v="343"/>
    <n v="702"/>
    <n v="238"/>
    <n v="9"/>
    <x v="0"/>
    <x v="10"/>
    <x v="4"/>
    <x v="446"/>
    <x v="505"/>
    <x v="0"/>
    <x v="16"/>
    <x v="34"/>
  </r>
  <r>
    <x v="344"/>
    <n v="4037"/>
    <n v="1494"/>
    <n v="15"/>
    <x v="2"/>
    <x v="5"/>
    <x v="2"/>
    <x v="447"/>
    <x v="506"/>
    <x v="3"/>
    <x v="11"/>
    <x v="28"/>
  </r>
  <r>
    <x v="345"/>
    <n v="5014"/>
    <n v="2332"/>
    <n v="2"/>
    <x v="2"/>
    <x v="5"/>
    <x v="4"/>
    <x v="448"/>
    <x v="507"/>
    <x v="1"/>
    <x v="1"/>
    <x v="11"/>
  </r>
  <r>
    <x v="346"/>
    <n v="9879"/>
    <n v="4930"/>
    <n v="15"/>
    <x v="0"/>
    <x v="3"/>
    <x v="1"/>
    <x v="123"/>
    <x v="508"/>
    <x v="2"/>
    <x v="7"/>
    <x v="0"/>
  </r>
  <r>
    <x v="347"/>
    <n v="8762"/>
    <n v="3502"/>
    <n v="1"/>
    <x v="0"/>
    <x v="10"/>
    <x v="1"/>
    <x v="51"/>
    <x v="509"/>
    <x v="0"/>
    <x v="16"/>
    <x v="36"/>
  </r>
  <r>
    <x v="348"/>
    <n v="8490"/>
    <n v="800"/>
    <n v="1"/>
    <x v="1"/>
    <x v="2"/>
    <x v="2"/>
    <x v="389"/>
    <x v="510"/>
    <x v="2"/>
    <x v="5"/>
    <x v="8"/>
  </r>
  <r>
    <x v="349"/>
    <n v="6951"/>
    <n v="164"/>
    <n v="10"/>
    <x v="2"/>
    <x v="7"/>
    <x v="0"/>
    <x v="106"/>
    <x v="511"/>
    <x v="2"/>
    <x v="2"/>
    <x v="36"/>
  </r>
  <r>
    <x v="350"/>
    <n v="1078"/>
    <n v="309"/>
    <n v="3"/>
    <x v="0"/>
    <x v="10"/>
    <x v="3"/>
    <x v="449"/>
    <x v="512"/>
    <x v="5"/>
    <x v="14"/>
    <x v="24"/>
  </r>
  <r>
    <x v="350"/>
    <n v="1078"/>
    <n v="309"/>
    <n v="3"/>
    <x v="0"/>
    <x v="10"/>
    <x v="3"/>
    <x v="450"/>
    <x v="513"/>
    <x v="1"/>
    <x v="1"/>
    <x v="20"/>
  </r>
  <r>
    <x v="351"/>
    <n v="8560"/>
    <n v="2166"/>
    <n v="19"/>
    <x v="1"/>
    <x v="9"/>
    <x v="2"/>
    <x v="451"/>
    <x v="514"/>
    <x v="0"/>
    <x v="16"/>
    <x v="37"/>
  </r>
  <r>
    <x v="351"/>
    <n v="1031"/>
    <n v="318"/>
    <n v="20"/>
    <x v="0"/>
    <x v="0"/>
    <x v="0"/>
    <x v="451"/>
    <x v="514"/>
    <x v="0"/>
    <x v="16"/>
    <x v="37"/>
  </r>
  <r>
    <x v="352"/>
    <n v="6402"/>
    <n v="2770"/>
    <n v="19"/>
    <x v="1"/>
    <x v="6"/>
    <x v="1"/>
    <x v="452"/>
    <x v="515"/>
    <x v="0"/>
    <x v="3"/>
    <x v="55"/>
  </r>
  <r>
    <x v="352"/>
    <n v="6402"/>
    <n v="2770"/>
    <n v="19"/>
    <x v="1"/>
    <x v="6"/>
    <x v="1"/>
    <x v="347"/>
    <x v="516"/>
    <x v="0"/>
    <x v="3"/>
    <x v="59"/>
  </r>
  <r>
    <x v="352"/>
    <n v="5916"/>
    <n v="1594"/>
    <n v="19"/>
    <x v="0"/>
    <x v="1"/>
    <x v="1"/>
    <x v="452"/>
    <x v="515"/>
    <x v="0"/>
    <x v="3"/>
    <x v="55"/>
  </r>
  <r>
    <x v="352"/>
    <n v="5916"/>
    <n v="1594"/>
    <n v="19"/>
    <x v="0"/>
    <x v="1"/>
    <x v="1"/>
    <x v="347"/>
    <x v="516"/>
    <x v="0"/>
    <x v="3"/>
    <x v="59"/>
  </r>
  <r>
    <x v="353"/>
    <n v="4015"/>
    <n v="1751"/>
    <n v="15"/>
    <x v="2"/>
    <x v="5"/>
    <x v="1"/>
    <x v="453"/>
    <x v="517"/>
    <x v="3"/>
    <x v="11"/>
    <x v="40"/>
  </r>
  <r>
    <x v="353"/>
    <n v="4015"/>
    <n v="1751"/>
    <n v="15"/>
    <x v="2"/>
    <x v="5"/>
    <x v="1"/>
    <x v="437"/>
    <x v="518"/>
    <x v="2"/>
    <x v="5"/>
    <x v="57"/>
  </r>
  <r>
    <x v="354"/>
    <n v="9335"/>
    <n v="557"/>
    <n v="11"/>
    <x v="0"/>
    <x v="0"/>
    <x v="4"/>
    <x v="454"/>
    <x v="519"/>
    <x v="3"/>
    <x v="4"/>
    <x v="27"/>
  </r>
  <r>
    <x v="355"/>
    <n v="4706"/>
    <n v="594"/>
    <n v="11"/>
    <x v="1"/>
    <x v="9"/>
    <x v="4"/>
    <x v="455"/>
    <x v="520"/>
    <x v="5"/>
    <x v="14"/>
    <x v="36"/>
  </r>
  <r>
    <x v="355"/>
    <n v="4706"/>
    <n v="594"/>
    <n v="11"/>
    <x v="1"/>
    <x v="9"/>
    <x v="4"/>
    <x v="456"/>
    <x v="521"/>
    <x v="5"/>
    <x v="12"/>
    <x v="18"/>
  </r>
  <r>
    <x v="355"/>
    <n v="6584"/>
    <n v="371"/>
    <n v="6"/>
    <x v="1"/>
    <x v="6"/>
    <x v="0"/>
    <x v="455"/>
    <x v="520"/>
    <x v="5"/>
    <x v="14"/>
    <x v="36"/>
  </r>
  <r>
    <x v="355"/>
    <n v="6584"/>
    <n v="371"/>
    <n v="6"/>
    <x v="1"/>
    <x v="6"/>
    <x v="0"/>
    <x v="456"/>
    <x v="521"/>
    <x v="5"/>
    <x v="12"/>
    <x v="18"/>
  </r>
  <r>
    <x v="356"/>
    <n v="6389"/>
    <n v="734"/>
    <n v="1"/>
    <x v="2"/>
    <x v="7"/>
    <x v="2"/>
    <x v="19"/>
    <x v="522"/>
    <x v="4"/>
    <x v="8"/>
    <x v="12"/>
  </r>
  <r>
    <x v="357"/>
    <n v="9869"/>
    <n v="4299"/>
    <n v="12"/>
    <x v="0"/>
    <x v="1"/>
    <x v="1"/>
    <x v="150"/>
    <x v="523"/>
    <x v="3"/>
    <x v="9"/>
    <x v="45"/>
  </r>
  <r>
    <x v="357"/>
    <n v="9869"/>
    <n v="4299"/>
    <n v="12"/>
    <x v="0"/>
    <x v="1"/>
    <x v="1"/>
    <x v="382"/>
    <x v="524"/>
    <x v="2"/>
    <x v="2"/>
    <x v="16"/>
  </r>
  <r>
    <x v="358"/>
    <n v="655"/>
    <n v="297"/>
    <n v="4"/>
    <x v="1"/>
    <x v="6"/>
    <x v="1"/>
    <x v="457"/>
    <x v="525"/>
    <x v="2"/>
    <x v="2"/>
    <x v="26"/>
  </r>
  <r>
    <x v="358"/>
    <n v="655"/>
    <n v="297"/>
    <n v="4"/>
    <x v="1"/>
    <x v="6"/>
    <x v="1"/>
    <x v="458"/>
    <x v="526"/>
    <x v="0"/>
    <x v="3"/>
    <x v="6"/>
  </r>
  <r>
    <x v="359"/>
    <n v="798"/>
    <n v="308"/>
    <n v="10"/>
    <x v="0"/>
    <x v="10"/>
    <x v="1"/>
    <x v="459"/>
    <x v="527"/>
    <x v="2"/>
    <x v="2"/>
    <x v="54"/>
  </r>
  <r>
    <x v="359"/>
    <n v="798"/>
    <n v="308"/>
    <n v="10"/>
    <x v="0"/>
    <x v="10"/>
    <x v="1"/>
    <x v="460"/>
    <x v="528"/>
    <x v="5"/>
    <x v="14"/>
    <x v="23"/>
  </r>
  <r>
    <x v="359"/>
    <n v="7967"/>
    <n v="2504"/>
    <n v="13"/>
    <x v="0"/>
    <x v="1"/>
    <x v="2"/>
    <x v="459"/>
    <x v="527"/>
    <x v="2"/>
    <x v="2"/>
    <x v="54"/>
  </r>
  <r>
    <x v="359"/>
    <n v="7967"/>
    <n v="2504"/>
    <n v="13"/>
    <x v="0"/>
    <x v="1"/>
    <x v="2"/>
    <x v="460"/>
    <x v="528"/>
    <x v="5"/>
    <x v="14"/>
    <x v="23"/>
  </r>
  <r>
    <x v="360"/>
    <n v="3756"/>
    <n v="1318"/>
    <n v="5"/>
    <x v="2"/>
    <x v="4"/>
    <x v="0"/>
    <x v="461"/>
    <x v="529"/>
    <x v="0"/>
    <x v="0"/>
    <x v="42"/>
  </r>
  <r>
    <x v="361"/>
    <n v="5196"/>
    <n v="2477"/>
    <n v="1"/>
    <x v="1"/>
    <x v="6"/>
    <x v="0"/>
    <x v="462"/>
    <x v="530"/>
    <x v="4"/>
    <x v="10"/>
    <x v="13"/>
  </r>
  <r>
    <x v="361"/>
    <n v="6586"/>
    <n v="1794"/>
    <n v="19"/>
    <x v="2"/>
    <x v="11"/>
    <x v="1"/>
    <x v="462"/>
    <x v="530"/>
    <x v="4"/>
    <x v="10"/>
    <x v="13"/>
  </r>
  <r>
    <x v="362"/>
    <n v="6673"/>
    <n v="950"/>
    <n v="19"/>
    <x v="1"/>
    <x v="6"/>
    <x v="2"/>
    <x v="209"/>
    <x v="531"/>
    <x v="2"/>
    <x v="2"/>
    <x v="1"/>
  </r>
  <r>
    <x v="363"/>
    <n v="714"/>
    <n v="232"/>
    <n v="14"/>
    <x v="2"/>
    <x v="4"/>
    <x v="0"/>
    <x v="463"/>
    <x v="532"/>
    <x v="5"/>
    <x v="12"/>
    <x v="54"/>
  </r>
  <r>
    <x v="363"/>
    <n v="714"/>
    <n v="232"/>
    <n v="14"/>
    <x v="2"/>
    <x v="4"/>
    <x v="0"/>
    <x v="464"/>
    <x v="533"/>
    <x v="4"/>
    <x v="10"/>
    <x v="50"/>
  </r>
  <r>
    <x v="364"/>
    <n v="1083"/>
    <n v="501"/>
    <n v="6"/>
    <x v="1"/>
    <x v="2"/>
    <x v="4"/>
    <x v="465"/>
    <x v="534"/>
    <x v="4"/>
    <x v="10"/>
    <x v="51"/>
  </r>
  <r>
    <x v="365"/>
    <n v="2401"/>
    <n v="1163"/>
    <n v="10"/>
    <x v="2"/>
    <x v="11"/>
    <x v="0"/>
    <x v="230"/>
    <x v="535"/>
    <x v="5"/>
    <x v="14"/>
    <x v="23"/>
  </r>
  <r>
    <x v="365"/>
    <n v="2401"/>
    <n v="1163"/>
    <n v="10"/>
    <x v="2"/>
    <x v="11"/>
    <x v="0"/>
    <x v="466"/>
    <x v="536"/>
    <x v="3"/>
    <x v="4"/>
    <x v="32"/>
  </r>
  <r>
    <x v="365"/>
    <n v="2401"/>
    <n v="1163"/>
    <n v="10"/>
    <x v="2"/>
    <x v="11"/>
    <x v="0"/>
    <x v="467"/>
    <x v="537"/>
    <x v="2"/>
    <x v="7"/>
    <x v="36"/>
  </r>
  <r>
    <x v="365"/>
    <n v="1045"/>
    <n v="267"/>
    <n v="11"/>
    <x v="0"/>
    <x v="10"/>
    <x v="1"/>
    <x v="230"/>
    <x v="535"/>
    <x v="5"/>
    <x v="14"/>
    <x v="23"/>
  </r>
  <r>
    <x v="365"/>
    <n v="1045"/>
    <n v="267"/>
    <n v="11"/>
    <x v="0"/>
    <x v="10"/>
    <x v="1"/>
    <x v="466"/>
    <x v="536"/>
    <x v="3"/>
    <x v="4"/>
    <x v="32"/>
  </r>
  <r>
    <x v="365"/>
    <n v="1045"/>
    <n v="267"/>
    <n v="11"/>
    <x v="0"/>
    <x v="10"/>
    <x v="1"/>
    <x v="467"/>
    <x v="537"/>
    <x v="2"/>
    <x v="7"/>
    <x v="36"/>
  </r>
  <r>
    <x v="366"/>
    <n v="7806"/>
    <n v="1127"/>
    <n v="1"/>
    <x v="1"/>
    <x v="6"/>
    <x v="3"/>
    <x v="468"/>
    <x v="538"/>
    <x v="4"/>
    <x v="8"/>
    <x v="17"/>
  </r>
  <r>
    <x v="367"/>
    <n v="5263"/>
    <n v="1743"/>
    <n v="19"/>
    <x v="2"/>
    <x v="7"/>
    <x v="3"/>
    <x v="453"/>
    <x v="539"/>
    <x v="0"/>
    <x v="0"/>
    <x v="40"/>
  </r>
  <r>
    <x v="368"/>
    <n v="6147"/>
    <n v="2526"/>
    <n v="6"/>
    <x v="1"/>
    <x v="2"/>
    <x v="1"/>
    <x v="469"/>
    <x v="540"/>
    <x v="4"/>
    <x v="8"/>
    <x v="45"/>
  </r>
  <r>
    <x v="369"/>
    <n v="7484"/>
    <n v="2871"/>
    <n v="15"/>
    <x v="0"/>
    <x v="10"/>
    <x v="0"/>
    <x v="470"/>
    <x v="541"/>
    <x v="0"/>
    <x v="3"/>
    <x v="6"/>
  </r>
  <r>
    <x v="369"/>
    <n v="7484"/>
    <n v="2871"/>
    <n v="15"/>
    <x v="0"/>
    <x v="10"/>
    <x v="0"/>
    <x v="198"/>
    <x v="542"/>
    <x v="1"/>
    <x v="1"/>
    <x v="44"/>
  </r>
  <r>
    <x v="369"/>
    <n v="7700"/>
    <n v="2712"/>
    <n v="1"/>
    <x v="2"/>
    <x v="7"/>
    <x v="3"/>
    <x v="470"/>
    <x v="541"/>
    <x v="0"/>
    <x v="3"/>
    <x v="6"/>
  </r>
  <r>
    <x v="369"/>
    <n v="7700"/>
    <n v="2712"/>
    <n v="1"/>
    <x v="2"/>
    <x v="7"/>
    <x v="3"/>
    <x v="198"/>
    <x v="542"/>
    <x v="1"/>
    <x v="1"/>
    <x v="44"/>
  </r>
  <r>
    <x v="370"/>
    <n v="8537"/>
    <n v="3586"/>
    <n v="13"/>
    <x v="1"/>
    <x v="6"/>
    <x v="0"/>
    <x v="111"/>
    <x v="543"/>
    <x v="2"/>
    <x v="7"/>
    <x v="24"/>
  </r>
  <r>
    <x v="371"/>
    <n v="8858"/>
    <n v="3394"/>
    <n v="6"/>
    <x v="2"/>
    <x v="5"/>
    <x v="4"/>
    <x v="471"/>
    <x v="544"/>
    <x v="3"/>
    <x v="9"/>
    <x v="56"/>
  </r>
  <r>
    <x v="372"/>
    <n v="5313"/>
    <n v="2037"/>
    <n v="7"/>
    <x v="0"/>
    <x v="1"/>
    <x v="1"/>
    <x v="260"/>
    <x v="545"/>
    <x v="3"/>
    <x v="11"/>
    <x v="46"/>
  </r>
  <r>
    <x v="372"/>
    <n v="5313"/>
    <n v="2037"/>
    <n v="7"/>
    <x v="0"/>
    <x v="1"/>
    <x v="1"/>
    <x v="472"/>
    <x v="546"/>
    <x v="4"/>
    <x v="15"/>
    <x v="4"/>
  </r>
  <r>
    <x v="373"/>
    <n v="3281"/>
    <n v="471"/>
    <n v="7"/>
    <x v="2"/>
    <x v="7"/>
    <x v="2"/>
    <x v="473"/>
    <x v="547"/>
    <x v="3"/>
    <x v="4"/>
    <x v="16"/>
  </r>
  <r>
    <x v="373"/>
    <n v="3281"/>
    <n v="471"/>
    <n v="7"/>
    <x v="2"/>
    <x v="7"/>
    <x v="2"/>
    <x v="474"/>
    <x v="548"/>
    <x v="1"/>
    <x v="17"/>
    <x v="0"/>
  </r>
  <r>
    <x v="374"/>
    <n v="8681"/>
    <n v="2458"/>
    <n v="9"/>
    <x v="1"/>
    <x v="2"/>
    <x v="3"/>
    <x v="475"/>
    <x v="549"/>
    <x v="2"/>
    <x v="5"/>
    <x v="57"/>
  </r>
  <r>
    <x v="375"/>
    <n v="6195"/>
    <n v="1556"/>
    <n v="18"/>
    <x v="2"/>
    <x v="7"/>
    <x v="2"/>
    <x v="476"/>
    <x v="550"/>
    <x v="1"/>
    <x v="6"/>
    <x v="9"/>
  </r>
  <r>
    <x v="376"/>
    <n v="3877"/>
    <n v="481"/>
    <n v="16"/>
    <x v="2"/>
    <x v="5"/>
    <x v="1"/>
    <x v="477"/>
    <x v="551"/>
    <x v="2"/>
    <x v="7"/>
    <x v="17"/>
  </r>
  <r>
    <x v="376"/>
    <n v="3877"/>
    <n v="481"/>
    <n v="16"/>
    <x v="2"/>
    <x v="5"/>
    <x v="1"/>
    <x v="478"/>
    <x v="552"/>
    <x v="2"/>
    <x v="5"/>
    <x v="26"/>
  </r>
  <r>
    <x v="377"/>
    <n v="9369"/>
    <n v="3297"/>
    <n v="6"/>
    <x v="0"/>
    <x v="1"/>
    <x v="1"/>
    <x v="479"/>
    <x v="553"/>
    <x v="0"/>
    <x v="3"/>
    <x v="48"/>
  </r>
  <r>
    <x v="377"/>
    <n v="9369"/>
    <n v="3297"/>
    <n v="6"/>
    <x v="0"/>
    <x v="1"/>
    <x v="1"/>
    <x v="480"/>
    <x v="554"/>
    <x v="2"/>
    <x v="5"/>
    <x v="52"/>
  </r>
  <r>
    <x v="377"/>
    <n v="8680"/>
    <n v="4068"/>
    <n v="20"/>
    <x v="0"/>
    <x v="1"/>
    <x v="3"/>
    <x v="479"/>
    <x v="553"/>
    <x v="0"/>
    <x v="3"/>
    <x v="48"/>
  </r>
  <r>
    <x v="377"/>
    <n v="8680"/>
    <n v="4068"/>
    <n v="20"/>
    <x v="0"/>
    <x v="1"/>
    <x v="3"/>
    <x v="480"/>
    <x v="554"/>
    <x v="2"/>
    <x v="5"/>
    <x v="52"/>
  </r>
  <r>
    <x v="377"/>
    <n v="3067"/>
    <n v="1475"/>
    <n v="8"/>
    <x v="0"/>
    <x v="3"/>
    <x v="0"/>
    <x v="479"/>
    <x v="553"/>
    <x v="0"/>
    <x v="3"/>
    <x v="48"/>
  </r>
  <r>
    <x v="377"/>
    <n v="3067"/>
    <n v="1475"/>
    <n v="8"/>
    <x v="0"/>
    <x v="3"/>
    <x v="0"/>
    <x v="480"/>
    <x v="554"/>
    <x v="2"/>
    <x v="5"/>
    <x v="52"/>
  </r>
  <r>
    <x v="378"/>
    <n v="9002"/>
    <n v="4197"/>
    <n v="2"/>
    <x v="1"/>
    <x v="6"/>
    <x v="2"/>
    <x v="418"/>
    <x v="555"/>
    <x v="5"/>
    <x v="13"/>
    <x v="52"/>
  </r>
  <r>
    <x v="378"/>
    <n v="9002"/>
    <n v="4197"/>
    <n v="2"/>
    <x v="1"/>
    <x v="6"/>
    <x v="2"/>
    <x v="481"/>
    <x v="556"/>
    <x v="5"/>
    <x v="12"/>
    <x v="34"/>
  </r>
  <r>
    <x v="379"/>
    <n v="7105"/>
    <n v="2782"/>
    <n v="19"/>
    <x v="1"/>
    <x v="2"/>
    <x v="4"/>
    <x v="482"/>
    <x v="557"/>
    <x v="5"/>
    <x v="12"/>
    <x v="13"/>
  </r>
  <r>
    <x v="380"/>
    <n v="5317"/>
    <n v="1345"/>
    <n v="18"/>
    <x v="2"/>
    <x v="5"/>
    <x v="1"/>
    <x v="17"/>
    <x v="558"/>
    <x v="5"/>
    <x v="12"/>
    <x v="14"/>
  </r>
  <r>
    <x v="380"/>
    <n v="5317"/>
    <n v="1345"/>
    <n v="18"/>
    <x v="2"/>
    <x v="5"/>
    <x v="1"/>
    <x v="135"/>
    <x v="559"/>
    <x v="0"/>
    <x v="3"/>
    <x v="28"/>
  </r>
  <r>
    <x v="380"/>
    <n v="5317"/>
    <n v="1345"/>
    <n v="18"/>
    <x v="2"/>
    <x v="5"/>
    <x v="1"/>
    <x v="483"/>
    <x v="560"/>
    <x v="3"/>
    <x v="11"/>
    <x v="46"/>
  </r>
  <r>
    <x v="380"/>
    <n v="6304"/>
    <n v="766"/>
    <n v="14"/>
    <x v="2"/>
    <x v="4"/>
    <x v="2"/>
    <x v="17"/>
    <x v="558"/>
    <x v="5"/>
    <x v="12"/>
    <x v="14"/>
  </r>
  <r>
    <x v="380"/>
    <n v="6304"/>
    <n v="766"/>
    <n v="14"/>
    <x v="2"/>
    <x v="4"/>
    <x v="2"/>
    <x v="135"/>
    <x v="559"/>
    <x v="0"/>
    <x v="3"/>
    <x v="28"/>
  </r>
  <r>
    <x v="380"/>
    <n v="6304"/>
    <n v="766"/>
    <n v="14"/>
    <x v="2"/>
    <x v="4"/>
    <x v="2"/>
    <x v="483"/>
    <x v="560"/>
    <x v="3"/>
    <x v="11"/>
    <x v="46"/>
  </r>
  <r>
    <x v="381"/>
    <n v="9565"/>
    <n v="1691"/>
    <n v="3"/>
    <x v="1"/>
    <x v="8"/>
    <x v="1"/>
    <x v="71"/>
    <x v="561"/>
    <x v="1"/>
    <x v="6"/>
    <x v="41"/>
  </r>
  <r>
    <x v="381"/>
    <n v="8245"/>
    <n v="324"/>
    <n v="11"/>
    <x v="1"/>
    <x v="8"/>
    <x v="2"/>
    <x v="71"/>
    <x v="561"/>
    <x v="1"/>
    <x v="6"/>
    <x v="41"/>
  </r>
  <r>
    <x v="382"/>
    <n v="1592"/>
    <n v="480"/>
    <n v="13"/>
    <x v="0"/>
    <x v="3"/>
    <x v="1"/>
    <x v="138"/>
    <x v="562"/>
    <x v="5"/>
    <x v="14"/>
    <x v="12"/>
  </r>
  <r>
    <x v="383"/>
    <n v="8400"/>
    <n v="267"/>
    <n v="5"/>
    <x v="0"/>
    <x v="10"/>
    <x v="1"/>
    <x v="484"/>
    <x v="563"/>
    <x v="5"/>
    <x v="12"/>
    <x v="56"/>
  </r>
  <r>
    <x v="383"/>
    <n v="4963"/>
    <n v="1254"/>
    <n v="15"/>
    <x v="1"/>
    <x v="8"/>
    <x v="2"/>
    <x v="484"/>
    <x v="563"/>
    <x v="5"/>
    <x v="12"/>
    <x v="56"/>
  </r>
  <r>
    <x v="384"/>
    <n v="2472"/>
    <n v="211"/>
    <n v="5"/>
    <x v="0"/>
    <x v="1"/>
    <x v="4"/>
    <x v="317"/>
    <x v="564"/>
    <x v="3"/>
    <x v="9"/>
    <x v="53"/>
  </r>
  <r>
    <x v="385"/>
    <n v="9132"/>
    <n v="3096"/>
    <n v="14"/>
    <x v="2"/>
    <x v="5"/>
    <x v="1"/>
    <x v="20"/>
    <x v="565"/>
    <x v="0"/>
    <x v="16"/>
    <x v="16"/>
  </r>
  <r>
    <x v="386"/>
    <n v="8305"/>
    <n v="1577"/>
    <n v="6"/>
    <x v="1"/>
    <x v="9"/>
    <x v="1"/>
    <x v="485"/>
    <x v="566"/>
    <x v="2"/>
    <x v="7"/>
    <x v="50"/>
  </r>
  <r>
    <x v="387"/>
    <n v="1010"/>
    <n v="58"/>
    <n v="19"/>
    <x v="0"/>
    <x v="0"/>
    <x v="4"/>
    <x v="486"/>
    <x v="567"/>
    <x v="0"/>
    <x v="16"/>
    <x v="30"/>
  </r>
  <r>
    <x v="388"/>
    <n v="4544"/>
    <n v="1726"/>
    <n v="9"/>
    <x v="0"/>
    <x v="10"/>
    <x v="2"/>
    <x v="357"/>
    <x v="568"/>
    <x v="4"/>
    <x v="8"/>
    <x v="19"/>
  </r>
  <r>
    <x v="388"/>
    <n v="5900"/>
    <n v="1738"/>
    <n v="20"/>
    <x v="0"/>
    <x v="10"/>
    <x v="0"/>
    <x v="357"/>
    <x v="568"/>
    <x v="4"/>
    <x v="8"/>
    <x v="19"/>
  </r>
  <r>
    <x v="389"/>
    <n v="8861"/>
    <n v="3381"/>
    <n v="19"/>
    <x v="1"/>
    <x v="6"/>
    <x v="3"/>
    <x v="416"/>
    <x v="569"/>
    <x v="3"/>
    <x v="9"/>
    <x v="18"/>
  </r>
  <r>
    <x v="390"/>
    <n v="8158"/>
    <n v="2052"/>
    <n v="13"/>
    <x v="0"/>
    <x v="10"/>
    <x v="1"/>
    <x v="487"/>
    <x v="570"/>
    <x v="5"/>
    <x v="13"/>
    <x v="57"/>
  </r>
  <r>
    <x v="391"/>
    <n v="3411"/>
    <n v="1704"/>
    <n v="14"/>
    <x v="1"/>
    <x v="2"/>
    <x v="0"/>
    <x v="488"/>
    <x v="571"/>
    <x v="3"/>
    <x v="4"/>
    <x v="52"/>
  </r>
  <r>
    <x v="392"/>
    <n v="9406"/>
    <n v="1137"/>
    <n v="16"/>
    <x v="1"/>
    <x v="6"/>
    <x v="0"/>
    <x v="489"/>
    <x v="572"/>
    <x v="4"/>
    <x v="15"/>
    <x v="4"/>
  </r>
  <r>
    <x v="392"/>
    <n v="1156"/>
    <n v="74"/>
    <n v="15"/>
    <x v="0"/>
    <x v="1"/>
    <x v="2"/>
    <x v="489"/>
    <x v="572"/>
    <x v="4"/>
    <x v="15"/>
    <x v="4"/>
  </r>
  <r>
    <x v="393"/>
    <n v="5354"/>
    <n v="743"/>
    <n v="10"/>
    <x v="2"/>
    <x v="11"/>
    <x v="0"/>
    <x v="490"/>
    <x v="573"/>
    <x v="1"/>
    <x v="6"/>
    <x v="4"/>
  </r>
  <r>
    <x v="394"/>
    <n v="8780"/>
    <n v="3430"/>
    <n v="4"/>
    <x v="0"/>
    <x v="0"/>
    <x v="3"/>
    <x v="491"/>
    <x v="574"/>
    <x v="4"/>
    <x v="10"/>
    <x v="41"/>
  </r>
  <r>
    <x v="394"/>
    <n v="8780"/>
    <n v="3430"/>
    <n v="4"/>
    <x v="0"/>
    <x v="0"/>
    <x v="3"/>
    <x v="492"/>
    <x v="575"/>
    <x v="4"/>
    <x v="10"/>
    <x v="17"/>
  </r>
  <r>
    <x v="395"/>
    <n v="6783"/>
    <n v="3306"/>
    <n v="8"/>
    <x v="2"/>
    <x v="7"/>
    <x v="1"/>
    <x v="493"/>
    <x v="576"/>
    <x v="5"/>
    <x v="12"/>
    <x v="32"/>
  </r>
  <r>
    <x v="396"/>
    <n v="1778"/>
    <n v="285"/>
    <n v="4"/>
    <x v="1"/>
    <x v="2"/>
    <x v="3"/>
    <x v="494"/>
    <x v="577"/>
    <x v="2"/>
    <x v="5"/>
    <x v="60"/>
  </r>
  <r>
    <x v="397"/>
    <n v="9399"/>
    <n v="1949"/>
    <n v="12"/>
    <x v="0"/>
    <x v="1"/>
    <x v="0"/>
    <x v="52"/>
    <x v="578"/>
    <x v="2"/>
    <x v="7"/>
    <x v="37"/>
  </r>
  <r>
    <x v="397"/>
    <n v="7957"/>
    <n v="965"/>
    <n v="4"/>
    <x v="2"/>
    <x v="7"/>
    <x v="3"/>
    <x v="52"/>
    <x v="578"/>
    <x v="2"/>
    <x v="7"/>
    <x v="37"/>
  </r>
  <r>
    <x v="398"/>
    <n v="1638"/>
    <n v="661"/>
    <n v="13"/>
    <x v="2"/>
    <x v="5"/>
    <x v="2"/>
    <x v="495"/>
    <x v="579"/>
    <x v="1"/>
    <x v="6"/>
    <x v="6"/>
  </r>
  <r>
    <x v="399"/>
    <n v="1786"/>
    <n v="224"/>
    <n v="4"/>
    <x v="2"/>
    <x v="4"/>
    <x v="4"/>
    <x v="51"/>
    <x v="580"/>
    <x v="4"/>
    <x v="8"/>
    <x v="36"/>
  </r>
  <r>
    <x v="400"/>
    <n v="4751"/>
    <n v="781"/>
    <n v="9"/>
    <x v="1"/>
    <x v="8"/>
    <x v="2"/>
    <x v="496"/>
    <x v="581"/>
    <x v="2"/>
    <x v="2"/>
    <x v="17"/>
  </r>
  <r>
    <x v="401"/>
    <n v="8979"/>
    <n v="4477"/>
    <n v="4"/>
    <x v="1"/>
    <x v="8"/>
    <x v="3"/>
    <x v="497"/>
    <x v="582"/>
    <x v="1"/>
    <x v="1"/>
    <x v="38"/>
  </r>
  <r>
    <x v="402"/>
    <n v="2727"/>
    <n v="663"/>
    <n v="8"/>
    <x v="0"/>
    <x v="10"/>
    <x v="3"/>
    <x v="498"/>
    <x v="583"/>
    <x v="0"/>
    <x v="0"/>
    <x v="5"/>
  </r>
  <r>
    <x v="403"/>
    <n v="1093"/>
    <n v="397"/>
    <n v="17"/>
    <x v="0"/>
    <x v="1"/>
    <x v="3"/>
    <x v="499"/>
    <x v="584"/>
    <x v="1"/>
    <x v="17"/>
    <x v="55"/>
  </r>
  <r>
    <x v="403"/>
    <n v="1093"/>
    <n v="397"/>
    <n v="17"/>
    <x v="0"/>
    <x v="1"/>
    <x v="3"/>
    <x v="500"/>
    <x v="585"/>
    <x v="2"/>
    <x v="2"/>
    <x v="31"/>
  </r>
  <r>
    <x v="403"/>
    <n v="1093"/>
    <n v="397"/>
    <n v="17"/>
    <x v="0"/>
    <x v="1"/>
    <x v="3"/>
    <x v="501"/>
    <x v="586"/>
    <x v="5"/>
    <x v="12"/>
    <x v="26"/>
  </r>
  <r>
    <x v="403"/>
    <n v="2636"/>
    <n v="88"/>
    <n v="11"/>
    <x v="1"/>
    <x v="8"/>
    <x v="1"/>
    <x v="499"/>
    <x v="584"/>
    <x v="1"/>
    <x v="17"/>
    <x v="55"/>
  </r>
  <r>
    <x v="403"/>
    <n v="2636"/>
    <n v="88"/>
    <n v="11"/>
    <x v="1"/>
    <x v="8"/>
    <x v="1"/>
    <x v="500"/>
    <x v="585"/>
    <x v="2"/>
    <x v="2"/>
    <x v="31"/>
  </r>
  <r>
    <x v="403"/>
    <n v="2636"/>
    <n v="88"/>
    <n v="11"/>
    <x v="1"/>
    <x v="8"/>
    <x v="1"/>
    <x v="501"/>
    <x v="586"/>
    <x v="5"/>
    <x v="12"/>
    <x v="26"/>
  </r>
  <r>
    <x v="404"/>
    <n v="7344"/>
    <n v="2251"/>
    <n v="7"/>
    <x v="0"/>
    <x v="0"/>
    <x v="1"/>
    <x v="502"/>
    <x v="587"/>
    <x v="0"/>
    <x v="0"/>
    <x v="26"/>
  </r>
  <r>
    <x v="404"/>
    <n v="7306"/>
    <n v="1547"/>
    <n v="3"/>
    <x v="1"/>
    <x v="8"/>
    <x v="4"/>
    <x v="502"/>
    <x v="587"/>
    <x v="0"/>
    <x v="0"/>
    <x v="26"/>
  </r>
  <r>
    <x v="404"/>
    <n v="5832"/>
    <n v="2588"/>
    <n v="10"/>
    <x v="0"/>
    <x v="1"/>
    <x v="4"/>
    <x v="502"/>
    <x v="587"/>
    <x v="0"/>
    <x v="0"/>
    <x v="26"/>
  </r>
  <r>
    <x v="405"/>
    <n v="8572"/>
    <n v="2041"/>
    <n v="8"/>
    <x v="2"/>
    <x v="4"/>
    <x v="2"/>
    <x v="416"/>
    <x v="588"/>
    <x v="1"/>
    <x v="6"/>
    <x v="18"/>
  </r>
  <r>
    <x v="405"/>
    <n v="8572"/>
    <n v="2041"/>
    <n v="8"/>
    <x v="2"/>
    <x v="4"/>
    <x v="2"/>
    <x v="503"/>
    <x v="589"/>
    <x v="1"/>
    <x v="6"/>
    <x v="17"/>
  </r>
  <r>
    <x v="405"/>
    <n v="8572"/>
    <n v="2041"/>
    <n v="8"/>
    <x v="2"/>
    <x v="4"/>
    <x v="2"/>
    <x v="504"/>
    <x v="590"/>
    <x v="3"/>
    <x v="9"/>
    <x v="20"/>
  </r>
  <r>
    <x v="405"/>
    <n v="8059"/>
    <n v="1834"/>
    <n v="10"/>
    <x v="0"/>
    <x v="1"/>
    <x v="3"/>
    <x v="416"/>
    <x v="588"/>
    <x v="1"/>
    <x v="6"/>
    <x v="18"/>
  </r>
  <r>
    <x v="405"/>
    <n v="8059"/>
    <n v="1834"/>
    <n v="10"/>
    <x v="0"/>
    <x v="1"/>
    <x v="3"/>
    <x v="503"/>
    <x v="589"/>
    <x v="1"/>
    <x v="6"/>
    <x v="17"/>
  </r>
  <r>
    <x v="405"/>
    <n v="8059"/>
    <n v="1834"/>
    <n v="10"/>
    <x v="0"/>
    <x v="1"/>
    <x v="3"/>
    <x v="504"/>
    <x v="590"/>
    <x v="3"/>
    <x v="9"/>
    <x v="20"/>
  </r>
  <r>
    <x v="406"/>
    <n v="3661"/>
    <n v="436"/>
    <n v="13"/>
    <x v="2"/>
    <x v="7"/>
    <x v="2"/>
    <x v="505"/>
    <x v="591"/>
    <x v="4"/>
    <x v="10"/>
    <x v="54"/>
  </r>
  <r>
    <x v="407"/>
    <n v="2451"/>
    <n v="342"/>
    <n v="8"/>
    <x v="1"/>
    <x v="8"/>
    <x v="2"/>
    <x v="506"/>
    <x v="592"/>
    <x v="3"/>
    <x v="4"/>
    <x v="43"/>
  </r>
  <r>
    <x v="407"/>
    <n v="2451"/>
    <n v="342"/>
    <n v="8"/>
    <x v="1"/>
    <x v="8"/>
    <x v="2"/>
    <x v="50"/>
    <x v="593"/>
    <x v="5"/>
    <x v="13"/>
    <x v="35"/>
  </r>
  <r>
    <x v="407"/>
    <n v="2451"/>
    <n v="342"/>
    <n v="8"/>
    <x v="1"/>
    <x v="8"/>
    <x v="2"/>
    <x v="507"/>
    <x v="594"/>
    <x v="4"/>
    <x v="15"/>
    <x v="41"/>
  </r>
  <r>
    <x v="408"/>
    <n v="7067"/>
    <n v="1943"/>
    <n v="16"/>
    <x v="2"/>
    <x v="4"/>
    <x v="3"/>
    <x v="508"/>
    <x v="595"/>
    <x v="3"/>
    <x v="11"/>
    <x v="25"/>
  </r>
  <r>
    <x v="409"/>
    <n v="4307"/>
    <n v="615"/>
    <n v="3"/>
    <x v="0"/>
    <x v="0"/>
    <x v="0"/>
    <x v="509"/>
    <x v="596"/>
    <x v="2"/>
    <x v="5"/>
    <x v="55"/>
  </r>
  <r>
    <x v="409"/>
    <n v="4307"/>
    <n v="615"/>
    <n v="3"/>
    <x v="0"/>
    <x v="0"/>
    <x v="0"/>
    <x v="448"/>
    <x v="597"/>
    <x v="1"/>
    <x v="6"/>
    <x v="11"/>
  </r>
  <r>
    <x v="409"/>
    <n v="5694"/>
    <n v="1134"/>
    <n v="5"/>
    <x v="2"/>
    <x v="5"/>
    <x v="2"/>
    <x v="509"/>
    <x v="596"/>
    <x v="2"/>
    <x v="5"/>
    <x v="55"/>
  </r>
  <r>
    <x v="409"/>
    <n v="5694"/>
    <n v="1134"/>
    <n v="5"/>
    <x v="2"/>
    <x v="5"/>
    <x v="2"/>
    <x v="448"/>
    <x v="597"/>
    <x v="1"/>
    <x v="6"/>
    <x v="11"/>
  </r>
  <r>
    <x v="410"/>
    <n v="962"/>
    <n v="298"/>
    <n v="18"/>
    <x v="1"/>
    <x v="9"/>
    <x v="3"/>
    <x v="510"/>
    <x v="598"/>
    <x v="1"/>
    <x v="6"/>
    <x v="58"/>
  </r>
  <r>
    <x v="411"/>
    <n v="2995"/>
    <n v="220"/>
    <n v="14"/>
    <x v="2"/>
    <x v="11"/>
    <x v="3"/>
    <x v="511"/>
    <x v="599"/>
    <x v="2"/>
    <x v="2"/>
    <x v="31"/>
  </r>
  <r>
    <x v="411"/>
    <n v="2047"/>
    <n v="914"/>
    <n v="5"/>
    <x v="1"/>
    <x v="6"/>
    <x v="1"/>
    <x v="511"/>
    <x v="599"/>
    <x v="2"/>
    <x v="2"/>
    <x v="31"/>
  </r>
  <r>
    <x v="412"/>
    <n v="2078"/>
    <n v="612"/>
    <n v="6"/>
    <x v="0"/>
    <x v="3"/>
    <x v="4"/>
    <x v="512"/>
    <x v="600"/>
    <x v="4"/>
    <x v="10"/>
    <x v="12"/>
  </r>
  <r>
    <x v="413"/>
    <n v="2737"/>
    <n v="1253"/>
    <n v="3"/>
    <x v="0"/>
    <x v="1"/>
    <x v="2"/>
    <x v="513"/>
    <x v="601"/>
    <x v="2"/>
    <x v="5"/>
    <x v="27"/>
  </r>
  <r>
    <x v="414"/>
    <n v="8194"/>
    <n v="2881"/>
    <n v="6"/>
    <x v="1"/>
    <x v="8"/>
    <x v="1"/>
    <x v="196"/>
    <x v="602"/>
    <x v="4"/>
    <x v="15"/>
    <x v="2"/>
  </r>
  <r>
    <x v="415"/>
    <n v="9914"/>
    <n v="3858"/>
    <n v="16"/>
    <x v="2"/>
    <x v="7"/>
    <x v="3"/>
    <x v="514"/>
    <x v="603"/>
    <x v="2"/>
    <x v="2"/>
    <x v="33"/>
  </r>
  <r>
    <x v="415"/>
    <n v="9914"/>
    <n v="3858"/>
    <n v="16"/>
    <x v="2"/>
    <x v="7"/>
    <x v="3"/>
    <x v="515"/>
    <x v="604"/>
    <x v="2"/>
    <x v="7"/>
    <x v="47"/>
  </r>
  <r>
    <x v="415"/>
    <n v="5470"/>
    <n v="292"/>
    <n v="7"/>
    <x v="1"/>
    <x v="2"/>
    <x v="1"/>
    <x v="514"/>
    <x v="603"/>
    <x v="2"/>
    <x v="2"/>
    <x v="33"/>
  </r>
  <r>
    <x v="415"/>
    <n v="5470"/>
    <n v="292"/>
    <n v="7"/>
    <x v="1"/>
    <x v="2"/>
    <x v="1"/>
    <x v="515"/>
    <x v="604"/>
    <x v="2"/>
    <x v="7"/>
    <x v="47"/>
  </r>
  <r>
    <x v="415"/>
    <n v="1496"/>
    <n v="662"/>
    <n v="17"/>
    <x v="2"/>
    <x v="11"/>
    <x v="0"/>
    <x v="514"/>
    <x v="603"/>
    <x v="2"/>
    <x v="2"/>
    <x v="33"/>
  </r>
  <r>
    <x v="415"/>
    <n v="1496"/>
    <n v="662"/>
    <n v="17"/>
    <x v="2"/>
    <x v="11"/>
    <x v="0"/>
    <x v="515"/>
    <x v="604"/>
    <x v="2"/>
    <x v="7"/>
    <x v="47"/>
  </r>
  <r>
    <x v="416"/>
    <n v="3228"/>
    <n v="476"/>
    <n v="9"/>
    <x v="1"/>
    <x v="8"/>
    <x v="4"/>
    <x v="516"/>
    <x v="605"/>
    <x v="2"/>
    <x v="5"/>
    <x v="24"/>
  </r>
  <r>
    <x v="417"/>
    <n v="3918"/>
    <n v="749"/>
    <n v="8"/>
    <x v="0"/>
    <x v="3"/>
    <x v="3"/>
    <x v="517"/>
    <x v="606"/>
    <x v="3"/>
    <x v="9"/>
    <x v="23"/>
  </r>
  <r>
    <x v="417"/>
    <n v="3918"/>
    <n v="749"/>
    <n v="8"/>
    <x v="0"/>
    <x v="3"/>
    <x v="3"/>
    <x v="222"/>
    <x v="607"/>
    <x v="4"/>
    <x v="15"/>
    <x v="8"/>
  </r>
  <r>
    <x v="418"/>
    <n v="9921"/>
    <n v="1451"/>
    <n v="15"/>
    <x v="2"/>
    <x v="7"/>
    <x v="2"/>
    <x v="518"/>
    <x v="608"/>
    <x v="1"/>
    <x v="1"/>
    <x v="27"/>
  </r>
  <r>
    <x v="419"/>
    <n v="9694"/>
    <n v="4361"/>
    <n v="1"/>
    <x v="2"/>
    <x v="5"/>
    <x v="2"/>
    <x v="519"/>
    <x v="609"/>
    <x v="1"/>
    <x v="6"/>
    <x v="6"/>
  </r>
  <r>
    <x v="420"/>
    <n v="5028"/>
    <n v="1553"/>
    <n v="13"/>
    <x v="1"/>
    <x v="8"/>
    <x v="2"/>
    <x v="8"/>
    <x v="610"/>
    <x v="0"/>
    <x v="16"/>
    <x v="8"/>
  </r>
  <r>
    <x v="421"/>
    <n v="594"/>
    <n v="67"/>
    <n v="19"/>
    <x v="1"/>
    <x v="8"/>
    <x v="1"/>
    <x v="520"/>
    <x v="611"/>
    <x v="2"/>
    <x v="2"/>
    <x v="48"/>
  </r>
  <r>
    <x v="421"/>
    <n v="594"/>
    <n v="67"/>
    <n v="19"/>
    <x v="1"/>
    <x v="8"/>
    <x v="1"/>
    <x v="521"/>
    <x v="612"/>
    <x v="0"/>
    <x v="0"/>
    <x v="10"/>
  </r>
  <r>
    <x v="421"/>
    <n v="594"/>
    <n v="67"/>
    <n v="19"/>
    <x v="1"/>
    <x v="8"/>
    <x v="1"/>
    <x v="522"/>
    <x v="613"/>
    <x v="4"/>
    <x v="10"/>
    <x v="3"/>
  </r>
  <r>
    <x v="422"/>
    <n v="5954"/>
    <n v="2618"/>
    <n v="11"/>
    <x v="2"/>
    <x v="4"/>
    <x v="4"/>
    <x v="244"/>
    <x v="614"/>
    <x v="5"/>
    <x v="13"/>
    <x v="55"/>
  </r>
  <r>
    <x v="423"/>
    <n v="3518"/>
    <n v="1051"/>
    <n v="3"/>
    <x v="2"/>
    <x v="11"/>
    <x v="0"/>
    <x v="523"/>
    <x v="615"/>
    <x v="3"/>
    <x v="11"/>
    <x v="57"/>
  </r>
  <r>
    <x v="423"/>
    <n v="4157"/>
    <n v="1874"/>
    <n v="8"/>
    <x v="0"/>
    <x v="3"/>
    <x v="2"/>
    <x v="523"/>
    <x v="615"/>
    <x v="3"/>
    <x v="11"/>
    <x v="57"/>
  </r>
  <r>
    <x v="424"/>
    <n v="3747"/>
    <n v="410"/>
    <n v="5"/>
    <x v="1"/>
    <x v="6"/>
    <x v="3"/>
    <x v="524"/>
    <x v="616"/>
    <x v="1"/>
    <x v="6"/>
    <x v="60"/>
  </r>
  <r>
    <x v="424"/>
    <n v="3747"/>
    <n v="410"/>
    <n v="5"/>
    <x v="1"/>
    <x v="6"/>
    <x v="3"/>
    <x v="174"/>
    <x v="617"/>
    <x v="2"/>
    <x v="2"/>
    <x v="29"/>
  </r>
  <r>
    <x v="424"/>
    <n v="3747"/>
    <n v="410"/>
    <n v="5"/>
    <x v="1"/>
    <x v="6"/>
    <x v="3"/>
    <x v="499"/>
    <x v="618"/>
    <x v="5"/>
    <x v="12"/>
    <x v="55"/>
  </r>
  <r>
    <x v="424"/>
    <n v="3747"/>
    <n v="410"/>
    <n v="5"/>
    <x v="1"/>
    <x v="6"/>
    <x v="3"/>
    <x v="525"/>
    <x v="619"/>
    <x v="1"/>
    <x v="1"/>
    <x v="14"/>
  </r>
  <r>
    <x v="424"/>
    <n v="3747"/>
    <n v="410"/>
    <n v="5"/>
    <x v="1"/>
    <x v="6"/>
    <x v="3"/>
    <x v="526"/>
    <x v="620"/>
    <x v="3"/>
    <x v="4"/>
    <x v="2"/>
  </r>
  <r>
    <x v="424"/>
    <n v="3194"/>
    <n v="534"/>
    <n v="4"/>
    <x v="1"/>
    <x v="9"/>
    <x v="0"/>
    <x v="524"/>
    <x v="616"/>
    <x v="1"/>
    <x v="6"/>
    <x v="60"/>
  </r>
  <r>
    <x v="424"/>
    <n v="3194"/>
    <n v="534"/>
    <n v="4"/>
    <x v="1"/>
    <x v="9"/>
    <x v="0"/>
    <x v="174"/>
    <x v="617"/>
    <x v="2"/>
    <x v="2"/>
    <x v="29"/>
  </r>
  <r>
    <x v="424"/>
    <n v="3194"/>
    <n v="534"/>
    <n v="4"/>
    <x v="1"/>
    <x v="9"/>
    <x v="0"/>
    <x v="499"/>
    <x v="618"/>
    <x v="5"/>
    <x v="12"/>
    <x v="55"/>
  </r>
  <r>
    <x v="424"/>
    <n v="3194"/>
    <n v="534"/>
    <n v="4"/>
    <x v="1"/>
    <x v="9"/>
    <x v="0"/>
    <x v="525"/>
    <x v="619"/>
    <x v="1"/>
    <x v="1"/>
    <x v="14"/>
  </r>
  <r>
    <x v="424"/>
    <n v="3194"/>
    <n v="534"/>
    <n v="4"/>
    <x v="1"/>
    <x v="9"/>
    <x v="0"/>
    <x v="526"/>
    <x v="620"/>
    <x v="3"/>
    <x v="4"/>
    <x v="2"/>
  </r>
  <r>
    <x v="425"/>
    <n v="8548"/>
    <n v="2305"/>
    <n v="1"/>
    <x v="1"/>
    <x v="9"/>
    <x v="4"/>
    <x v="18"/>
    <x v="621"/>
    <x v="0"/>
    <x v="16"/>
    <x v="15"/>
  </r>
  <r>
    <x v="426"/>
    <n v="6089"/>
    <n v="139"/>
    <n v="19"/>
    <x v="2"/>
    <x v="4"/>
    <x v="1"/>
    <x v="527"/>
    <x v="622"/>
    <x v="5"/>
    <x v="13"/>
    <x v="50"/>
  </r>
  <r>
    <x v="426"/>
    <n v="6089"/>
    <n v="139"/>
    <n v="19"/>
    <x v="2"/>
    <x v="4"/>
    <x v="1"/>
    <x v="67"/>
    <x v="623"/>
    <x v="5"/>
    <x v="14"/>
    <x v="39"/>
  </r>
  <r>
    <x v="426"/>
    <n v="6089"/>
    <n v="139"/>
    <n v="19"/>
    <x v="2"/>
    <x v="4"/>
    <x v="1"/>
    <x v="528"/>
    <x v="624"/>
    <x v="1"/>
    <x v="1"/>
    <x v="28"/>
  </r>
  <r>
    <x v="426"/>
    <n v="2586"/>
    <n v="800"/>
    <n v="16"/>
    <x v="2"/>
    <x v="4"/>
    <x v="0"/>
    <x v="527"/>
    <x v="622"/>
    <x v="5"/>
    <x v="13"/>
    <x v="50"/>
  </r>
  <r>
    <x v="426"/>
    <n v="2586"/>
    <n v="800"/>
    <n v="16"/>
    <x v="2"/>
    <x v="4"/>
    <x v="0"/>
    <x v="67"/>
    <x v="623"/>
    <x v="5"/>
    <x v="14"/>
    <x v="39"/>
  </r>
  <r>
    <x v="426"/>
    <n v="2586"/>
    <n v="800"/>
    <n v="16"/>
    <x v="2"/>
    <x v="4"/>
    <x v="0"/>
    <x v="528"/>
    <x v="624"/>
    <x v="1"/>
    <x v="1"/>
    <x v="28"/>
  </r>
  <r>
    <x v="426"/>
    <n v="3757"/>
    <n v="1626"/>
    <n v="9"/>
    <x v="1"/>
    <x v="8"/>
    <x v="0"/>
    <x v="527"/>
    <x v="622"/>
    <x v="5"/>
    <x v="13"/>
    <x v="50"/>
  </r>
  <r>
    <x v="426"/>
    <n v="3757"/>
    <n v="1626"/>
    <n v="9"/>
    <x v="1"/>
    <x v="8"/>
    <x v="0"/>
    <x v="67"/>
    <x v="623"/>
    <x v="5"/>
    <x v="14"/>
    <x v="39"/>
  </r>
  <r>
    <x v="426"/>
    <n v="3757"/>
    <n v="1626"/>
    <n v="9"/>
    <x v="1"/>
    <x v="8"/>
    <x v="0"/>
    <x v="528"/>
    <x v="624"/>
    <x v="1"/>
    <x v="1"/>
    <x v="28"/>
  </r>
  <r>
    <x v="427"/>
    <n v="5193"/>
    <n v="2530"/>
    <n v="5"/>
    <x v="2"/>
    <x v="7"/>
    <x v="1"/>
    <x v="472"/>
    <x v="625"/>
    <x v="3"/>
    <x v="9"/>
    <x v="4"/>
  </r>
  <r>
    <x v="427"/>
    <n v="5193"/>
    <n v="2530"/>
    <n v="5"/>
    <x v="2"/>
    <x v="7"/>
    <x v="1"/>
    <x v="529"/>
    <x v="626"/>
    <x v="0"/>
    <x v="0"/>
    <x v="1"/>
  </r>
  <r>
    <x v="428"/>
    <n v="7493"/>
    <n v="96"/>
    <n v="3"/>
    <x v="0"/>
    <x v="0"/>
    <x v="0"/>
    <x v="530"/>
    <x v="627"/>
    <x v="5"/>
    <x v="14"/>
    <x v="38"/>
  </r>
  <r>
    <x v="429"/>
    <n v="2062"/>
    <n v="848"/>
    <n v="6"/>
    <x v="1"/>
    <x v="6"/>
    <x v="3"/>
    <x v="531"/>
    <x v="628"/>
    <x v="0"/>
    <x v="16"/>
    <x v="55"/>
  </r>
  <r>
    <x v="430"/>
    <n v="7163"/>
    <n v="1536"/>
    <n v="1"/>
    <x v="0"/>
    <x v="10"/>
    <x v="2"/>
    <x v="384"/>
    <x v="629"/>
    <x v="3"/>
    <x v="9"/>
    <x v="59"/>
  </r>
  <r>
    <x v="431"/>
    <n v="4026"/>
    <n v="163"/>
    <n v="6"/>
    <x v="0"/>
    <x v="10"/>
    <x v="4"/>
    <x v="532"/>
    <x v="630"/>
    <x v="2"/>
    <x v="5"/>
    <x v="17"/>
  </r>
  <r>
    <x v="432"/>
    <n v="1894"/>
    <n v="275"/>
    <n v="5"/>
    <x v="2"/>
    <x v="5"/>
    <x v="3"/>
    <x v="533"/>
    <x v="631"/>
    <x v="0"/>
    <x v="0"/>
    <x v="35"/>
  </r>
  <r>
    <x v="432"/>
    <n v="7144"/>
    <n v="192"/>
    <n v="13"/>
    <x v="0"/>
    <x v="0"/>
    <x v="3"/>
    <x v="533"/>
    <x v="631"/>
    <x v="0"/>
    <x v="0"/>
    <x v="35"/>
  </r>
  <r>
    <x v="433"/>
    <n v="3482"/>
    <n v="1554"/>
    <n v="15"/>
    <x v="0"/>
    <x v="3"/>
    <x v="1"/>
    <x v="534"/>
    <x v="632"/>
    <x v="5"/>
    <x v="12"/>
    <x v="57"/>
  </r>
  <r>
    <x v="434"/>
    <n v="4172"/>
    <n v="235"/>
    <n v="5"/>
    <x v="1"/>
    <x v="8"/>
    <x v="2"/>
    <x v="535"/>
    <x v="633"/>
    <x v="5"/>
    <x v="14"/>
    <x v="22"/>
  </r>
  <r>
    <x v="434"/>
    <n v="4172"/>
    <n v="235"/>
    <n v="5"/>
    <x v="1"/>
    <x v="8"/>
    <x v="2"/>
    <x v="536"/>
    <x v="634"/>
    <x v="0"/>
    <x v="3"/>
    <x v="40"/>
  </r>
  <r>
    <x v="434"/>
    <n v="4172"/>
    <n v="235"/>
    <n v="5"/>
    <x v="1"/>
    <x v="8"/>
    <x v="2"/>
    <x v="198"/>
    <x v="635"/>
    <x v="1"/>
    <x v="6"/>
    <x v="44"/>
  </r>
  <r>
    <x v="435"/>
    <n v="6265"/>
    <n v="155"/>
    <n v="8"/>
    <x v="2"/>
    <x v="7"/>
    <x v="4"/>
    <x v="157"/>
    <x v="636"/>
    <x v="5"/>
    <x v="13"/>
    <x v="40"/>
  </r>
  <r>
    <x v="435"/>
    <n v="6265"/>
    <n v="155"/>
    <n v="8"/>
    <x v="2"/>
    <x v="7"/>
    <x v="4"/>
    <x v="537"/>
    <x v="637"/>
    <x v="5"/>
    <x v="14"/>
    <x v="34"/>
  </r>
  <r>
    <x v="436"/>
    <n v="2931"/>
    <n v="212"/>
    <n v="7"/>
    <x v="0"/>
    <x v="0"/>
    <x v="3"/>
    <x v="538"/>
    <x v="638"/>
    <x v="1"/>
    <x v="17"/>
    <x v="47"/>
  </r>
  <r>
    <x v="436"/>
    <n v="2931"/>
    <n v="212"/>
    <n v="7"/>
    <x v="0"/>
    <x v="0"/>
    <x v="3"/>
    <x v="539"/>
    <x v="639"/>
    <x v="0"/>
    <x v="16"/>
    <x v="16"/>
  </r>
  <r>
    <x v="437"/>
    <n v="1146"/>
    <n v="188"/>
    <n v="9"/>
    <x v="2"/>
    <x v="5"/>
    <x v="1"/>
    <x v="540"/>
    <x v="640"/>
    <x v="0"/>
    <x v="16"/>
    <x v="46"/>
  </r>
  <r>
    <x v="438"/>
    <n v="9215"/>
    <n v="767"/>
    <n v="13"/>
    <x v="0"/>
    <x v="1"/>
    <x v="4"/>
    <x v="541"/>
    <x v="641"/>
    <x v="0"/>
    <x v="16"/>
    <x v="12"/>
  </r>
  <r>
    <x v="438"/>
    <n v="9215"/>
    <n v="767"/>
    <n v="13"/>
    <x v="0"/>
    <x v="1"/>
    <x v="4"/>
    <x v="542"/>
    <x v="642"/>
    <x v="3"/>
    <x v="11"/>
    <x v="35"/>
  </r>
  <r>
    <x v="439"/>
    <n v="7895"/>
    <n v="1005"/>
    <n v="1"/>
    <x v="2"/>
    <x v="5"/>
    <x v="3"/>
    <x v="543"/>
    <x v="643"/>
    <x v="5"/>
    <x v="13"/>
    <x v="59"/>
  </r>
  <r>
    <x v="439"/>
    <n v="7895"/>
    <n v="1005"/>
    <n v="1"/>
    <x v="2"/>
    <x v="5"/>
    <x v="3"/>
    <x v="544"/>
    <x v="644"/>
    <x v="3"/>
    <x v="9"/>
    <x v="30"/>
  </r>
  <r>
    <x v="439"/>
    <n v="2740"/>
    <n v="558"/>
    <n v="8"/>
    <x v="1"/>
    <x v="2"/>
    <x v="0"/>
    <x v="543"/>
    <x v="643"/>
    <x v="5"/>
    <x v="13"/>
    <x v="59"/>
  </r>
  <r>
    <x v="439"/>
    <n v="2740"/>
    <n v="558"/>
    <n v="8"/>
    <x v="1"/>
    <x v="2"/>
    <x v="0"/>
    <x v="544"/>
    <x v="644"/>
    <x v="3"/>
    <x v="9"/>
    <x v="30"/>
  </r>
  <r>
    <x v="440"/>
    <n v="5338"/>
    <n v="1354"/>
    <n v="16"/>
    <x v="1"/>
    <x v="6"/>
    <x v="0"/>
    <x v="545"/>
    <x v="645"/>
    <x v="1"/>
    <x v="17"/>
    <x v="19"/>
  </r>
  <r>
    <x v="440"/>
    <n v="5338"/>
    <n v="1354"/>
    <n v="16"/>
    <x v="1"/>
    <x v="6"/>
    <x v="0"/>
    <x v="546"/>
    <x v="646"/>
    <x v="2"/>
    <x v="2"/>
    <x v="0"/>
  </r>
  <r>
    <x v="440"/>
    <n v="5338"/>
    <n v="1354"/>
    <n v="16"/>
    <x v="1"/>
    <x v="6"/>
    <x v="0"/>
    <x v="408"/>
    <x v="647"/>
    <x v="0"/>
    <x v="3"/>
    <x v="56"/>
  </r>
  <r>
    <x v="440"/>
    <n v="5338"/>
    <n v="1354"/>
    <n v="16"/>
    <x v="1"/>
    <x v="6"/>
    <x v="0"/>
    <x v="547"/>
    <x v="648"/>
    <x v="2"/>
    <x v="2"/>
    <x v="49"/>
  </r>
  <r>
    <x v="441"/>
    <n v="3095"/>
    <n v="941"/>
    <n v="2"/>
    <x v="1"/>
    <x v="2"/>
    <x v="2"/>
    <x v="55"/>
    <x v="649"/>
    <x v="5"/>
    <x v="14"/>
    <x v="39"/>
  </r>
  <r>
    <x v="441"/>
    <n v="3095"/>
    <n v="941"/>
    <n v="2"/>
    <x v="1"/>
    <x v="2"/>
    <x v="2"/>
    <x v="98"/>
    <x v="650"/>
    <x v="4"/>
    <x v="10"/>
    <x v="40"/>
  </r>
  <r>
    <x v="442"/>
    <n v="6017"/>
    <n v="2230"/>
    <n v="13"/>
    <x v="0"/>
    <x v="1"/>
    <x v="1"/>
    <x v="166"/>
    <x v="651"/>
    <x v="1"/>
    <x v="17"/>
    <x v="21"/>
  </r>
  <r>
    <x v="443"/>
    <n v="4904"/>
    <n v="469"/>
    <n v="2"/>
    <x v="1"/>
    <x v="2"/>
    <x v="1"/>
    <x v="395"/>
    <x v="652"/>
    <x v="4"/>
    <x v="8"/>
    <x v="32"/>
  </r>
  <r>
    <x v="443"/>
    <n v="3080"/>
    <n v="737"/>
    <n v="6"/>
    <x v="1"/>
    <x v="9"/>
    <x v="0"/>
    <x v="395"/>
    <x v="652"/>
    <x v="4"/>
    <x v="8"/>
    <x v="32"/>
  </r>
  <r>
    <x v="444"/>
    <n v="1992"/>
    <n v="355"/>
    <n v="2"/>
    <x v="0"/>
    <x v="10"/>
    <x v="4"/>
    <x v="548"/>
    <x v="653"/>
    <x v="0"/>
    <x v="16"/>
    <x v="1"/>
  </r>
  <r>
    <x v="445"/>
    <n v="5346"/>
    <n v="1246"/>
    <n v="17"/>
    <x v="2"/>
    <x v="7"/>
    <x v="2"/>
    <x v="549"/>
    <x v="654"/>
    <x v="0"/>
    <x v="3"/>
    <x v="58"/>
  </r>
  <r>
    <x v="445"/>
    <n v="5346"/>
    <n v="1246"/>
    <n v="17"/>
    <x v="2"/>
    <x v="7"/>
    <x v="2"/>
    <x v="550"/>
    <x v="655"/>
    <x v="0"/>
    <x v="0"/>
    <x v="37"/>
  </r>
  <r>
    <x v="446"/>
    <n v="8422"/>
    <n v="893"/>
    <n v="18"/>
    <x v="0"/>
    <x v="1"/>
    <x v="1"/>
    <x v="98"/>
    <x v="656"/>
    <x v="3"/>
    <x v="11"/>
    <x v="40"/>
  </r>
  <r>
    <x v="446"/>
    <n v="8422"/>
    <n v="893"/>
    <n v="18"/>
    <x v="0"/>
    <x v="1"/>
    <x v="1"/>
    <x v="126"/>
    <x v="657"/>
    <x v="5"/>
    <x v="12"/>
    <x v="40"/>
  </r>
  <r>
    <x v="446"/>
    <n v="6105"/>
    <n v="1447"/>
    <n v="8"/>
    <x v="2"/>
    <x v="11"/>
    <x v="3"/>
    <x v="98"/>
    <x v="656"/>
    <x v="3"/>
    <x v="11"/>
    <x v="40"/>
  </r>
  <r>
    <x v="446"/>
    <n v="6105"/>
    <n v="1447"/>
    <n v="8"/>
    <x v="2"/>
    <x v="11"/>
    <x v="3"/>
    <x v="126"/>
    <x v="657"/>
    <x v="5"/>
    <x v="12"/>
    <x v="40"/>
  </r>
  <r>
    <x v="447"/>
    <n v="670"/>
    <n v="85"/>
    <n v="9"/>
    <x v="1"/>
    <x v="2"/>
    <x v="2"/>
    <x v="27"/>
    <x v="658"/>
    <x v="4"/>
    <x v="15"/>
    <x v="21"/>
  </r>
  <r>
    <x v="448"/>
    <n v="4057"/>
    <n v="1012"/>
    <n v="6"/>
    <x v="0"/>
    <x v="3"/>
    <x v="3"/>
    <x v="551"/>
    <x v="659"/>
    <x v="3"/>
    <x v="9"/>
    <x v="24"/>
  </r>
  <r>
    <x v="449"/>
    <n v="8178"/>
    <n v="2462"/>
    <n v="10"/>
    <x v="1"/>
    <x v="2"/>
    <x v="0"/>
    <x v="552"/>
    <x v="660"/>
    <x v="3"/>
    <x v="4"/>
    <x v="21"/>
  </r>
  <r>
    <x v="450"/>
    <n v="8752"/>
    <n v="1686"/>
    <n v="9"/>
    <x v="2"/>
    <x v="4"/>
    <x v="1"/>
    <x v="553"/>
    <x v="661"/>
    <x v="5"/>
    <x v="13"/>
    <x v="50"/>
  </r>
  <r>
    <x v="450"/>
    <n v="8752"/>
    <n v="1686"/>
    <n v="9"/>
    <x v="2"/>
    <x v="4"/>
    <x v="1"/>
    <x v="554"/>
    <x v="662"/>
    <x v="1"/>
    <x v="17"/>
    <x v="48"/>
  </r>
  <r>
    <x v="450"/>
    <n v="8752"/>
    <n v="1686"/>
    <n v="9"/>
    <x v="2"/>
    <x v="4"/>
    <x v="1"/>
    <x v="555"/>
    <x v="663"/>
    <x v="1"/>
    <x v="1"/>
    <x v="12"/>
  </r>
  <r>
    <x v="451"/>
    <n v="8974"/>
    <n v="4441"/>
    <n v="16"/>
    <x v="0"/>
    <x v="1"/>
    <x v="2"/>
    <x v="556"/>
    <x v="664"/>
    <x v="2"/>
    <x v="5"/>
    <x v="0"/>
  </r>
  <r>
    <x v="452"/>
    <n v="9090"/>
    <n v="3098"/>
    <n v="16"/>
    <x v="0"/>
    <x v="10"/>
    <x v="3"/>
    <x v="557"/>
    <x v="665"/>
    <x v="4"/>
    <x v="8"/>
    <x v="27"/>
  </r>
  <r>
    <x v="452"/>
    <n v="9090"/>
    <n v="3098"/>
    <n v="16"/>
    <x v="0"/>
    <x v="10"/>
    <x v="3"/>
    <x v="558"/>
    <x v="666"/>
    <x v="1"/>
    <x v="6"/>
    <x v="3"/>
  </r>
  <r>
    <x v="452"/>
    <n v="851"/>
    <n v="356"/>
    <n v="11"/>
    <x v="0"/>
    <x v="0"/>
    <x v="3"/>
    <x v="557"/>
    <x v="665"/>
    <x v="4"/>
    <x v="8"/>
    <x v="27"/>
  </r>
  <r>
    <x v="452"/>
    <n v="851"/>
    <n v="356"/>
    <n v="11"/>
    <x v="0"/>
    <x v="0"/>
    <x v="3"/>
    <x v="558"/>
    <x v="666"/>
    <x v="1"/>
    <x v="6"/>
    <x v="3"/>
  </r>
  <r>
    <x v="453"/>
    <n v="5427"/>
    <n v="728"/>
    <n v="3"/>
    <x v="0"/>
    <x v="10"/>
    <x v="0"/>
    <x v="559"/>
    <x v="667"/>
    <x v="0"/>
    <x v="0"/>
    <x v="45"/>
  </r>
  <r>
    <x v="454"/>
    <n v="2695"/>
    <n v="914"/>
    <n v="15"/>
    <x v="2"/>
    <x v="11"/>
    <x v="1"/>
    <x v="560"/>
    <x v="668"/>
    <x v="1"/>
    <x v="17"/>
    <x v="58"/>
  </r>
  <r>
    <x v="454"/>
    <n v="2695"/>
    <n v="914"/>
    <n v="15"/>
    <x v="2"/>
    <x v="11"/>
    <x v="1"/>
    <x v="561"/>
    <x v="669"/>
    <x v="3"/>
    <x v="4"/>
    <x v="22"/>
  </r>
  <r>
    <x v="455"/>
    <n v="2386"/>
    <n v="999"/>
    <n v="3"/>
    <x v="1"/>
    <x v="2"/>
    <x v="4"/>
    <x v="562"/>
    <x v="670"/>
    <x v="0"/>
    <x v="0"/>
    <x v="42"/>
  </r>
  <r>
    <x v="456"/>
    <n v="2284"/>
    <n v="149"/>
    <n v="20"/>
    <x v="1"/>
    <x v="2"/>
    <x v="1"/>
    <x v="563"/>
    <x v="671"/>
    <x v="2"/>
    <x v="7"/>
    <x v="36"/>
  </r>
  <r>
    <x v="457"/>
    <n v="6034"/>
    <n v="608"/>
    <n v="8"/>
    <x v="0"/>
    <x v="10"/>
    <x v="2"/>
    <x v="564"/>
    <x v="672"/>
    <x v="4"/>
    <x v="15"/>
    <x v="37"/>
  </r>
  <r>
    <x v="457"/>
    <n v="8956"/>
    <n v="3359"/>
    <n v="13"/>
    <x v="2"/>
    <x v="11"/>
    <x v="3"/>
    <x v="564"/>
    <x v="672"/>
    <x v="4"/>
    <x v="15"/>
    <x v="37"/>
  </r>
  <r>
    <x v="458"/>
    <n v="7122"/>
    <n v="1982"/>
    <n v="7"/>
    <x v="1"/>
    <x v="6"/>
    <x v="2"/>
    <x v="565"/>
    <x v="673"/>
    <x v="1"/>
    <x v="17"/>
    <x v="55"/>
  </r>
  <r>
    <x v="459"/>
    <n v="9775"/>
    <n v="4507"/>
    <n v="5"/>
    <x v="1"/>
    <x v="6"/>
    <x v="0"/>
    <x v="566"/>
    <x v="674"/>
    <x v="5"/>
    <x v="13"/>
    <x v="60"/>
  </r>
  <r>
    <x v="460"/>
    <n v="3309"/>
    <n v="177"/>
    <n v="13"/>
    <x v="2"/>
    <x v="11"/>
    <x v="2"/>
    <x v="567"/>
    <x v="675"/>
    <x v="5"/>
    <x v="14"/>
    <x v="50"/>
  </r>
  <r>
    <x v="461"/>
    <n v="4163"/>
    <n v="897"/>
    <n v="14"/>
    <x v="0"/>
    <x v="0"/>
    <x v="4"/>
    <x v="303"/>
    <x v="676"/>
    <x v="1"/>
    <x v="6"/>
    <x v="40"/>
  </r>
  <r>
    <x v="461"/>
    <n v="4163"/>
    <n v="897"/>
    <n v="14"/>
    <x v="0"/>
    <x v="0"/>
    <x v="4"/>
    <x v="568"/>
    <x v="677"/>
    <x v="5"/>
    <x v="14"/>
    <x v="9"/>
  </r>
  <r>
    <x v="461"/>
    <n v="4163"/>
    <n v="897"/>
    <n v="14"/>
    <x v="0"/>
    <x v="0"/>
    <x v="4"/>
    <x v="569"/>
    <x v="678"/>
    <x v="0"/>
    <x v="3"/>
    <x v="22"/>
  </r>
  <r>
    <x v="462"/>
    <n v="5518"/>
    <n v="867"/>
    <n v="7"/>
    <x v="2"/>
    <x v="7"/>
    <x v="0"/>
    <x v="570"/>
    <x v="679"/>
    <x v="4"/>
    <x v="15"/>
    <x v="29"/>
  </r>
  <r>
    <x v="463"/>
    <n v="7566"/>
    <n v="606"/>
    <n v="6"/>
    <x v="0"/>
    <x v="10"/>
    <x v="1"/>
    <x v="571"/>
    <x v="680"/>
    <x v="5"/>
    <x v="12"/>
    <x v="52"/>
  </r>
  <r>
    <x v="463"/>
    <n v="7566"/>
    <n v="606"/>
    <n v="6"/>
    <x v="0"/>
    <x v="10"/>
    <x v="1"/>
    <x v="572"/>
    <x v="681"/>
    <x v="3"/>
    <x v="9"/>
    <x v="9"/>
  </r>
  <r>
    <x v="464"/>
    <n v="762"/>
    <n v="92"/>
    <n v="11"/>
    <x v="0"/>
    <x v="1"/>
    <x v="4"/>
    <x v="573"/>
    <x v="682"/>
    <x v="1"/>
    <x v="6"/>
    <x v="54"/>
  </r>
  <r>
    <x v="465"/>
    <n v="3316"/>
    <n v="126"/>
    <n v="6"/>
    <x v="0"/>
    <x v="3"/>
    <x v="4"/>
    <x v="574"/>
    <x v="683"/>
    <x v="5"/>
    <x v="13"/>
    <x v="20"/>
  </r>
  <r>
    <x v="466"/>
    <n v="5994"/>
    <n v="2826"/>
    <n v="9"/>
    <x v="2"/>
    <x v="11"/>
    <x v="2"/>
    <x v="249"/>
    <x v="684"/>
    <x v="3"/>
    <x v="11"/>
    <x v="23"/>
  </r>
  <r>
    <x v="466"/>
    <n v="5994"/>
    <n v="2826"/>
    <n v="9"/>
    <x v="2"/>
    <x v="11"/>
    <x v="2"/>
    <x v="575"/>
    <x v="685"/>
    <x v="3"/>
    <x v="4"/>
    <x v="55"/>
  </r>
  <r>
    <x v="466"/>
    <n v="5994"/>
    <n v="2826"/>
    <n v="9"/>
    <x v="2"/>
    <x v="11"/>
    <x v="2"/>
    <x v="147"/>
    <x v="686"/>
    <x v="2"/>
    <x v="5"/>
    <x v="55"/>
  </r>
  <r>
    <x v="467"/>
    <n v="3854"/>
    <n v="245"/>
    <n v="19"/>
    <x v="0"/>
    <x v="3"/>
    <x v="4"/>
    <x v="576"/>
    <x v="687"/>
    <x v="5"/>
    <x v="12"/>
    <x v="37"/>
  </r>
  <r>
    <x v="468"/>
    <n v="7019"/>
    <n v="2677"/>
    <n v="15"/>
    <x v="1"/>
    <x v="6"/>
    <x v="0"/>
    <x v="107"/>
    <x v="688"/>
    <x v="0"/>
    <x v="0"/>
    <x v="50"/>
  </r>
  <r>
    <x v="469"/>
    <n v="5954"/>
    <n v="2640"/>
    <n v="14"/>
    <x v="0"/>
    <x v="3"/>
    <x v="3"/>
    <x v="577"/>
    <x v="689"/>
    <x v="2"/>
    <x v="5"/>
    <x v="36"/>
  </r>
  <r>
    <x v="469"/>
    <n v="5954"/>
    <n v="2640"/>
    <n v="14"/>
    <x v="0"/>
    <x v="3"/>
    <x v="3"/>
    <x v="402"/>
    <x v="690"/>
    <x v="4"/>
    <x v="8"/>
    <x v="15"/>
  </r>
  <r>
    <x v="470"/>
    <n v="9752"/>
    <n v="3618"/>
    <n v="5"/>
    <x v="2"/>
    <x v="11"/>
    <x v="1"/>
    <x v="578"/>
    <x v="691"/>
    <x v="2"/>
    <x v="7"/>
    <x v="42"/>
  </r>
  <r>
    <x v="470"/>
    <n v="9752"/>
    <n v="3618"/>
    <n v="5"/>
    <x v="2"/>
    <x v="11"/>
    <x v="1"/>
    <x v="283"/>
    <x v="692"/>
    <x v="1"/>
    <x v="17"/>
    <x v="15"/>
  </r>
  <r>
    <x v="471"/>
    <n v="5335"/>
    <n v="322"/>
    <n v="15"/>
    <x v="0"/>
    <x v="0"/>
    <x v="4"/>
    <x v="579"/>
    <x v="693"/>
    <x v="2"/>
    <x v="5"/>
    <x v="37"/>
  </r>
  <r>
    <x v="472"/>
    <n v="1454"/>
    <n v="80"/>
    <n v="20"/>
    <x v="0"/>
    <x v="0"/>
    <x v="3"/>
    <x v="580"/>
    <x v="694"/>
    <x v="2"/>
    <x v="7"/>
    <x v="58"/>
  </r>
  <r>
    <x v="473"/>
    <n v="6724"/>
    <n v="1539"/>
    <n v="19"/>
    <x v="2"/>
    <x v="11"/>
    <x v="4"/>
    <x v="581"/>
    <x v="695"/>
    <x v="3"/>
    <x v="11"/>
    <x v="13"/>
  </r>
  <r>
    <x v="473"/>
    <n v="6724"/>
    <n v="1539"/>
    <n v="19"/>
    <x v="2"/>
    <x v="11"/>
    <x v="4"/>
    <x v="582"/>
    <x v="696"/>
    <x v="4"/>
    <x v="8"/>
    <x v="22"/>
  </r>
  <r>
    <x v="474"/>
    <n v="9874"/>
    <n v="3895"/>
    <n v="4"/>
    <x v="1"/>
    <x v="9"/>
    <x v="2"/>
    <x v="404"/>
    <x v="697"/>
    <x v="5"/>
    <x v="14"/>
    <x v="9"/>
  </r>
  <r>
    <x v="475"/>
    <n v="4918"/>
    <n v="1485"/>
    <n v="7"/>
    <x v="0"/>
    <x v="10"/>
    <x v="0"/>
    <x v="583"/>
    <x v="698"/>
    <x v="0"/>
    <x v="16"/>
    <x v="14"/>
  </r>
  <r>
    <x v="476"/>
    <n v="3189"/>
    <n v="1180"/>
    <n v="19"/>
    <x v="1"/>
    <x v="8"/>
    <x v="3"/>
    <x v="168"/>
    <x v="699"/>
    <x v="2"/>
    <x v="5"/>
    <x v="13"/>
  </r>
  <r>
    <x v="477"/>
    <n v="2684"/>
    <n v="713"/>
    <n v="2"/>
    <x v="0"/>
    <x v="0"/>
    <x v="0"/>
    <x v="208"/>
    <x v="700"/>
    <x v="2"/>
    <x v="5"/>
    <x v="47"/>
  </r>
  <r>
    <x v="477"/>
    <n v="2684"/>
    <n v="713"/>
    <n v="2"/>
    <x v="0"/>
    <x v="0"/>
    <x v="0"/>
    <x v="584"/>
    <x v="701"/>
    <x v="2"/>
    <x v="2"/>
    <x v="33"/>
  </r>
  <r>
    <x v="477"/>
    <n v="2684"/>
    <n v="713"/>
    <n v="2"/>
    <x v="0"/>
    <x v="0"/>
    <x v="0"/>
    <x v="585"/>
    <x v="702"/>
    <x v="4"/>
    <x v="8"/>
    <x v="8"/>
  </r>
  <r>
    <x v="478"/>
    <n v="7626"/>
    <n v="229"/>
    <n v="5"/>
    <x v="1"/>
    <x v="2"/>
    <x v="2"/>
    <x v="350"/>
    <x v="703"/>
    <x v="1"/>
    <x v="6"/>
    <x v="42"/>
  </r>
  <r>
    <x v="478"/>
    <n v="7626"/>
    <n v="229"/>
    <n v="5"/>
    <x v="1"/>
    <x v="2"/>
    <x v="2"/>
    <x v="586"/>
    <x v="704"/>
    <x v="5"/>
    <x v="12"/>
    <x v="11"/>
  </r>
  <r>
    <x v="479"/>
    <n v="6669"/>
    <n v="3063"/>
    <n v="19"/>
    <x v="0"/>
    <x v="1"/>
    <x v="0"/>
    <x v="587"/>
    <x v="705"/>
    <x v="5"/>
    <x v="13"/>
    <x v="21"/>
  </r>
  <r>
    <x v="480"/>
    <n v="6123"/>
    <n v="1686"/>
    <n v="3"/>
    <x v="1"/>
    <x v="6"/>
    <x v="3"/>
    <x v="112"/>
    <x v="706"/>
    <x v="5"/>
    <x v="13"/>
    <x v="37"/>
  </r>
  <r>
    <x v="481"/>
    <n v="3265"/>
    <n v="1390"/>
    <n v="16"/>
    <x v="1"/>
    <x v="8"/>
    <x v="3"/>
    <x v="588"/>
    <x v="707"/>
    <x v="3"/>
    <x v="4"/>
    <x v="10"/>
  </r>
  <r>
    <x v="482"/>
    <n v="8104"/>
    <n v="1039"/>
    <n v="6"/>
    <x v="1"/>
    <x v="6"/>
    <x v="4"/>
    <x v="589"/>
    <x v="708"/>
    <x v="0"/>
    <x v="3"/>
    <x v="35"/>
  </r>
  <r>
    <x v="482"/>
    <n v="8104"/>
    <n v="1039"/>
    <n v="6"/>
    <x v="1"/>
    <x v="6"/>
    <x v="4"/>
    <x v="590"/>
    <x v="709"/>
    <x v="0"/>
    <x v="0"/>
    <x v="4"/>
  </r>
  <r>
    <x v="482"/>
    <n v="8104"/>
    <n v="1039"/>
    <n v="6"/>
    <x v="1"/>
    <x v="6"/>
    <x v="4"/>
    <x v="330"/>
    <x v="710"/>
    <x v="3"/>
    <x v="11"/>
    <x v="52"/>
  </r>
  <r>
    <x v="483"/>
    <n v="847"/>
    <n v="355"/>
    <n v="17"/>
    <x v="2"/>
    <x v="4"/>
    <x v="4"/>
    <x v="591"/>
    <x v="711"/>
    <x v="2"/>
    <x v="2"/>
    <x v="37"/>
  </r>
  <r>
    <x v="483"/>
    <n v="847"/>
    <n v="355"/>
    <n v="17"/>
    <x v="2"/>
    <x v="4"/>
    <x v="4"/>
    <x v="394"/>
    <x v="712"/>
    <x v="4"/>
    <x v="10"/>
    <x v="6"/>
  </r>
  <r>
    <x v="483"/>
    <n v="847"/>
    <n v="355"/>
    <n v="17"/>
    <x v="2"/>
    <x v="4"/>
    <x v="4"/>
    <x v="463"/>
    <x v="713"/>
    <x v="3"/>
    <x v="11"/>
    <x v="54"/>
  </r>
  <r>
    <x v="484"/>
    <n v="3129"/>
    <n v="55"/>
    <n v="9"/>
    <x v="2"/>
    <x v="11"/>
    <x v="1"/>
    <x v="506"/>
    <x v="714"/>
    <x v="1"/>
    <x v="17"/>
    <x v="43"/>
  </r>
  <r>
    <x v="484"/>
    <n v="7821"/>
    <n v="3821"/>
    <n v="13"/>
    <x v="0"/>
    <x v="3"/>
    <x v="2"/>
    <x v="506"/>
    <x v="714"/>
    <x v="1"/>
    <x v="17"/>
    <x v="43"/>
  </r>
  <r>
    <x v="485"/>
    <n v="9498"/>
    <n v="256"/>
    <n v="12"/>
    <x v="0"/>
    <x v="10"/>
    <x v="4"/>
    <x v="592"/>
    <x v="715"/>
    <x v="1"/>
    <x v="17"/>
    <x v="51"/>
  </r>
  <r>
    <x v="485"/>
    <n v="9498"/>
    <n v="256"/>
    <n v="12"/>
    <x v="0"/>
    <x v="10"/>
    <x v="4"/>
    <x v="590"/>
    <x v="716"/>
    <x v="2"/>
    <x v="5"/>
    <x v="4"/>
  </r>
  <r>
    <x v="486"/>
    <n v="5461"/>
    <n v="1214"/>
    <n v="7"/>
    <x v="2"/>
    <x v="7"/>
    <x v="3"/>
    <x v="593"/>
    <x v="717"/>
    <x v="2"/>
    <x v="7"/>
    <x v="53"/>
  </r>
  <r>
    <x v="487"/>
    <n v="3084"/>
    <n v="611"/>
    <n v="19"/>
    <x v="2"/>
    <x v="11"/>
    <x v="0"/>
    <x v="594"/>
    <x v="718"/>
    <x v="4"/>
    <x v="8"/>
    <x v="3"/>
  </r>
  <r>
    <x v="488"/>
    <n v="6087"/>
    <n v="3043"/>
    <n v="1"/>
    <x v="2"/>
    <x v="7"/>
    <x v="4"/>
    <x v="595"/>
    <x v="719"/>
    <x v="2"/>
    <x v="2"/>
    <x v="38"/>
  </r>
  <r>
    <x v="489"/>
    <n v="611"/>
    <n v="300"/>
    <n v="3"/>
    <x v="2"/>
    <x v="11"/>
    <x v="3"/>
    <x v="596"/>
    <x v="720"/>
    <x v="1"/>
    <x v="17"/>
    <x v="20"/>
  </r>
  <r>
    <x v="490"/>
    <n v="9909"/>
    <n v="2999"/>
    <n v="18"/>
    <x v="1"/>
    <x v="6"/>
    <x v="4"/>
    <x v="597"/>
    <x v="721"/>
    <x v="5"/>
    <x v="14"/>
    <x v="18"/>
  </r>
  <r>
    <x v="490"/>
    <n v="9909"/>
    <n v="2999"/>
    <n v="18"/>
    <x v="1"/>
    <x v="6"/>
    <x v="4"/>
    <x v="598"/>
    <x v="722"/>
    <x v="4"/>
    <x v="10"/>
    <x v="12"/>
  </r>
  <r>
    <x v="491"/>
    <n v="6485"/>
    <n v="3178"/>
    <n v="18"/>
    <x v="2"/>
    <x v="7"/>
    <x v="0"/>
    <x v="401"/>
    <x v="723"/>
    <x v="5"/>
    <x v="12"/>
    <x v="17"/>
  </r>
  <r>
    <x v="492"/>
    <n v="7259"/>
    <n v="1969"/>
    <n v="10"/>
    <x v="0"/>
    <x v="3"/>
    <x v="3"/>
    <x v="174"/>
    <x v="724"/>
    <x v="1"/>
    <x v="6"/>
    <x v="29"/>
  </r>
  <r>
    <x v="493"/>
    <n v="3333"/>
    <n v="700"/>
    <n v="18"/>
    <x v="0"/>
    <x v="1"/>
    <x v="4"/>
    <x v="103"/>
    <x v="725"/>
    <x v="0"/>
    <x v="0"/>
    <x v="28"/>
  </r>
  <r>
    <x v="494"/>
    <n v="7786"/>
    <n v="1202"/>
    <n v="4"/>
    <x v="2"/>
    <x v="7"/>
    <x v="2"/>
    <x v="219"/>
    <x v="726"/>
    <x v="1"/>
    <x v="17"/>
    <x v="53"/>
  </r>
  <r>
    <x v="495"/>
    <n v="7644"/>
    <n v="2428"/>
    <n v="6"/>
    <x v="0"/>
    <x v="10"/>
    <x v="1"/>
    <x v="332"/>
    <x v="727"/>
    <x v="1"/>
    <x v="6"/>
    <x v="12"/>
  </r>
  <r>
    <x v="496"/>
    <n v="1476"/>
    <n v="247"/>
    <n v="5"/>
    <x v="2"/>
    <x v="11"/>
    <x v="4"/>
    <x v="599"/>
    <x v="728"/>
    <x v="3"/>
    <x v="4"/>
    <x v="6"/>
  </r>
  <r>
    <x v="496"/>
    <n v="1476"/>
    <n v="247"/>
    <n v="5"/>
    <x v="2"/>
    <x v="11"/>
    <x v="4"/>
    <x v="600"/>
    <x v="729"/>
    <x v="3"/>
    <x v="9"/>
    <x v="12"/>
  </r>
  <r>
    <x v="497"/>
    <n v="3445"/>
    <n v="1405"/>
    <n v="16"/>
    <x v="2"/>
    <x v="7"/>
    <x v="2"/>
    <x v="487"/>
    <x v="730"/>
    <x v="3"/>
    <x v="11"/>
    <x v="57"/>
  </r>
  <r>
    <x v="497"/>
    <n v="9837"/>
    <n v="384"/>
    <n v="1"/>
    <x v="0"/>
    <x v="3"/>
    <x v="0"/>
    <x v="487"/>
    <x v="730"/>
    <x v="3"/>
    <x v="11"/>
    <x v="57"/>
  </r>
  <r>
    <x v="498"/>
    <n v="1314"/>
    <n v="457"/>
    <n v="8"/>
    <x v="2"/>
    <x v="7"/>
    <x v="2"/>
    <x v="281"/>
    <x v="731"/>
    <x v="3"/>
    <x v="9"/>
    <x v="22"/>
  </r>
  <r>
    <x v="499"/>
    <n v="5951"/>
    <n v="936"/>
    <n v="6"/>
    <x v="0"/>
    <x v="3"/>
    <x v="1"/>
    <x v="601"/>
    <x v="732"/>
    <x v="4"/>
    <x v="8"/>
    <x v="19"/>
  </r>
  <r>
    <x v="499"/>
    <n v="5951"/>
    <n v="936"/>
    <n v="6"/>
    <x v="0"/>
    <x v="3"/>
    <x v="1"/>
    <x v="602"/>
    <x v="733"/>
    <x v="5"/>
    <x v="12"/>
    <x v="58"/>
  </r>
  <r>
    <x v="500"/>
    <n v="992"/>
    <n v="177"/>
    <n v="6"/>
    <x v="0"/>
    <x v="10"/>
    <x v="0"/>
    <x v="603"/>
    <x v="734"/>
    <x v="3"/>
    <x v="4"/>
    <x v="10"/>
  </r>
  <r>
    <x v="500"/>
    <n v="4699"/>
    <n v="625"/>
    <n v="18"/>
    <x v="1"/>
    <x v="6"/>
    <x v="2"/>
    <x v="603"/>
    <x v="734"/>
    <x v="3"/>
    <x v="4"/>
    <x v="10"/>
  </r>
  <r>
    <x v="501"/>
    <n v="5557"/>
    <n v="2114"/>
    <n v="17"/>
    <x v="0"/>
    <x v="3"/>
    <x v="2"/>
    <x v="113"/>
    <x v="735"/>
    <x v="5"/>
    <x v="14"/>
    <x v="18"/>
  </r>
  <r>
    <x v="502"/>
    <n v="3436"/>
    <n v="933"/>
    <n v="3"/>
    <x v="0"/>
    <x v="0"/>
    <x v="3"/>
    <x v="340"/>
    <x v="736"/>
    <x v="4"/>
    <x v="8"/>
    <x v="22"/>
  </r>
  <r>
    <x v="503"/>
    <n v="9840"/>
    <n v="3870"/>
    <n v="11"/>
    <x v="0"/>
    <x v="1"/>
    <x v="1"/>
    <x v="604"/>
    <x v="737"/>
    <x v="4"/>
    <x v="10"/>
    <x v="28"/>
  </r>
  <r>
    <x v="504"/>
    <n v="7620"/>
    <n v="125"/>
    <n v="4"/>
    <x v="1"/>
    <x v="8"/>
    <x v="2"/>
    <x v="605"/>
    <x v="738"/>
    <x v="3"/>
    <x v="11"/>
    <x v="2"/>
  </r>
  <r>
    <x v="504"/>
    <n v="7620"/>
    <n v="125"/>
    <n v="4"/>
    <x v="1"/>
    <x v="8"/>
    <x v="2"/>
    <x v="606"/>
    <x v="739"/>
    <x v="3"/>
    <x v="11"/>
    <x v="56"/>
  </r>
  <r>
    <x v="505"/>
    <n v="4314"/>
    <n v="1591"/>
    <n v="5"/>
    <x v="2"/>
    <x v="4"/>
    <x v="1"/>
    <x v="178"/>
    <x v="740"/>
    <x v="2"/>
    <x v="2"/>
    <x v="4"/>
  </r>
  <r>
    <x v="506"/>
    <n v="8851"/>
    <n v="999"/>
    <n v="12"/>
    <x v="0"/>
    <x v="3"/>
    <x v="0"/>
    <x v="607"/>
    <x v="741"/>
    <x v="5"/>
    <x v="13"/>
    <x v="42"/>
  </r>
  <r>
    <x v="507"/>
    <n v="544"/>
    <n v="272"/>
    <n v="2"/>
    <x v="0"/>
    <x v="3"/>
    <x v="1"/>
    <x v="608"/>
    <x v="742"/>
    <x v="4"/>
    <x v="15"/>
    <x v="34"/>
  </r>
  <r>
    <x v="507"/>
    <n v="544"/>
    <n v="272"/>
    <n v="2"/>
    <x v="0"/>
    <x v="3"/>
    <x v="1"/>
    <x v="474"/>
    <x v="743"/>
    <x v="2"/>
    <x v="2"/>
    <x v="0"/>
  </r>
  <r>
    <x v="508"/>
    <n v="537"/>
    <n v="142"/>
    <n v="20"/>
    <x v="1"/>
    <x v="6"/>
    <x v="2"/>
    <x v="609"/>
    <x v="744"/>
    <x v="1"/>
    <x v="17"/>
    <x v="36"/>
  </r>
  <r>
    <x v="509"/>
    <n v="5944"/>
    <n v="2661"/>
    <n v="7"/>
    <x v="0"/>
    <x v="3"/>
    <x v="2"/>
    <x v="434"/>
    <x v="745"/>
    <x v="4"/>
    <x v="10"/>
    <x v="25"/>
  </r>
  <r>
    <x v="510"/>
    <n v="2258"/>
    <n v="135"/>
    <n v="18"/>
    <x v="0"/>
    <x v="1"/>
    <x v="3"/>
    <x v="607"/>
    <x v="746"/>
    <x v="0"/>
    <x v="0"/>
    <x v="42"/>
  </r>
  <r>
    <x v="510"/>
    <n v="2258"/>
    <n v="135"/>
    <n v="18"/>
    <x v="0"/>
    <x v="1"/>
    <x v="3"/>
    <x v="610"/>
    <x v="747"/>
    <x v="3"/>
    <x v="9"/>
    <x v="40"/>
  </r>
  <r>
    <x v="511"/>
    <n v="9609"/>
    <n v="4339"/>
    <n v="3"/>
    <x v="2"/>
    <x v="7"/>
    <x v="1"/>
    <x v="611"/>
    <x v="748"/>
    <x v="4"/>
    <x v="15"/>
    <x v="31"/>
  </r>
  <r>
    <x v="511"/>
    <n v="9609"/>
    <n v="4339"/>
    <n v="3"/>
    <x v="2"/>
    <x v="7"/>
    <x v="1"/>
    <x v="612"/>
    <x v="749"/>
    <x v="5"/>
    <x v="13"/>
    <x v="32"/>
  </r>
  <r>
    <x v="512"/>
    <n v="9952"/>
    <n v="3301"/>
    <n v="15"/>
    <x v="0"/>
    <x v="0"/>
    <x v="1"/>
    <x v="362"/>
    <x v="750"/>
    <x v="4"/>
    <x v="8"/>
    <x v="45"/>
  </r>
  <r>
    <x v="513"/>
    <n v="9873"/>
    <n v="4585"/>
    <n v="7"/>
    <x v="1"/>
    <x v="8"/>
    <x v="3"/>
    <x v="443"/>
    <x v="751"/>
    <x v="5"/>
    <x v="12"/>
    <x v="38"/>
  </r>
  <r>
    <x v="514"/>
    <n v="3560"/>
    <n v="1335"/>
    <n v="15"/>
    <x v="0"/>
    <x v="0"/>
    <x v="4"/>
    <x v="294"/>
    <x v="752"/>
    <x v="2"/>
    <x v="5"/>
    <x v="32"/>
  </r>
  <r>
    <x v="514"/>
    <n v="3560"/>
    <n v="1335"/>
    <n v="15"/>
    <x v="0"/>
    <x v="0"/>
    <x v="4"/>
    <x v="613"/>
    <x v="753"/>
    <x v="1"/>
    <x v="6"/>
    <x v="45"/>
  </r>
  <r>
    <x v="515"/>
    <n v="6528"/>
    <n v="76"/>
    <n v="9"/>
    <x v="0"/>
    <x v="10"/>
    <x v="1"/>
    <x v="8"/>
    <x v="754"/>
    <x v="2"/>
    <x v="2"/>
    <x v="8"/>
  </r>
  <r>
    <x v="515"/>
    <n v="8930"/>
    <n v="3374"/>
    <n v="12"/>
    <x v="2"/>
    <x v="7"/>
    <x v="1"/>
    <x v="8"/>
    <x v="754"/>
    <x v="2"/>
    <x v="2"/>
    <x v="8"/>
  </r>
  <r>
    <x v="516"/>
    <n v="4521"/>
    <n v="1778"/>
    <n v="9"/>
    <x v="1"/>
    <x v="8"/>
    <x v="1"/>
    <x v="614"/>
    <x v="755"/>
    <x v="0"/>
    <x v="16"/>
    <x v="56"/>
  </r>
  <r>
    <x v="517"/>
    <n v="7091"/>
    <n v="2317"/>
    <n v="10"/>
    <x v="2"/>
    <x v="7"/>
    <x v="3"/>
    <x v="615"/>
    <x v="756"/>
    <x v="3"/>
    <x v="9"/>
    <x v="33"/>
  </r>
  <r>
    <x v="518"/>
    <n v="2101"/>
    <n v="287"/>
    <n v="8"/>
    <x v="1"/>
    <x v="2"/>
    <x v="4"/>
    <x v="494"/>
    <x v="349"/>
    <x v="5"/>
    <x v="14"/>
    <x v="60"/>
  </r>
  <r>
    <x v="518"/>
    <n v="2101"/>
    <n v="287"/>
    <n v="8"/>
    <x v="1"/>
    <x v="2"/>
    <x v="4"/>
    <x v="616"/>
    <x v="757"/>
    <x v="1"/>
    <x v="1"/>
    <x v="28"/>
  </r>
  <r>
    <x v="519"/>
    <n v="8644"/>
    <n v="1968"/>
    <n v="9"/>
    <x v="1"/>
    <x v="8"/>
    <x v="1"/>
    <x v="617"/>
    <x v="758"/>
    <x v="1"/>
    <x v="1"/>
    <x v="6"/>
  </r>
  <r>
    <x v="520"/>
    <n v="6672"/>
    <n v="3319"/>
    <n v="4"/>
    <x v="2"/>
    <x v="4"/>
    <x v="0"/>
    <x v="618"/>
    <x v="759"/>
    <x v="4"/>
    <x v="8"/>
    <x v="6"/>
  </r>
  <r>
    <x v="520"/>
    <n v="6672"/>
    <n v="3319"/>
    <n v="4"/>
    <x v="2"/>
    <x v="4"/>
    <x v="0"/>
    <x v="619"/>
    <x v="760"/>
    <x v="3"/>
    <x v="9"/>
    <x v="3"/>
  </r>
  <r>
    <x v="521"/>
    <n v="4699"/>
    <n v="103"/>
    <n v="12"/>
    <x v="1"/>
    <x v="9"/>
    <x v="0"/>
    <x v="594"/>
    <x v="761"/>
    <x v="5"/>
    <x v="13"/>
    <x v="3"/>
  </r>
  <r>
    <x v="522"/>
    <n v="4897"/>
    <n v="1001"/>
    <n v="14"/>
    <x v="2"/>
    <x v="7"/>
    <x v="1"/>
    <x v="376"/>
    <x v="762"/>
    <x v="4"/>
    <x v="15"/>
    <x v="13"/>
  </r>
  <r>
    <x v="522"/>
    <n v="4897"/>
    <n v="1001"/>
    <n v="14"/>
    <x v="2"/>
    <x v="7"/>
    <x v="1"/>
    <x v="119"/>
    <x v="763"/>
    <x v="5"/>
    <x v="13"/>
    <x v="52"/>
  </r>
  <r>
    <x v="523"/>
    <n v="5460"/>
    <n v="2088"/>
    <n v="14"/>
    <x v="2"/>
    <x v="4"/>
    <x v="1"/>
    <x v="620"/>
    <x v="764"/>
    <x v="2"/>
    <x v="2"/>
    <x v="58"/>
  </r>
  <r>
    <x v="523"/>
    <n v="5460"/>
    <n v="2088"/>
    <n v="14"/>
    <x v="2"/>
    <x v="4"/>
    <x v="1"/>
    <x v="621"/>
    <x v="765"/>
    <x v="5"/>
    <x v="13"/>
    <x v="32"/>
  </r>
  <r>
    <x v="524"/>
    <n v="9272"/>
    <n v="1771"/>
    <n v="19"/>
    <x v="1"/>
    <x v="6"/>
    <x v="0"/>
    <x v="622"/>
    <x v="766"/>
    <x v="1"/>
    <x v="6"/>
    <x v="46"/>
  </r>
  <r>
    <x v="524"/>
    <n v="9272"/>
    <n v="1771"/>
    <n v="19"/>
    <x v="1"/>
    <x v="6"/>
    <x v="0"/>
    <x v="440"/>
    <x v="767"/>
    <x v="4"/>
    <x v="8"/>
    <x v="32"/>
  </r>
  <r>
    <x v="525"/>
    <n v="7870"/>
    <n v="1057"/>
    <n v="15"/>
    <x v="1"/>
    <x v="2"/>
    <x v="3"/>
    <x v="236"/>
    <x v="768"/>
    <x v="4"/>
    <x v="15"/>
    <x v="59"/>
  </r>
  <r>
    <x v="525"/>
    <n v="7870"/>
    <n v="1057"/>
    <n v="15"/>
    <x v="1"/>
    <x v="2"/>
    <x v="3"/>
    <x v="623"/>
    <x v="769"/>
    <x v="5"/>
    <x v="14"/>
    <x v="34"/>
  </r>
  <r>
    <x v="526"/>
    <n v="7992"/>
    <n v="893"/>
    <n v="12"/>
    <x v="0"/>
    <x v="3"/>
    <x v="3"/>
    <x v="511"/>
    <x v="770"/>
    <x v="5"/>
    <x v="14"/>
    <x v="31"/>
  </r>
  <r>
    <x v="526"/>
    <n v="7992"/>
    <n v="893"/>
    <n v="12"/>
    <x v="0"/>
    <x v="3"/>
    <x v="3"/>
    <x v="230"/>
    <x v="771"/>
    <x v="2"/>
    <x v="5"/>
    <x v="23"/>
  </r>
  <r>
    <x v="526"/>
    <n v="7992"/>
    <n v="893"/>
    <n v="12"/>
    <x v="0"/>
    <x v="3"/>
    <x v="3"/>
    <x v="624"/>
    <x v="772"/>
    <x v="1"/>
    <x v="1"/>
    <x v="23"/>
  </r>
  <r>
    <x v="527"/>
    <n v="6499"/>
    <n v="2189"/>
    <n v="18"/>
    <x v="0"/>
    <x v="0"/>
    <x v="2"/>
    <x v="208"/>
    <x v="773"/>
    <x v="2"/>
    <x v="5"/>
    <x v="47"/>
  </r>
  <r>
    <x v="527"/>
    <n v="6499"/>
    <n v="2189"/>
    <n v="18"/>
    <x v="0"/>
    <x v="0"/>
    <x v="2"/>
    <x v="348"/>
    <x v="774"/>
    <x v="0"/>
    <x v="3"/>
    <x v="27"/>
  </r>
  <r>
    <x v="528"/>
    <n v="8848"/>
    <n v="2090"/>
    <n v="9"/>
    <x v="1"/>
    <x v="2"/>
    <x v="1"/>
    <x v="625"/>
    <x v="775"/>
    <x v="3"/>
    <x v="9"/>
    <x v="52"/>
  </r>
  <r>
    <x v="529"/>
    <n v="8044"/>
    <n v="3634"/>
    <n v="3"/>
    <x v="1"/>
    <x v="6"/>
    <x v="4"/>
    <x v="626"/>
    <x v="776"/>
    <x v="0"/>
    <x v="3"/>
    <x v="50"/>
  </r>
  <r>
    <x v="529"/>
    <n v="8044"/>
    <n v="3634"/>
    <n v="3"/>
    <x v="1"/>
    <x v="6"/>
    <x v="4"/>
    <x v="23"/>
    <x v="777"/>
    <x v="3"/>
    <x v="9"/>
    <x v="15"/>
  </r>
  <r>
    <x v="530"/>
    <n v="7417"/>
    <n v="1334"/>
    <n v="16"/>
    <x v="2"/>
    <x v="11"/>
    <x v="4"/>
    <x v="627"/>
    <x v="778"/>
    <x v="0"/>
    <x v="16"/>
    <x v="4"/>
  </r>
  <r>
    <x v="531"/>
    <n v="3451"/>
    <n v="658"/>
    <n v="3"/>
    <x v="1"/>
    <x v="6"/>
    <x v="0"/>
    <x v="628"/>
    <x v="779"/>
    <x v="1"/>
    <x v="1"/>
    <x v="1"/>
  </r>
  <r>
    <x v="532"/>
    <n v="8531"/>
    <n v="2555"/>
    <n v="4"/>
    <x v="0"/>
    <x v="3"/>
    <x v="2"/>
    <x v="629"/>
    <x v="780"/>
    <x v="4"/>
    <x v="10"/>
    <x v="37"/>
  </r>
  <r>
    <x v="533"/>
    <n v="6646"/>
    <n v="848"/>
    <n v="15"/>
    <x v="2"/>
    <x v="7"/>
    <x v="1"/>
    <x v="630"/>
    <x v="781"/>
    <x v="2"/>
    <x v="5"/>
    <x v="21"/>
  </r>
  <r>
    <x v="533"/>
    <n v="6646"/>
    <n v="848"/>
    <n v="15"/>
    <x v="2"/>
    <x v="7"/>
    <x v="1"/>
    <x v="631"/>
    <x v="782"/>
    <x v="2"/>
    <x v="2"/>
    <x v="17"/>
  </r>
  <r>
    <x v="534"/>
    <n v="2553"/>
    <n v="907"/>
    <n v="6"/>
    <x v="0"/>
    <x v="3"/>
    <x v="3"/>
    <x v="632"/>
    <x v="783"/>
    <x v="4"/>
    <x v="8"/>
    <x v="0"/>
  </r>
  <r>
    <x v="535"/>
    <n v="8490"/>
    <n v="3485"/>
    <n v="3"/>
    <x v="0"/>
    <x v="10"/>
    <x v="3"/>
    <x v="150"/>
    <x v="784"/>
    <x v="2"/>
    <x v="5"/>
    <x v="45"/>
  </r>
  <r>
    <x v="536"/>
    <n v="2689"/>
    <n v="1330"/>
    <n v="3"/>
    <x v="2"/>
    <x v="4"/>
    <x v="0"/>
    <x v="162"/>
    <x v="785"/>
    <x v="3"/>
    <x v="4"/>
    <x v="50"/>
  </r>
  <r>
    <x v="536"/>
    <n v="2689"/>
    <n v="1330"/>
    <n v="3"/>
    <x v="2"/>
    <x v="4"/>
    <x v="0"/>
    <x v="334"/>
    <x v="786"/>
    <x v="0"/>
    <x v="0"/>
    <x v="3"/>
  </r>
  <r>
    <x v="537"/>
    <n v="815"/>
    <n v="54"/>
    <n v="14"/>
    <x v="2"/>
    <x v="4"/>
    <x v="1"/>
    <x v="633"/>
    <x v="787"/>
    <x v="3"/>
    <x v="11"/>
    <x v="18"/>
  </r>
  <r>
    <x v="538"/>
    <n v="5024"/>
    <n v="379"/>
    <n v="2"/>
    <x v="1"/>
    <x v="8"/>
    <x v="0"/>
    <x v="634"/>
    <x v="788"/>
    <x v="4"/>
    <x v="8"/>
    <x v="44"/>
  </r>
  <r>
    <x v="538"/>
    <n v="5024"/>
    <n v="379"/>
    <n v="2"/>
    <x v="1"/>
    <x v="8"/>
    <x v="0"/>
    <x v="635"/>
    <x v="789"/>
    <x v="1"/>
    <x v="17"/>
    <x v="29"/>
  </r>
  <r>
    <x v="539"/>
    <n v="8962"/>
    <n v="2444"/>
    <n v="18"/>
    <x v="0"/>
    <x v="0"/>
    <x v="1"/>
    <x v="636"/>
    <x v="790"/>
    <x v="5"/>
    <x v="14"/>
    <x v="2"/>
  </r>
  <r>
    <x v="539"/>
    <n v="8962"/>
    <n v="2444"/>
    <n v="18"/>
    <x v="0"/>
    <x v="0"/>
    <x v="1"/>
    <x v="637"/>
    <x v="791"/>
    <x v="1"/>
    <x v="17"/>
    <x v="7"/>
  </r>
  <r>
    <x v="540"/>
    <n v="1961"/>
    <n v="59"/>
    <n v="12"/>
    <x v="1"/>
    <x v="9"/>
    <x v="0"/>
    <x v="638"/>
    <x v="792"/>
    <x v="0"/>
    <x v="3"/>
    <x v="38"/>
  </r>
  <r>
    <x v="541"/>
    <n v="526"/>
    <n v="83"/>
    <n v="4"/>
    <x v="2"/>
    <x v="7"/>
    <x v="3"/>
    <x v="639"/>
    <x v="793"/>
    <x v="1"/>
    <x v="1"/>
    <x v="26"/>
  </r>
  <r>
    <x v="542"/>
    <n v="6093"/>
    <n v="3042"/>
    <n v="9"/>
    <x v="2"/>
    <x v="11"/>
    <x v="1"/>
    <x v="640"/>
    <x v="794"/>
    <x v="3"/>
    <x v="11"/>
    <x v="22"/>
  </r>
  <r>
    <x v="542"/>
    <n v="6093"/>
    <n v="3042"/>
    <n v="9"/>
    <x v="2"/>
    <x v="11"/>
    <x v="1"/>
    <x v="641"/>
    <x v="795"/>
    <x v="3"/>
    <x v="9"/>
    <x v="34"/>
  </r>
  <r>
    <x v="543"/>
    <n v="7699"/>
    <n v="246"/>
    <n v="5"/>
    <x v="0"/>
    <x v="0"/>
    <x v="1"/>
    <x v="642"/>
    <x v="796"/>
    <x v="4"/>
    <x v="10"/>
    <x v="48"/>
  </r>
  <r>
    <x v="544"/>
    <n v="8825"/>
    <n v="3594"/>
    <n v="15"/>
    <x v="2"/>
    <x v="4"/>
    <x v="1"/>
    <x v="643"/>
    <x v="797"/>
    <x v="2"/>
    <x v="5"/>
    <x v="41"/>
  </r>
  <r>
    <x v="545"/>
    <n v="2082"/>
    <n v="642"/>
    <n v="8"/>
    <x v="0"/>
    <x v="10"/>
    <x v="2"/>
    <x v="644"/>
    <x v="798"/>
    <x v="2"/>
    <x v="7"/>
    <x v="53"/>
  </r>
  <r>
    <x v="545"/>
    <n v="2082"/>
    <n v="642"/>
    <n v="8"/>
    <x v="0"/>
    <x v="10"/>
    <x v="2"/>
    <x v="645"/>
    <x v="799"/>
    <x v="4"/>
    <x v="10"/>
    <x v="29"/>
  </r>
  <r>
    <x v="545"/>
    <n v="2082"/>
    <n v="642"/>
    <n v="8"/>
    <x v="0"/>
    <x v="10"/>
    <x v="2"/>
    <x v="646"/>
    <x v="800"/>
    <x v="2"/>
    <x v="2"/>
    <x v="38"/>
  </r>
  <r>
    <x v="546"/>
    <n v="914"/>
    <n v="163"/>
    <n v="13"/>
    <x v="1"/>
    <x v="6"/>
    <x v="0"/>
    <x v="647"/>
    <x v="801"/>
    <x v="1"/>
    <x v="1"/>
    <x v="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640"/>
    <n v="883"/>
    <n v="117"/>
    <n v="10"/>
    <x v="0"/>
    <s v="Laptops"/>
    <s v="EMI"/>
    <d v="2022-11-18T00:00:00"/>
    <s v="Richard Kelley"/>
    <x v="0"/>
    <x v="0"/>
    <d v="2022-11-01T00:00:00"/>
    <x v="0"/>
  </r>
  <r>
    <s v="B-26640"/>
    <n v="8127"/>
    <n v="3551"/>
    <n v="16"/>
    <x v="1"/>
    <s v="Tables"/>
    <s v="Credit Card"/>
    <d v="2022-11-18T00:00:00"/>
    <s v="Richard Kelley"/>
    <x v="0"/>
    <x v="0"/>
    <d v="2022-11-01T00:00:00"/>
    <x v="0"/>
  </r>
  <r>
    <s v="B-26703"/>
    <n v="4206"/>
    <n v="1821"/>
    <n v="17"/>
    <x v="0"/>
    <s v="Electronic Games"/>
    <s v="EMI"/>
    <d v="2022-01-23T00:00:00"/>
    <s v="Juan Erickson"/>
    <x v="1"/>
    <x v="1"/>
    <d v="2022-01-01T00:00:00"/>
    <x v="0"/>
  </r>
  <r>
    <s v="B-25394"/>
    <n v="3686"/>
    <n v="760"/>
    <n v="20"/>
    <x v="2"/>
    <s v="Pens"/>
    <s v="Debit Card"/>
    <d v="2022-10-30T00:00:00"/>
    <s v="Tyler Park"/>
    <x v="0"/>
    <x v="2"/>
    <d v="2022-10-01T00:00:00"/>
    <x v="0"/>
  </r>
  <r>
    <s v="B-25394"/>
    <n v="3686"/>
    <n v="760"/>
    <n v="20"/>
    <x v="2"/>
    <s v="Pens"/>
    <s v="Debit Card"/>
    <d v="2022-01-15T00:00:00"/>
    <s v="Richard Wolfe"/>
    <x v="2"/>
    <x v="3"/>
    <d v="2022-01-01T00:00:00"/>
    <x v="0"/>
  </r>
  <r>
    <s v="B-26139"/>
    <n v="3958"/>
    <n v="630"/>
    <n v="15"/>
    <x v="1"/>
    <s v="Sofas"/>
    <s v="EMI"/>
    <d v="2022-10-07T00:00:00"/>
    <s v="Casey Garcia"/>
    <x v="3"/>
    <x v="4"/>
    <d v="2022-10-01T00:00:00"/>
    <x v="0"/>
  </r>
  <r>
    <s v="B-26139"/>
    <n v="3132"/>
    <n v="963"/>
    <n v="1"/>
    <x v="1"/>
    <s v="Tables"/>
    <s v="Debit Card"/>
    <d v="2022-10-07T00:00:00"/>
    <s v="Casey Garcia"/>
    <x v="3"/>
    <x v="4"/>
    <d v="2022-10-01T00:00:00"/>
    <x v="0"/>
  </r>
  <r>
    <s v="B-25730"/>
    <n v="8293"/>
    <n v="2632"/>
    <n v="8"/>
    <x v="2"/>
    <s v="Binders"/>
    <s v="COD"/>
    <d v="2022-01-05T00:00:00"/>
    <s v="Justin Rodriguez"/>
    <x v="2"/>
    <x v="5"/>
    <d v="2022-01-01T00:00:00"/>
    <x v="0"/>
  </r>
  <r>
    <s v="B-25730"/>
    <n v="2863"/>
    <n v="205"/>
    <n v="17"/>
    <x v="0"/>
    <s v="Phones"/>
    <s v="UPI"/>
    <d v="2022-01-05T00:00:00"/>
    <s v="Justin Rodriguez"/>
    <x v="2"/>
    <x v="5"/>
    <d v="2022-01-01T00:00:00"/>
    <x v="0"/>
  </r>
  <r>
    <s v="B-25988"/>
    <n v="2463"/>
    <n v="648"/>
    <n v="18"/>
    <x v="1"/>
    <s v="Tables"/>
    <s v="EMI"/>
    <d v="2022-09-19T00:00:00"/>
    <s v="Connie Holmes"/>
    <x v="2"/>
    <x v="6"/>
    <d v="2022-09-01T00:00:00"/>
    <x v="0"/>
  </r>
  <r>
    <s v="B-25568"/>
    <n v="7811"/>
    <n v="1538"/>
    <n v="12"/>
    <x v="1"/>
    <s v="Sofas"/>
    <s v="COD"/>
    <d v="2022-03-25T00:00:00"/>
    <s v="Melissa Peck"/>
    <x v="3"/>
    <x v="7"/>
    <d v="2022-03-01T00:00:00"/>
    <x v="0"/>
  </r>
  <r>
    <s v="B-26730"/>
    <n v="6139"/>
    <n v="451"/>
    <n v="10"/>
    <x v="1"/>
    <s v="Tables"/>
    <s v="Debit Card"/>
    <d v="2022-02-26T00:00:00"/>
    <s v="David Smith"/>
    <x v="3"/>
    <x v="4"/>
    <d v="2022-02-01T00:00:00"/>
    <x v="0"/>
  </r>
  <r>
    <s v="B-26730"/>
    <n v="8636"/>
    <n v="3192"/>
    <n v="3"/>
    <x v="1"/>
    <s v="Chairs"/>
    <s v="COD"/>
    <d v="2022-02-26T00:00:00"/>
    <s v="David Smith"/>
    <x v="3"/>
    <x v="4"/>
    <d v="2022-02-01T00:00:00"/>
    <x v="0"/>
  </r>
  <r>
    <s v="B-26730"/>
    <n v="4439"/>
    <n v="1712"/>
    <n v="19"/>
    <x v="1"/>
    <s v="Sofas"/>
    <s v="Credit Card"/>
    <d v="2022-02-26T00:00:00"/>
    <s v="David Smith"/>
    <x v="3"/>
    <x v="4"/>
    <d v="2022-02-01T00:00:00"/>
    <x v="0"/>
  </r>
  <r>
    <s v="B-26121"/>
    <n v="1126"/>
    <n v="55"/>
    <n v="1"/>
    <x v="1"/>
    <s v="Bookcases"/>
    <s v="UPI"/>
    <d v="2022-01-16T00:00:00"/>
    <s v="Jon Banks"/>
    <x v="3"/>
    <x v="8"/>
    <d v="2022-01-01T00:00:00"/>
    <x v="0"/>
  </r>
  <r>
    <s v="B-26121"/>
    <n v="1126"/>
    <n v="55"/>
    <n v="1"/>
    <x v="1"/>
    <s v="Bookcases"/>
    <s v="UPI"/>
    <d v="2022-12-16T00:00:00"/>
    <s v="Michelle Williams"/>
    <x v="4"/>
    <x v="9"/>
    <d v="2022-12-01T00:00:00"/>
    <x v="0"/>
  </r>
  <r>
    <s v="B-26185"/>
    <n v="1591"/>
    <n v="727"/>
    <n v="5"/>
    <x v="0"/>
    <s v="Electronic Games"/>
    <s v="Credit Card"/>
    <d v="2022-06-27T00:00:00"/>
    <s v="Emily Gill"/>
    <x v="5"/>
    <x v="10"/>
    <d v="2022-06-01T00:00:00"/>
    <x v="0"/>
  </r>
  <r>
    <s v="B-26185"/>
    <n v="1591"/>
    <n v="727"/>
    <n v="5"/>
    <x v="0"/>
    <s v="Electronic Games"/>
    <s v="Credit Card"/>
    <d v="2022-02-23T00:00:00"/>
    <s v="Dr. Sarah Booth"/>
    <x v="2"/>
    <x v="6"/>
    <d v="2022-02-01T00:00:00"/>
    <x v="0"/>
  </r>
  <r>
    <s v="B-26259"/>
    <n v="1757"/>
    <n v="622"/>
    <n v="10"/>
    <x v="1"/>
    <s v="Chairs"/>
    <s v="UPI"/>
    <d v="2022-03-29T00:00:00"/>
    <s v="Douglas Mcfarland"/>
    <x v="2"/>
    <x v="5"/>
    <d v="2022-03-01T00:00:00"/>
    <x v="0"/>
  </r>
  <r>
    <s v="B-26259"/>
    <n v="1757"/>
    <n v="622"/>
    <n v="10"/>
    <x v="1"/>
    <s v="Chairs"/>
    <s v="UPI"/>
    <d v="2022-11-20T00:00:00"/>
    <s v="Kayla Ross"/>
    <x v="5"/>
    <x v="11"/>
    <d v="2022-11-01T00:00:00"/>
    <x v="0"/>
  </r>
  <r>
    <s v="B-25326"/>
    <n v="5578"/>
    <n v="277"/>
    <n v="16"/>
    <x v="1"/>
    <s v="Tables"/>
    <s v="COD"/>
    <d v="2022-05-16T00:00:00"/>
    <s v="Charles Smith"/>
    <x v="2"/>
    <x v="3"/>
    <d v="2022-05-01T00:00:00"/>
    <x v="0"/>
  </r>
  <r>
    <s v="B-25660"/>
    <n v="7595"/>
    <n v="2873"/>
    <n v="4"/>
    <x v="1"/>
    <s v="Chairs"/>
    <s v="Debit Card"/>
    <d v="2022-04-19T00:00:00"/>
    <s v="Cynthia Rodriguez"/>
    <x v="4"/>
    <x v="12"/>
    <d v="2022-04-01T00:00:00"/>
    <x v="0"/>
  </r>
  <r>
    <s v="B-25410"/>
    <n v="1954"/>
    <n v="294"/>
    <n v="7"/>
    <x v="1"/>
    <s v="Sofas"/>
    <s v="Debit Card"/>
    <d v="2022-12-23T00:00:00"/>
    <s v="Jessica Baker"/>
    <x v="1"/>
    <x v="1"/>
    <d v="2022-12-01T00:00:00"/>
    <x v="0"/>
  </r>
  <r>
    <s v="B-26464"/>
    <n v="5704"/>
    <n v="714"/>
    <n v="13"/>
    <x v="0"/>
    <s v="Laptops"/>
    <s v="EMI"/>
    <d v="2022-02-03T00:00:00"/>
    <s v="Zachary Perez"/>
    <x v="1"/>
    <x v="1"/>
    <d v="2022-02-01T00:00:00"/>
    <x v="0"/>
  </r>
  <r>
    <s v="B-26464"/>
    <n v="8797"/>
    <n v="1010"/>
    <n v="8"/>
    <x v="1"/>
    <s v="Tables"/>
    <s v="UPI"/>
    <d v="2022-02-03T00:00:00"/>
    <s v="Zachary Perez"/>
    <x v="1"/>
    <x v="1"/>
    <d v="2022-02-01T00:00:00"/>
    <x v="0"/>
  </r>
  <r>
    <s v="B-26464"/>
    <n v="9236"/>
    <n v="2899"/>
    <n v="5"/>
    <x v="0"/>
    <s v="Laptops"/>
    <s v="Debit Card"/>
    <d v="2022-02-03T00:00:00"/>
    <s v="Zachary Perez"/>
    <x v="1"/>
    <x v="1"/>
    <d v="2022-02-01T00:00:00"/>
    <x v="0"/>
  </r>
  <r>
    <s v="B-26742"/>
    <n v="4358"/>
    <n v="526"/>
    <n v="19"/>
    <x v="0"/>
    <s v="Phones"/>
    <s v="Credit Card"/>
    <d v="2022-12-05T00:00:00"/>
    <s v="Bryan Russell"/>
    <x v="1"/>
    <x v="13"/>
    <d v="2022-12-01T00:00:00"/>
    <x v="0"/>
  </r>
  <r>
    <s v="B-26742"/>
    <n v="6459"/>
    <n v="825"/>
    <n v="8"/>
    <x v="0"/>
    <s v="Phones"/>
    <s v="Credit Card"/>
    <d v="2022-12-05T00:00:00"/>
    <s v="Bryan Russell"/>
    <x v="1"/>
    <x v="13"/>
    <d v="2022-12-01T00:00:00"/>
    <x v="0"/>
  </r>
  <r>
    <s v="B-25936"/>
    <n v="9992"/>
    <n v="3696"/>
    <n v="20"/>
    <x v="2"/>
    <s v="Pens"/>
    <s v="Debit Card"/>
    <d v="2022-04-15T00:00:00"/>
    <s v="Susan Burke"/>
    <x v="1"/>
    <x v="1"/>
    <d v="2022-04-01T00:00:00"/>
    <x v="0"/>
  </r>
  <r>
    <s v="B-25936"/>
    <n v="9992"/>
    <n v="3696"/>
    <n v="20"/>
    <x v="2"/>
    <s v="Pens"/>
    <s v="Debit Card"/>
    <d v="2022-08-29T00:00:00"/>
    <s v="Brent Hernandez"/>
    <x v="4"/>
    <x v="12"/>
    <d v="2022-08-01T00:00:00"/>
    <x v="0"/>
  </r>
  <r>
    <s v="B-25936"/>
    <n v="9619"/>
    <n v="3420"/>
    <n v="7"/>
    <x v="2"/>
    <s v="Binders"/>
    <s v="UPI"/>
    <d v="2022-04-15T00:00:00"/>
    <s v="Susan Burke"/>
    <x v="1"/>
    <x v="1"/>
    <d v="2022-04-01T00:00:00"/>
    <x v="0"/>
  </r>
  <r>
    <s v="B-25936"/>
    <n v="9619"/>
    <n v="3420"/>
    <n v="7"/>
    <x v="2"/>
    <s v="Binders"/>
    <s v="UPI"/>
    <d v="2022-08-29T00:00:00"/>
    <s v="Brent Hernandez"/>
    <x v="4"/>
    <x v="12"/>
    <d v="2022-08-01T00:00:00"/>
    <x v="0"/>
  </r>
  <r>
    <s v="B-26899"/>
    <n v="8903"/>
    <n v="4401"/>
    <n v="18"/>
    <x v="2"/>
    <s v="Pens"/>
    <s v="Credit Card"/>
    <d v="2022-08-08T00:00:00"/>
    <s v="Christopher Jordan"/>
    <x v="2"/>
    <x v="3"/>
    <d v="2022-08-01T00:00:00"/>
    <x v="0"/>
  </r>
  <r>
    <s v="B-25916"/>
    <n v="6009"/>
    <n v="2107"/>
    <n v="7"/>
    <x v="0"/>
    <s v="Phones"/>
    <s v="UPI"/>
    <d v="2022-12-07T00:00:00"/>
    <s v="Christina Davis"/>
    <x v="5"/>
    <x v="14"/>
    <d v="2022-12-01T00:00:00"/>
    <x v="0"/>
  </r>
  <r>
    <s v="B-25916"/>
    <n v="2858"/>
    <n v="230"/>
    <n v="3"/>
    <x v="1"/>
    <s v="Tables"/>
    <s v="Credit Card"/>
    <d v="2022-12-07T00:00:00"/>
    <s v="Christina Davis"/>
    <x v="5"/>
    <x v="14"/>
    <d v="2022-12-01T00:00:00"/>
    <x v="0"/>
  </r>
  <r>
    <s v="B-25916"/>
    <n v="8175"/>
    <n v="525"/>
    <n v="7"/>
    <x v="1"/>
    <s v="Sofas"/>
    <s v="Credit Card"/>
    <d v="2022-12-07T00:00:00"/>
    <s v="Christina Davis"/>
    <x v="5"/>
    <x v="14"/>
    <d v="2022-12-01T00:00:00"/>
    <x v="0"/>
  </r>
  <r>
    <s v="B-25916"/>
    <n v="5846"/>
    <n v="586"/>
    <n v="18"/>
    <x v="1"/>
    <s v="Sofas"/>
    <s v="UPI"/>
    <d v="2022-12-07T00:00:00"/>
    <s v="Christina Davis"/>
    <x v="5"/>
    <x v="14"/>
    <d v="2022-12-01T00:00:00"/>
    <x v="0"/>
  </r>
  <r>
    <s v="B-26428"/>
    <n v="706"/>
    <n v="197"/>
    <n v="11"/>
    <x v="0"/>
    <s v="Laptops"/>
    <s v="Credit Card"/>
    <d v="2022-01-02T00:00:00"/>
    <s v="Brandon Anderson"/>
    <x v="1"/>
    <x v="1"/>
    <d v="2022-01-01T00:00:00"/>
    <x v="0"/>
  </r>
  <r>
    <s v="B-26332"/>
    <n v="9835"/>
    <n v="2571"/>
    <n v="16"/>
    <x v="1"/>
    <s v="Tables"/>
    <s v="COD"/>
    <d v="2022-06-10T00:00:00"/>
    <s v="George Foster"/>
    <x v="1"/>
    <x v="13"/>
    <d v="2022-06-01T00:00:00"/>
    <x v="0"/>
  </r>
  <r>
    <s v="B-26332"/>
    <n v="9835"/>
    <n v="2571"/>
    <n v="16"/>
    <x v="1"/>
    <s v="Tables"/>
    <s v="COD"/>
    <d v="2022-08-17T00:00:00"/>
    <s v="Emily Ellison"/>
    <x v="0"/>
    <x v="0"/>
    <d v="2022-08-01T00:00:00"/>
    <x v="0"/>
  </r>
  <r>
    <s v="B-26332"/>
    <n v="9691"/>
    <n v="3056"/>
    <n v="13"/>
    <x v="2"/>
    <s v="Markers"/>
    <s v="Credit Card"/>
    <d v="2022-06-10T00:00:00"/>
    <s v="George Foster"/>
    <x v="1"/>
    <x v="13"/>
    <d v="2022-06-01T00:00:00"/>
    <x v="0"/>
  </r>
  <r>
    <s v="B-26332"/>
    <n v="9691"/>
    <n v="3056"/>
    <n v="13"/>
    <x v="2"/>
    <s v="Markers"/>
    <s v="Credit Card"/>
    <d v="2022-08-17T00:00:00"/>
    <s v="Emily Ellison"/>
    <x v="0"/>
    <x v="0"/>
    <d v="2022-08-01T00:00:00"/>
    <x v="0"/>
  </r>
  <r>
    <s v="B-26332"/>
    <n v="7826"/>
    <n v="1221"/>
    <n v="14"/>
    <x v="1"/>
    <s v="Bookcases"/>
    <s v="UPI"/>
    <d v="2022-06-10T00:00:00"/>
    <s v="George Foster"/>
    <x v="1"/>
    <x v="13"/>
    <d v="2022-06-01T00:00:00"/>
    <x v="0"/>
  </r>
  <r>
    <s v="B-26332"/>
    <n v="7826"/>
    <n v="1221"/>
    <n v="14"/>
    <x v="1"/>
    <s v="Bookcases"/>
    <s v="UPI"/>
    <d v="2022-08-17T00:00:00"/>
    <s v="Emily Ellison"/>
    <x v="0"/>
    <x v="0"/>
    <d v="2022-08-01T00:00:00"/>
    <x v="0"/>
  </r>
  <r>
    <s v="B-25901"/>
    <n v="9883"/>
    <n v="4812"/>
    <n v="16"/>
    <x v="2"/>
    <s v="Paper"/>
    <s v="UPI"/>
    <d v="2022-08-11T00:00:00"/>
    <s v="Veronica Kelley"/>
    <x v="3"/>
    <x v="4"/>
    <d v="2022-08-01T00:00:00"/>
    <x v="0"/>
  </r>
  <r>
    <s v="B-25901"/>
    <n v="5210"/>
    <n v="1185"/>
    <n v="7"/>
    <x v="2"/>
    <s v="Paper"/>
    <s v="UPI"/>
    <d v="2022-08-11T00:00:00"/>
    <s v="Veronica Kelley"/>
    <x v="3"/>
    <x v="4"/>
    <d v="2022-08-01T00:00:00"/>
    <x v="0"/>
  </r>
  <r>
    <s v="B-26747"/>
    <n v="3574"/>
    <n v="851"/>
    <n v="4"/>
    <x v="0"/>
    <s v="Printers"/>
    <s v="Credit Card"/>
    <d v="2022-02-23T00:00:00"/>
    <s v="Amy Wilson"/>
    <x v="0"/>
    <x v="0"/>
    <d v="2022-02-01T00:00:00"/>
    <x v="0"/>
  </r>
  <r>
    <s v="B-26747"/>
    <n v="576"/>
    <n v="76"/>
    <n v="13"/>
    <x v="1"/>
    <s v="Sofas"/>
    <s v="UPI"/>
    <d v="2022-02-23T00:00:00"/>
    <s v="Amy Wilson"/>
    <x v="0"/>
    <x v="0"/>
    <d v="2022-02-01T00:00:00"/>
    <x v="0"/>
  </r>
  <r>
    <s v="B-25171"/>
    <n v="3234"/>
    <n v="1029"/>
    <n v="20"/>
    <x v="2"/>
    <s v="Markers"/>
    <s v="Credit Card"/>
    <d v="2022-03-20T00:00:00"/>
    <s v="David Figueroa"/>
    <x v="3"/>
    <x v="7"/>
    <d v="2022-03-01T00:00:00"/>
    <x v="0"/>
  </r>
  <r>
    <s v="B-25388"/>
    <n v="5047"/>
    <n v="2211"/>
    <n v="13"/>
    <x v="1"/>
    <s v="Sofas"/>
    <s v="EMI"/>
    <d v="2022-09-16T00:00:00"/>
    <s v="Shawn Leach"/>
    <x v="5"/>
    <x v="11"/>
    <d v="2022-09-01T00:00:00"/>
    <x v="0"/>
  </r>
  <r>
    <s v="B-25388"/>
    <n v="5047"/>
    <n v="2211"/>
    <n v="13"/>
    <x v="1"/>
    <s v="Sofas"/>
    <s v="EMI"/>
    <d v="2022-05-06T00:00:00"/>
    <s v="Mark Boyle"/>
    <x v="4"/>
    <x v="9"/>
    <d v="2022-05-01T00:00:00"/>
    <x v="0"/>
  </r>
  <r>
    <s v="B-26165"/>
    <n v="6671"/>
    <n v="2797"/>
    <n v="10"/>
    <x v="0"/>
    <s v="Phones"/>
    <s v="UPI"/>
    <d v="2022-12-12T00:00:00"/>
    <s v="Darryl Robbins"/>
    <x v="5"/>
    <x v="11"/>
    <d v="2022-12-01T00:00:00"/>
    <x v="0"/>
  </r>
  <r>
    <s v="B-26571"/>
    <n v="7472"/>
    <n v="1037"/>
    <n v="3"/>
    <x v="2"/>
    <s v="Paper"/>
    <s v="COD"/>
    <d v="2022-10-20T00:00:00"/>
    <s v="Kimberly Smith"/>
    <x v="5"/>
    <x v="10"/>
    <d v="2022-10-01T00:00:00"/>
    <x v="0"/>
  </r>
  <r>
    <s v="B-26571"/>
    <n v="9548"/>
    <n v="1806"/>
    <n v="9"/>
    <x v="0"/>
    <s v="Printers"/>
    <s v="COD"/>
    <d v="2022-10-20T00:00:00"/>
    <s v="Kimberly Smith"/>
    <x v="5"/>
    <x v="10"/>
    <d v="2022-10-01T00:00:00"/>
    <x v="0"/>
  </r>
  <r>
    <s v="B-26556"/>
    <n v="1341"/>
    <n v="615"/>
    <n v="4"/>
    <x v="0"/>
    <s v="Laptops"/>
    <s v="UPI"/>
    <d v="2022-08-12T00:00:00"/>
    <s v="Kimberly Greene"/>
    <x v="3"/>
    <x v="4"/>
    <d v="2022-08-01T00:00:00"/>
    <x v="0"/>
  </r>
  <r>
    <s v="B-25861"/>
    <n v="9851"/>
    <n v="2669"/>
    <n v="19"/>
    <x v="0"/>
    <s v="Electronic Games"/>
    <s v="Debit Card"/>
    <d v="2022-03-28T00:00:00"/>
    <s v="Tammy Anthony"/>
    <x v="2"/>
    <x v="5"/>
    <d v="2022-03-01T00:00:00"/>
    <x v="0"/>
  </r>
  <r>
    <s v="B-25861"/>
    <n v="9851"/>
    <n v="2669"/>
    <n v="19"/>
    <x v="0"/>
    <s v="Electronic Games"/>
    <s v="Debit Card"/>
    <d v="2022-09-22T00:00:00"/>
    <s v="Cassandra Farley"/>
    <x v="3"/>
    <x v="4"/>
    <d v="2022-09-01T00:00:00"/>
    <x v="0"/>
  </r>
  <r>
    <s v="B-25861"/>
    <n v="9989"/>
    <n v="3930"/>
    <n v="14"/>
    <x v="1"/>
    <s v="Tables"/>
    <s v="Debit Card"/>
    <d v="2022-03-28T00:00:00"/>
    <s v="Tammy Anthony"/>
    <x v="2"/>
    <x v="5"/>
    <d v="2022-03-01T00:00:00"/>
    <x v="0"/>
  </r>
  <r>
    <s v="B-25861"/>
    <n v="9989"/>
    <n v="3930"/>
    <n v="14"/>
    <x v="1"/>
    <s v="Tables"/>
    <s v="Debit Card"/>
    <d v="2022-09-22T00:00:00"/>
    <s v="Cassandra Farley"/>
    <x v="3"/>
    <x v="4"/>
    <d v="2022-09-01T00:00:00"/>
    <x v="0"/>
  </r>
  <r>
    <s v="B-25112"/>
    <n v="7421"/>
    <n v="958"/>
    <n v="10"/>
    <x v="1"/>
    <s v="Tables"/>
    <s v="COD"/>
    <d v="2022-12-20T00:00:00"/>
    <s v="Justin Vasquez"/>
    <x v="1"/>
    <x v="15"/>
    <d v="2022-12-01T00:00:00"/>
    <x v="0"/>
  </r>
  <r>
    <s v="B-25112"/>
    <n v="7421"/>
    <n v="958"/>
    <n v="10"/>
    <x v="1"/>
    <s v="Tables"/>
    <s v="COD"/>
    <d v="2022-01-16T00:00:00"/>
    <s v="Melissa Morales"/>
    <x v="1"/>
    <x v="15"/>
    <d v="2022-01-01T00:00:00"/>
    <x v="0"/>
  </r>
  <r>
    <s v="B-25223"/>
    <n v="3099"/>
    <n v="479"/>
    <n v="1"/>
    <x v="2"/>
    <s v="Paper"/>
    <s v="COD"/>
    <d v="2022-01-15T00:00:00"/>
    <s v="Heidi Davis"/>
    <x v="4"/>
    <x v="9"/>
    <d v="2022-01-01T00:00:00"/>
    <x v="0"/>
  </r>
  <r>
    <s v="B-25223"/>
    <n v="2521"/>
    <n v="906"/>
    <n v="7"/>
    <x v="0"/>
    <s v="Phones"/>
    <s v="COD"/>
    <d v="2022-01-15T00:00:00"/>
    <s v="Heidi Davis"/>
    <x v="4"/>
    <x v="9"/>
    <d v="2022-01-01T00:00:00"/>
    <x v="0"/>
  </r>
  <r>
    <s v="B-25038"/>
    <n v="738"/>
    <n v="342"/>
    <n v="2"/>
    <x v="1"/>
    <s v="Chairs"/>
    <s v="Debit Card"/>
    <d v="2022-01-18T00:00:00"/>
    <s v="Pamela Jones"/>
    <x v="4"/>
    <x v="16"/>
    <d v="2022-01-01T00:00:00"/>
    <x v="0"/>
  </r>
  <r>
    <s v="B-26613"/>
    <n v="2701"/>
    <n v="322"/>
    <n v="11"/>
    <x v="0"/>
    <s v="Printers"/>
    <s v="UPI"/>
    <d v="2022-06-18T00:00:00"/>
    <s v="Amber Moore"/>
    <x v="4"/>
    <x v="16"/>
    <d v="2022-06-01T00:00:00"/>
    <x v="0"/>
  </r>
  <r>
    <s v="B-26613"/>
    <n v="7273"/>
    <n v="2702"/>
    <n v="18"/>
    <x v="2"/>
    <s v="Paper"/>
    <s v="COD"/>
    <d v="2022-06-18T00:00:00"/>
    <s v="Amber Moore"/>
    <x v="4"/>
    <x v="16"/>
    <d v="2022-06-01T00:00:00"/>
    <x v="0"/>
  </r>
  <r>
    <s v="B-26610"/>
    <n v="4957"/>
    <n v="1152"/>
    <n v="8"/>
    <x v="2"/>
    <s v="Markers"/>
    <s v="Credit Card"/>
    <d v="2022-03-22T00:00:00"/>
    <s v="Meghan Rush"/>
    <x v="2"/>
    <x v="5"/>
    <d v="2022-03-01T00:00:00"/>
    <x v="0"/>
  </r>
  <r>
    <s v="B-26166"/>
    <n v="2999"/>
    <n v="145"/>
    <n v="13"/>
    <x v="2"/>
    <s v="Binders"/>
    <s v="COD"/>
    <d v="2022-08-23T00:00:00"/>
    <s v="Cynthia Wilcox"/>
    <x v="5"/>
    <x v="14"/>
    <d v="2022-08-01T00:00:00"/>
    <x v="0"/>
  </r>
  <r>
    <s v="B-26166"/>
    <n v="5142"/>
    <n v="1916"/>
    <n v="20"/>
    <x v="2"/>
    <s v="Paper"/>
    <s v="EMI"/>
    <d v="2022-08-23T00:00:00"/>
    <s v="Cynthia Wilcox"/>
    <x v="5"/>
    <x v="14"/>
    <d v="2022-08-01T00:00:00"/>
    <x v="0"/>
  </r>
  <r>
    <s v="B-25695"/>
    <n v="1239"/>
    <n v="575"/>
    <n v="17"/>
    <x v="0"/>
    <s v="Laptops"/>
    <s v="UPI"/>
    <d v="2022-12-17T00:00:00"/>
    <s v="Rebecca Wright"/>
    <x v="4"/>
    <x v="12"/>
    <d v="2022-12-01T00:00:00"/>
    <x v="0"/>
  </r>
  <r>
    <s v="B-25695"/>
    <n v="1239"/>
    <n v="575"/>
    <n v="17"/>
    <x v="0"/>
    <s v="Laptops"/>
    <s v="UPI"/>
    <d v="2022-06-08T00:00:00"/>
    <s v="Sarah Flores"/>
    <x v="5"/>
    <x v="10"/>
    <d v="2022-06-01T00:00:00"/>
    <x v="0"/>
  </r>
  <r>
    <s v="B-25695"/>
    <n v="1262"/>
    <n v="515"/>
    <n v="16"/>
    <x v="0"/>
    <s v="Electronic Games"/>
    <s v="EMI"/>
    <d v="2022-12-17T00:00:00"/>
    <s v="Rebecca Wright"/>
    <x v="4"/>
    <x v="12"/>
    <d v="2022-12-01T00:00:00"/>
    <x v="0"/>
  </r>
  <r>
    <s v="B-25695"/>
    <n v="1262"/>
    <n v="515"/>
    <n v="16"/>
    <x v="0"/>
    <s v="Electronic Games"/>
    <s v="EMI"/>
    <d v="2022-06-08T00:00:00"/>
    <s v="Sarah Flores"/>
    <x v="5"/>
    <x v="10"/>
    <d v="2022-06-01T00:00:00"/>
    <x v="0"/>
  </r>
  <r>
    <s v="B-26898"/>
    <n v="2174"/>
    <n v="265"/>
    <n v="19"/>
    <x v="2"/>
    <s v="Pens"/>
    <s v="Credit Card"/>
    <d v="2022-04-11T00:00:00"/>
    <s v="Dean Avila"/>
    <x v="2"/>
    <x v="6"/>
    <d v="2022-04-01T00:00:00"/>
    <x v="0"/>
  </r>
  <r>
    <s v="B-26898"/>
    <n v="8541"/>
    <n v="2029"/>
    <n v="12"/>
    <x v="0"/>
    <s v="Electronic Games"/>
    <s v="Credit Card"/>
    <d v="2022-04-11T00:00:00"/>
    <s v="Dean Avila"/>
    <x v="2"/>
    <x v="6"/>
    <d v="2022-04-01T00:00:00"/>
    <x v="0"/>
  </r>
  <r>
    <s v="B-26898"/>
    <n v="1931"/>
    <n v="551"/>
    <n v="3"/>
    <x v="1"/>
    <s v="Bookcases"/>
    <s v="EMI"/>
    <d v="2022-04-11T00:00:00"/>
    <s v="Dean Avila"/>
    <x v="2"/>
    <x v="6"/>
    <d v="2022-04-01T00:00:00"/>
    <x v="0"/>
  </r>
  <r>
    <s v="B-26277"/>
    <n v="2323"/>
    <n v="727"/>
    <n v="7"/>
    <x v="1"/>
    <s v="Tables"/>
    <s v="COD"/>
    <d v="2022-02-24T00:00:00"/>
    <s v="Matthew Harris"/>
    <x v="1"/>
    <x v="13"/>
    <d v="2022-02-01T00:00:00"/>
    <x v="0"/>
  </r>
  <r>
    <s v="B-26277"/>
    <n v="1368"/>
    <n v="406"/>
    <n v="9"/>
    <x v="1"/>
    <s v="Bookcases"/>
    <s v="UPI"/>
    <d v="2022-02-24T00:00:00"/>
    <s v="Matthew Harris"/>
    <x v="1"/>
    <x v="13"/>
    <d v="2022-02-01T00:00:00"/>
    <x v="0"/>
  </r>
  <r>
    <s v="B-26723"/>
    <n v="5322"/>
    <n v="1423"/>
    <n v="18"/>
    <x v="1"/>
    <s v="Sofas"/>
    <s v="COD"/>
    <d v="2022-12-08T00:00:00"/>
    <s v="James Dickerson"/>
    <x v="1"/>
    <x v="15"/>
    <d v="2022-12-01T00:00:00"/>
    <x v="0"/>
  </r>
  <r>
    <s v="B-25526"/>
    <n v="2666"/>
    <n v="559"/>
    <n v="14"/>
    <x v="1"/>
    <s v="Chairs"/>
    <s v="COD"/>
    <d v="2022-07-16T00:00:00"/>
    <s v="Hannah Hendricks"/>
    <x v="2"/>
    <x v="5"/>
    <d v="2022-07-01T00:00:00"/>
    <x v="0"/>
  </r>
  <r>
    <s v="B-26489"/>
    <n v="2791"/>
    <n v="894"/>
    <n v="14"/>
    <x v="0"/>
    <s v="Laptops"/>
    <s v="COD"/>
    <d v="2022-10-08T00:00:00"/>
    <s v="Brett Sutton"/>
    <x v="1"/>
    <x v="1"/>
    <d v="2022-10-01T00:00:00"/>
    <x v="0"/>
  </r>
  <r>
    <s v="B-26489"/>
    <n v="6223"/>
    <n v="1478"/>
    <n v="3"/>
    <x v="1"/>
    <s v="Sofas"/>
    <s v="Debit Card"/>
    <d v="2022-10-08T00:00:00"/>
    <s v="Brett Sutton"/>
    <x v="1"/>
    <x v="1"/>
    <d v="2022-10-01T00:00:00"/>
    <x v="0"/>
  </r>
  <r>
    <s v="B-26489"/>
    <n v="8943"/>
    <n v="3121"/>
    <n v="17"/>
    <x v="1"/>
    <s v="Chairs"/>
    <s v="Debit Card"/>
    <d v="2022-10-08T00:00:00"/>
    <s v="Brett Sutton"/>
    <x v="1"/>
    <x v="1"/>
    <d v="2022-10-01T00:00:00"/>
    <x v="0"/>
  </r>
  <r>
    <s v="B-26489"/>
    <n v="3297"/>
    <n v="102"/>
    <n v="12"/>
    <x v="0"/>
    <s v="Phones"/>
    <s v="Credit Card"/>
    <d v="2022-10-08T00:00:00"/>
    <s v="Brett Sutton"/>
    <x v="1"/>
    <x v="1"/>
    <d v="2022-10-01T00:00:00"/>
    <x v="0"/>
  </r>
  <r>
    <s v="B-26557"/>
    <n v="9057"/>
    <n v="1888"/>
    <n v="19"/>
    <x v="0"/>
    <s v="Printers"/>
    <s v="COD"/>
    <d v="2022-05-30T00:00:00"/>
    <s v="Katherine Williams"/>
    <x v="3"/>
    <x v="4"/>
    <d v="2022-05-01T00:00:00"/>
    <x v="0"/>
  </r>
  <r>
    <s v="B-26557"/>
    <n v="6864"/>
    <n v="3275"/>
    <n v="11"/>
    <x v="1"/>
    <s v="Tables"/>
    <s v="Credit Card"/>
    <d v="2022-05-30T00:00:00"/>
    <s v="Katherine Williams"/>
    <x v="3"/>
    <x v="4"/>
    <d v="2022-05-01T00:00:00"/>
    <x v="0"/>
  </r>
  <r>
    <s v="B-26557"/>
    <n v="9200"/>
    <n v="809"/>
    <n v="13"/>
    <x v="0"/>
    <s v="Laptops"/>
    <s v="COD"/>
    <d v="2022-05-30T00:00:00"/>
    <s v="Katherine Williams"/>
    <x v="3"/>
    <x v="4"/>
    <d v="2022-05-01T00:00:00"/>
    <x v="0"/>
  </r>
  <r>
    <s v="B-26932"/>
    <n v="4364"/>
    <n v="148"/>
    <n v="18"/>
    <x v="1"/>
    <s v="Tables"/>
    <s v="EMI"/>
    <d v="2022-07-15T00:00:00"/>
    <s v="Michael Rodriguez"/>
    <x v="2"/>
    <x v="6"/>
    <d v="2022-07-01T00:00:00"/>
    <x v="0"/>
  </r>
  <r>
    <s v="B-26932"/>
    <n v="736"/>
    <n v="286"/>
    <n v="12"/>
    <x v="2"/>
    <s v="Pens"/>
    <s v="EMI"/>
    <d v="2022-07-15T00:00:00"/>
    <s v="Michael Rodriguez"/>
    <x v="2"/>
    <x v="6"/>
    <d v="2022-07-01T00:00:00"/>
    <x v="0"/>
  </r>
  <r>
    <s v="B-26987"/>
    <n v="7643"/>
    <n v="3720"/>
    <n v="19"/>
    <x v="0"/>
    <s v="Electronic Games"/>
    <s v="EMI"/>
    <d v="2022-07-18T00:00:00"/>
    <s v="Lynn Matthews"/>
    <x v="1"/>
    <x v="13"/>
    <d v="2022-07-01T00:00:00"/>
    <x v="0"/>
  </r>
  <r>
    <s v="B-26993"/>
    <n v="3083"/>
    <n v="1151"/>
    <n v="16"/>
    <x v="1"/>
    <s v="Bookcases"/>
    <s v="Debit Card"/>
    <d v="2022-04-16T00:00:00"/>
    <s v="William Villarreal"/>
    <x v="3"/>
    <x v="4"/>
    <d v="2022-04-01T00:00:00"/>
    <x v="0"/>
  </r>
  <r>
    <s v="B-26964"/>
    <n v="3522"/>
    <n v="898"/>
    <n v="15"/>
    <x v="2"/>
    <s v="Pens"/>
    <s v="Credit Card"/>
    <d v="2022-01-14T00:00:00"/>
    <s v="Abigail Brown"/>
    <x v="0"/>
    <x v="0"/>
    <d v="2022-01-01T00:00:00"/>
    <x v="0"/>
  </r>
  <r>
    <s v="B-26059"/>
    <n v="4462"/>
    <n v="121"/>
    <n v="8"/>
    <x v="0"/>
    <s v="Laptops"/>
    <s v="COD"/>
    <d v="2022-04-24T00:00:00"/>
    <s v="Wesley Deleon"/>
    <x v="5"/>
    <x v="10"/>
    <d v="2022-04-01T00:00:00"/>
    <x v="0"/>
  </r>
  <r>
    <s v="B-26059"/>
    <n v="6212"/>
    <n v="1881"/>
    <n v="17"/>
    <x v="0"/>
    <s v="Phones"/>
    <s v="COD"/>
    <d v="2022-04-24T00:00:00"/>
    <s v="Wesley Deleon"/>
    <x v="5"/>
    <x v="10"/>
    <d v="2022-04-01T00:00:00"/>
    <x v="0"/>
  </r>
  <r>
    <s v="B-26757"/>
    <n v="6008"/>
    <n v="2498"/>
    <n v="17"/>
    <x v="0"/>
    <s v="Phones"/>
    <s v="Credit Card"/>
    <d v="2022-07-16T00:00:00"/>
    <s v="William Ruiz"/>
    <x v="3"/>
    <x v="7"/>
    <d v="2022-07-01T00:00:00"/>
    <x v="0"/>
  </r>
  <r>
    <s v="B-26772"/>
    <n v="7344"/>
    <n v="2598"/>
    <n v="20"/>
    <x v="1"/>
    <s v="Bookcases"/>
    <s v="COD"/>
    <d v="2022-08-01T00:00:00"/>
    <s v="Paula Marshall"/>
    <x v="1"/>
    <x v="13"/>
    <d v="2022-08-01T00:00:00"/>
    <x v="0"/>
  </r>
  <r>
    <s v="B-25655"/>
    <n v="4099"/>
    <n v="52"/>
    <n v="18"/>
    <x v="0"/>
    <s v="Laptops"/>
    <s v="UPI"/>
    <d v="2022-03-28T00:00:00"/>
    <s v="Russell Austin"/>
    <x v="4"/>
    <x v="16"/>
    <d v="2022-03-01T00:00:00"/>
    <x v="0"/>
  </r>
  <r>
    <s v="B-25267"/>
    <n v="9894"/>
    <n v="829"/>
    <n v="1"/>
    <x v="2"/>
    <s v="Binders"/>
    <s v="COD"/>
    <d v="2022-08-21T00:00:00"/>
    <s v="Michael Bell"/>
    <x v="0"/>
    <x v="17"/>
    <d v="2022-08-01T00:00:00"/>
    <x v="0"/>
  </r>
  <r>
    <s v="B-25267"/>
    <n v="4534"/>
    <n v="2235"/>
    <n v="4"/>
    <x v="1"/>
    <s v="Tables"/>
    <s v="COD"/>
    <d v="2022-08-21T00:00:00"/>
    <s v="Michael Bell"/>
    <x v="0"/>
    <x v="17"/>
    <d v="2022-08-01T00:00:00"/>
    <x v="0"/>
  </r>
  <r>
    <s v="B-25972"/>
    <n v="4911"/>
    <n v="186"/>
    <n v="20"/>
    <x v="0"/>
    <s v="Phones"/>
    <s v="Debit Card"/>
    <d v="2022-06-19T00:00:00"/>
    <s v="Willie Huynh"/>
    <x v="4"/>
    <x v="9"/>
    <d v="2022-06-01T00:00:00"/>
    <x v="0"/>
  </r>
  <r>
    <s v="B-25972"/>
    <n v="531"/>
    <n v="189"/>
    <n v="20"/>
    <x v="1"/>
    <s v="Bookcases"/>
    <s v="Debit Card"/>
    <d v="2022-06-19T00:00:00"/>
    <s v="Willie Huynh"/>
    <x v="4"/>
    <x v="9"/>
    <d v="2022-06-01T00:00:00"/>
    <x v="0"/>
  </r>
  <r>
    <s v="B-25744"/>
    <n v="8438"/>
    <n v="3427"/>
    <n v="12"/>
    <x v="2"/>
    <s v="Binders"/>
    <s v="Credit Card"/>
    <d v="2022-01-14T00:00:00"/>
    <s v="Sherry Tran"/>
    <x v="4"/>
    <x v="9"/>
    <d v="2022-01-01T00:00:00"/>
    <x v="0"/>
  </r>
  <r>
    <s v="B-25744"/>
    <n v="1689"/>
    <n v="109"/>
    <n v="9"/>
    <x v="0"/>
    <s v="Electronic Games"/>
    <s v="UPI"/>
    <d v="2022-01-14T00:00:00"/>
    <s v="Sherry Tran"/>
    <x v="4"/>
    <x v="9"/>
    <d v="2022-01-01T00:00:00"/>
    <x v="0"/>
  </r>
  <r>
    <s v="B-25744"/>
    <n v="3936"/>
    <n v="1626"/>
    <n v="14"/>
    <x v="2"/>
    <s v="Paper"/>
    <s v="COD"/>
    <d v="2022-01-14T00:00:00"/>
    <s v="Sherry Tran"/>
    <x v="4"/>
    <x v="9"/>
    <d v="2022-01-01T00:00:00"/>
    <x v="0"/>
  </r>
  <r>
    <s v="B-25620"/>
    <n v="721"/>
    <n v="258"/>
    <n v="13"/>
    <x v="0"/>
    <s v="Laptops"/>
    <s v="Debit Card"/>
    <d v="2022-06-13T00:00:00"/>
    <s v="Micheal Graham"/>
    <x v="4"/>
    <x v="9"/>
    <d v="2022-06-01T00:00:00"/>
    <x v="0"/>
  </r>
  <r>
    <s v="B-25620"/>
    <n v="8364"/>
    <n v="3055"/>
    <n v="17"/>
    <x v="0"/>
    <s v="Laptops"/>
    <s v="Credit Card"/>
    <d v="2022-06-13T00:00:00"/>
    <s v="Micheal Graham"/>
    <x v="4"/>
    <x v="9"/>
    <d v="2022-06-01T00:00:00"/>
    <x v="0"/>
  </r>
  <r>
    <s v="B-25620"/>
    <n v="5234"/>
    <n v="2021"/>
    <n v="15"/>
    <x v="1"/>
    <s v="Bookcases"/>
    <s v="EMI"/>
    <d v="2022-06-13T00:00:00"/>
    <s v="Micheal Graham"/>
    <x v="4"/>
    <x v="9"/>
    <d v="2022-06-01T00:00:00"/>
    <x v="0"/>
  </r>
  <r>
    <s v="B-25131"/>
    <n v="9654"/>
    <n v="4111"/>
    <n v="1"/>
    <x v="2"/>
    <s v="Paper"/>
    <s v="UPI"/>
    <d v="2022-06-27T00:00:00"/>
    <s v="Timothy Murphy"/>
    <x v="0"/>
    <x v="2"/>
    <d v="2022-06-01T00:00:00"/>
    <x v="0"/>
  </r>
  <r>
    <s v="B-25131"/>
    <n v="3112"/>
    <n v="1065"/>
    <n v="20"/>
    <x v="2"/>
    <s v="Binders"/>
    <s v="COD"/>
    <d v="2022-06-27T00:00:00"/>
    <s v="Timothy Murphy"/>
    <x v="0"/>
    <x v="2"/>
    <d v="2022-06-01T00:00:00"/>
    <x v="0"/>
  </r>
  <r>
    <s v="B-25842"/>
    <n v="1248"/>
    <n v="584"/>
    <n v="13"/>
    <x v="2"/>
    <s v="Pens"/>
    <s v="EMI"/>
    <d v="2022-12-27T00:00:00"/>
    <s v="Luis Luna"/>
    <x v="0"/>
    <x v="2"/>
    <d v="2022-12-01T00:00:00"/>
    <x v="0"/>
  </r>
  <r>
    <s v="B-25842"/>
    <n v="3669"/>
    <n v="154"/>
    <n v="14"/>
    <x v="2"/>
    <s v="Markers"/>
    <s v="EMI"/>
    <d v="2022-12-27T00:00:00"/>
    <s v="Luis Luna"/>
    <x v="0"/>
    <x v="2"/>
    <d v="2022-12-01T00:00:00"/>
    <x v="0"/>
  </r>
  <r>
    <s v="B-25842"/>
    <n v="514"/>
    <n v="109"/>
    <n v="15"/>
    <x v="2"/>
    <s v="Paper"/>
    <s v="Debit Card"/>
    <d v="2022-12-27T00:00:00"/>
    <s v="Luis Luna"/>
    <x v="0"/>
    <x v="2"/>
    <d v="2022-12-01T00:00:00"/>
    <x v="0"/>
  </r>
  <r>
    <s v="B-26224"/>
    <n v="5564"/>
    <n v="175"/>
    <n v="11"/>
    <x v="0"/>
    <s v="Laptops"/>
    <s v="COD"/>
    <d v="2022-04-12T00:00:00"/>
    <s v="Mr. John Tyler PhD"/>
    <x v="1"/>
    <x v="15"/>
    <d v="2022-04-01T00:00:00"/>
    <x v="0"/>
  </r>
  <r>
    <s v="B-26224"/>
    <n v="3953"/>
    <n v="1776"/>
    <n v="15"/>
    <x v="0"/>
    <s v="Electronic Games"/>
    <s v="UPI"/>
    <d v="2022-04-12T00:00:00"/>
    <s v="Mr. John Tyler PhD"/>
    <x v="1"/>
    <x v="15"/>
    <d v="2022-04-01T00:00:00"/>
    <x v="0"/>
  </r>
  <r>
    <s v="B-26219"/>
    <n v="9386"/>
    <n v="2555"/>
    <n v="20"/>
    <x v="2"/>
    <s v="Markers"/>
    <s v="Credit Card"/>
    <d v="2022-10-20T00:00:00"/>
    <s v="Anthony Lane"/>
    <x v="2"/>
    <x v="5"/>
    <d v="2022-10-01T00:00:00"/>
    <x v="0"/>
  </r>
  <r>
    <s v="B-26153"/>
    <n v="4906"/>
    <n v="975"/>
    <n v="7"/>
    <x v="1"/>
    <s v="Tables"/>
    <s v="Debit Card"/>
    <d v="2022-05-18T00:00:00"/>
    <s v="Laura Yu"/>
    <x v="1"/>
    <x v="15"/>
    <d v="2022-05-01T00:00:00"/>
    <x v="0"/>
  </r>
  <r>
    <s v="B-26572"/>
    <n v="5911"/>
    <n v="2333"/>
    <n v="14"/>
    <x v="1"/>
    <s v="Bookcases"/>
    <s v="EMI"/>
    <d v="2022-08-20T00:00:00"/>
    <s v="Austin Davis"/>
    <x v="0"/>
    <x v="17"/>
    <d v="2022-08-01T00:00:00"/>
    <x v="0"/>
  </r>
  <r>
    <s v="B-26572"/>
    <n v="1818"/>
    <n v="738"/>
    <n v="11"/>
    <x v="2"/>
    <s v="Markers"/>
    <s v="EMI"/>
    <d v="2022-08-20T00:00:00"/>
    <s v="Austin Davis"/>
    <x v="0"/>
    <x v="17"/>
    <d v="2022-08-01T00:00:00"/>
    <x v="0"/>
  </r>
  <r>
    <s v="B-25919"/>
    <n v="2140"/>
    <n v="970"/>
    <n v="4"/>
    <x v="2"/>
    <s v="Paper"/>
    <s v="Credit Card"/>
    <d v="2022-03-20T00:00:00"/>
    <s v="Jonathan Reed"/>
    <x v="0"/>
    <x v="2"/>
    <d v="2022-03-01T00:00:00"/>
    <x v="0"/>
  </r>
  <r>
    <s v="B-25919"/>
    <n v="2670"/>
    <n v="1026"/>
    <n v="1"/>
    <x v="0"/>
    <s v="Laptops"/>
    <s v="Debit Card"/>
    <d v="2022-03-20T00:00:00"/>
    <s v="Jonathan Reed"/>
    <x v="0"/>
    <x v="2"/>
    <d v="2022-03-01T00:00:00"/>
    <x v="0"/>
  </r>
  <r>
    <s v="B-25423"/>
    <n v="6385"/>
    <n v="2656"/>
    <n v="11"/>
    <x v="0"/>
    <s v="Printers"/>
    <s v="Credit Card"/>
    <d v="2022-10-19T00:00:00"/>
    <s v="Candace Martinez"/>
    <x v="3"/>
    <x v="8"/>
    <d v="2022-10-01T00:00:00"/>
    <x v="0"/>
  </r>
  <r>
    <s v="B-26945"/>
    <n v="7377"/>
    <n v="320"/>
    <n v="15"/>
    <x v="0"/>
    <s v="Printers"/>
    <s v="Debit Card"/>
    <d v="2022-12-21T00:00:00"/>
    <s v="Aaron Jones"/>
    <x v="1"/>
    <x v="1"/>
    <d v="2022-12-01T00:00:00"/>
    <x v="0"/>
  </r>
  <r>
    <s v="B-26945"/>
    <n v="2054"/>
    <n v="371"/>
    <n v="12"/>
    <x v="2"/>
    <s v="Markers"/>
    <s v="EMI"/>
    <d v="2022-12-21T00:00:00"/>
    <s v="Aaron Jones"/>
    <x v="1"/>
    <x v="1"/>
    <d v="2022-12-01T00:00:00"/>
    <x v="0"/>
  </r>
  <r>
    <s v="B-26046"/>
    <n v="2565"/>
    <n v="983"/>
    <n v="20"/>
    <x v="0"/>
    <s v="Electronic Games"/>
    <s v="Debit Card"/>
    <d v="2022-12-05T00:00:00"/>
    <s v="Charles Moore"/>
    <x v="3"/>
    <x v="7"/>
    <d v="2022-12-01T00:00:00"/>
    <x v="0"/>
  </r>
  <r>
    <s v="B-26046"/>
    <n v="5024"/>
    <n v="1544"/>
    <n v="19"/>
    <x v="2"/>
    <s v="Pens"/>
    <s v="COD"/>
    <d v="2022-12-05T00:00:00"/>
    <s v="Charles Moore"/>
    <x v="3"/>
    <x v="7"/>
    <d v="2022-12-01T00:00:00"/>
    <x v="0"/>
  </r>
  <r>
    <s v="B-25232"/>
    <n v="7792"/>
    <n v="1403"/>
    <n v="13"/>
    <x v="2"/>
    <s v="Paper"/>
    <s v="UPI"/>
    <d v="2022-12-27T00:00:00"/>
    <s v="Stephanie Thomas"/>
    <x v="4"/>
    <x v="12"/>
    <d v="2022-12-01T00:00:00"/>
    <x v="0"/>
  </r>
  <r>
    <s v="B-25232"/>
    <n v="2346"/>
    <n v="388"/>
    <n v="14"/>
    <x v="1"/>
    <s v="Chairs"/>
    <s v="Debit Card"/>
    <d v="2022-12-27T00:00:00"/>
    <s v="Stephanie Thomas"/>
    <x v="4"/>
    <x v="12"/>
    <d v="2022-12-01T00:00:00"/>
    <x v="0"/>
  </r>
  <r>
    <s v="B-25591"/>
    <n v="7346"/>
    <n v="1043"/>
    <n v="10"/>
    <x v="1"/>
    <s v="Sofas"/>
    <s v="Credit Card"/>
    <d v="2022-12-25T00:00:00"/>
    <s v="Randy Johnson"/>
    <x v="2"/>
    <x v="3"/>
    <d v="2022-12-01T00:00:00"/>
    <x v="0"/>
  </r>
  <r>
    <s v="B-25591"/>
    <n v="9770"/>
    <n v="4132"/>
    <n v="7"/>
    <x v="0"/>
    <s v="Electronic Games"/>
    <s v="UPI"/>
    <d v="2022-12-25T00:00:00"/>
    <s v="Randy Johnson"/>
    <x v="2"/>
    <x v="3"/>
    <d v="2022-12-01T00:00:00"/>
    <x v="0"/>
  </r>
  <r>
    <s v="B-25591"/>
    <n v="7179"/>
    <n v="683"/>
    <n v="13"/>
    <x v="0"/>
    <s v="Laptops"/>
    <s v="Credit Card"/>
    <d v="2022-12-25T00:00:00"/>
    <s v="Randy Johnson"/>
    <x v="2"/>
    <x v="3"/>
    <d v="2022-12-01T00:00:00"/>
    <x v="0"/>
  </r>
  <r>
    <s v="B-26325"/>
    <n v="5449"/>
    <n v="2389"/>
    <n v="2"/>
    <x v="0"/>
    <s v="Phones"/>
    <s v="UPI"/>
    <d v="2022-10-06T00:00:00"/>
    <s v="James Benitez"/>
    <x v="3"/>
    <x v="7"/>
    <d v="2022-10-01T00:00:00"/>
    <x v="0"/>
  </r>
  <r>
    <s v="B-25962"/>
    <n v="4202"/>
    <n v="1171"/>
    <n v="3"/>
    <x v="2"/>
    <s v="Markers"/>
    <s v="COD"/>
    <d v="2022-11-23T00:00:00"/>
    <s v="Rachel Fisher"/>
    <x v="5"/>
    <x v="11"/>
    <d v="2022-11-01T00:00:00"/>
    <x v="0"/>
  </r>
  <r>
    <s v="B-25962"/>
    <n v="4202"/>
    <n v="1171"/>
    <n v="3"/>
    <x v="2"/>
    <s v="Markers"/>
    <s v="COD"/>
    <d v="2022-10-31T00:00:00"/>
    <s v="Donald Moore"/>
    <x v="4"/>
    <x v="12"/>
    <d v="2022-10-01T00:00:00"/>
    <x v="0"/>
  </r>
  <r>
    <s v="B-26284"/>
    <n v="5152"/>
    <n v="2045"/>
    <n v="14"/>
    <x v="0"/>
    <s v="Phones"/>
    <s v="UPI"/>
    <d v="2022-08-25T00:00:00"/>
    <s v="Sabrina Clark"/>
    <x v="0"/>
    <x v="0"/>
    <d v="2022-08-01T00:00:00"/>
    <x v="0"/>
  </r>
  <r>
    <s v="B-26478"/>
    <n v="2542"/>
    <n v="190"/>
    <n v="1"/>
    <x v="2"/>
    <s v="Markers"/>
    <s v="Credit Card"/>
    <d v="2022-04-21T00:00:00"/>
    <s v="James Tanner"/>
    <x v="1"/>
    <x v="15"/>
    <d v="2022-04-01T00:00:00"/>
    <x v="0"/>
  </r>
  <r>
    <s v="B-26916"/>
    <n v="916"/>
    <n v="362"/>
    <n v="7"/>
    <x v="2"/>
    <s v="Pens"/>
    <s v="UPI"/>
    <d v="2022-10-21T00:00:00"/>
    <s v="Kaylee Glover"/>
    <x v="5"/>
    <x v="10"/>
    <d v="2022-10-01T00:00:00"/>
    <x v="0"/>
  </r>
  <r>
    <s v="B-26916"/>
    <n v="1165"/>
    <n v="302"/>
    <n v="20"/>
    <x v="1"/>
    <s v="Sofas"/>
    <s v="UPI"/>
    <d v="2022-10-21T00:00:00"/>
    <s v="Kaylee Glover"/>
    <x v="5"/>
    <x v="10"/>
    <d v="2022-10-01T00:00:00"/>
    <x v="0"/>
  </r>
  <r>
    <s v="B-26916"/>
    <n v="7846"/>
    <n v="677"/>
    <n v="12"/>
    <x v="1"/>
    <s v="Chairs"/>
    <s v="UPI"/>
    <d v="2022-10-21T00:00:00"/>
    <s v="Kaylee Glover"/>
    <x v="5"/>
    <x v="10"/>
    <d v="2022-10-01T00:00:00"/>
    <x v="0"/>
  </r>
  <r>
    <s v="B-25925"/>
    <n v="3022"/>
    <n v="384"/>
    <n v="1"/>
    <x v="2"/>
    <s v="Pens"/>
    <s v="Credit Card"/>
    <d v="2022-01-11T00:00:00"/>
    <s v="Ronald Mckinney"/>
    <x v="1"/>
    <x v="1"/>
    <d v="2022-01-01T00:00:00"/>
    <x v="0"/>
  </r>
  <r>
    <s v="B-25925"/>
    <n v="5266"/>
    <n v="1111"/>
    <n v="13"/>
    <x v="0"/>
    <s v="Electronic Games"/>
    <s v="Debit Card"/>
    <d v="2022-01-11T00:00:00"/>
    <s v="Ronald Mckinney"/>
    <x v="1"/>
    <x v="1"/>
    <d v="2022-01-01T00:00:00"/>
    <x v="0"/>
  </r>
  <r>
    <s v="B-25602"/>
    <n v="4853"/>
    <n v="1764"/>
    <n v="9"/>
    <x v="2"/>
    <s v="Pens"/>
    <s v="Debit Card"/>
    <d v="2022-08-30T00:00:00"/>
    <s v="Randy Fisher"/>
    <x v="1"/>
    <x v="15"/>
    <d v="2022-08-01T00:00:00"/>
    <x v="0"/>
  </r>
  <r>
    <s v="B-26592"/>
    <n v="9832"/>
    <n v="1270"/>
    <n v="1"/>
    <x v="2"/>
    <s v="Pens"/>
    <s v="COD"/>
    <d v="2022-10-07T00:00:00"/>
    <s v="James Hernandez"/>
    <x v="0"/>
    <x v="2"/>
    <d v="2022-10-01T00:00:00"/>
    <x v="0"/>
  </r>
  <r>
    <s v="B-26592"/>
    <n v="796"/>
    <n v="153"/>
    <n v="15"/>
    <x v="2"/>
    <s v="Pens"/>
    <s v="Credit Card"/>
    <d v="2022-10-07T00:00:00"/>
    <s v="James Hernandez"/>
    <x v="0"/>
    <x v="2"/>
    <d v="2022-10-01T00:00:00"/>
    <x v="0"/>
  </r>
  <r>
    <s v="B-25979"/>
    <n v="9562"/>
    <n v="325"/>
    <n v="2"/>
    <x v="0"/>
    <s v="Printers"/>
    <s v="Debit Card"/>
    <d v="2022-05-13T00:00:00"/>
    <s v="Andrew Kirby"/>
    <x v="0"/>
    <x v="17"/>
    <d v="2022-05-01T00:00:00"/>
    <x v="0"/>
  </r>
  <r>
    <s v="B-25990"/>
    <n v="6967"/>
    <n v="3257"/>
    <n v="17"/>
    <x v="1"/>
    <s v="Bookcases"/>
    <s v="COD"/>
    <d v="2022-12-25T00:00:00"/>
    <s v="Mark Dixon"/>
    <x v="2"/>
    <x v="6"/>
    <d v="2022-12-01T00:00:00"/>
    <x v="0"/>
  </r>
  <r>
    <s v="B-25990"/>
    <n v="1091"/>
    <n v="277"/>
    <n v="6"/>
    <x v="2"/>
    <s v="Paper"/>
    <s v="COD"/>
    <d v="2022-12-25T00:00:00"/>
    <s v="Mark Dixon"/>
    <x v="2"/>
    <x v="6"/>
    <d v="2022-12-01T00:00:00"/>
    <x v="0"/>
  </r>
  <r>
    <s v="B-25990"/>
    <n v="6027"/>
    <n v="1530"/>
    <n v="2"/>
    <x v="2"/>
    <s v="Binders"/>
    <s v="Credit Card"/>
    <d v="2022-12-25T00:00:00"/>
    <s v="Mark Dixon"/>
    <x v="2"/>
    <x v="6"/>
    <d v="2022-12-01T00:00:00"/>
    <x v="0"/>
  </r>
  <r>
    <s v="B-26792"/>
    <n v="3288"/>
    <n v="1477"/>
    <n v="3"/>
    <x v="2"/>
    <s v="Pens"/>
    <s v="EMI"/>
    <d v="2022-02-19T00:00:00"/>
    <s v="Alejandro Williams"/>
    <x v="5"/>
    <x v="10"/>
    <d v="2022-02-01T00:00:00"/>
    <x v="0"/>
  </r>
  <r>
    <s v="B-25953"/>
    <n v="6690"/>
    <n v="1001"/>
    <n v="19"/>
    <x v="2"/>
    <s v="Binders"/>
    <s v="UPI"/>
    <d v="2022-06-06T00:00:00"/>
    <s v="Nancy Sanchez"/>
    <x v="5"/>
    <x v="10"/>
    <d v="2022-06-01T00:00:00"/>
    <x v="0"/>
  </r>
  <r>
    <s v="B-25953"/>
    <n v="4985"/>
    <n v="1920"/>
    <n v="10"/>
    <x v="1"/>
    <s v="Bookcases"/>
    <s v="Credit Card"/>
    <d v="2022-06-06T00:00:00"/>
    <s v="Nancy Sanchez"/>
    <x v="5"/>
    <x v="10"/>
    <d v="2022-06-01T00:00:00"/>
    <x v="0"/>
  </r>
  <r>
    <s v="B-26972"/>
    <n v="6956"/>
    <n v="318"/>
    <n v="20"/>
    <x v="2"/>
    <s v="Markers"/>
    <s v="Debit Card"/>
    <d v="2022-04-19T00:00:00"/>
    <s v="Steven Haynes"/>
    <x v="5"/>
    <x v="10"/>
    <d v="2022-04-01T00:00:00"/>
    <x v="0"/>
  </r>
  <r>
    <s v="B-26668"/>
    <n v="972"/>
    <n v="106"/>
    <n v="15"/>
    <x v="2"/>
    <s v="Pens"/>
    <s v="EMI"/>
    <d v="2022-05-06T00:00:00"/>
    <s v="Betty Tucker"/>
    <x v="2"/>
    <x v="6"/>
    <d v="2022-05-01T00:00:00"/>
    <x v="0"/>
  </r>
  <r>
    <s v="B-25777"/>
    <n v="6236"/>
    <n v="2839"/>
    <n v="7"/>
    <x v="0"/>
    <s v="Printers"/>
    <s v="Credit Card"/>
    <d v="2022-01-20T00:00:00"/>
    <s v="Eric Adams"/>
    <x v="5"/>
    <x v="10"/>
    <d v="2022-01-01T00:00:00"/>
    <x v="0"/>
  </r>
  <r>
    <s v="B-25777"/>
    <n v="6236"/>
    <n v="2839"/>
    <n v="7"/>
    <x v="0"/>
    <s v="Printers"/>
    <s v="Credit Card"/>
    <d v="2022-05-10T00:00:00"/>
    <s v="Chad Brown"/>
    <x v="3"/>
    <x v="4"/>
    <d v="2022-05-01T00:00:00"/>
    <x v="0"/>
  </r>
  <r>
    <s v="B-25383"/>
    <n v="5410"/>
    <n v="2456"/>
    <n v="8"/>
    <x v="1"/>
    <s v="Chairs"/>
    <s v="Credit Card"/>
    <d v="2022-01-04T00:00:00"/>
    <s v="Ashley Freeman"/>
    <x v="3"/>
    <x v="8"/>
    <d v="2022-01-01T00:00:00"/>
    <x v="0"/>
  </r>
  <r>
    <s v="B-26684"/>
    <n v="7434"/>
    <n v="2851"/>
    <n v="5"/>
    <x v="2"/>
    <s v="Markers"/>
    <s v="UPI"/>
    <d v="2022-12-12T00:00:00"/>
    <s v="Jesse Bond"/>
    <x v="5"/>
    <x v="10"/>
    <d v="2022-12-01T00:00:00"/>
    <x v="0"/>
  </r>
  <r>
    <s v="B-26098"/>
    <n v="4146"/>
    <n v="865"/>
    <n v="19"/>
    <x v="1"/>
    <s v="Tables"/>
    <s v="EMI"/>
    <d v="2022-07-04T00:00:00"/>
    <s v="Kyle Baker"/>
    <x v="1"/>
    <x v="15"/>
    <d v="2022-07-01T00:00:00"/>
    <x v="0"/>
  </r>
  <r>
    <s v="B-26098"/>
    <n v="3793"/>
    <n v="875"/>
    <n v="7"/>
    <x v="1"/>
    <s v="Tables"/>
    <s v="EMI"/>
    <d v="2022-07-04T00:00:00"/>
    <s v="Kyle Baker"/>
    <x v="1"/>
    <x v="15"/>
    <d v="2022-07-01T00:00:00"/>
    <x v="0"/>
  </r>
  <r>
    <s v="B-25283"/>
    <n v="5448"/>
    <n v="2204"/>
    <n v="5"/>
    <x v="1"/>
    <s v="Sofas"/>
    <s v="COD"/>
    <d v="2022-08-09T00:00:00"/>
    <s v="Luis Warner"/>
    <x v="4"/>
    <x v="16"/>
    <d v="2022-08-01T00:00:00"/>
    <x v="0"/>
  </r>
  <r>
    <s v="B-25064"/>
    <n v="6109"/>
    <n v="3040"/>
    <n v="9"/>
    <x v="1"/>
    <s v="Chairs"/>
    <s v="EMI"/>
    <d v="2022-02-10T00:00:00"/>
    <s v="Kimberly Johnson"/>
    <x v="4"/>
    <x v="9"/>
    <d v="2022-02-01T00:00:00"/>
    <x v="0"/>
  </r>
  <r>
    <s v="B-25064"/>
    <n v="4628"/>
    <n v="1491"/>
    <n v="17"/>
    <x v="0"/>
    <s v="Electronic Games"/>
    <s v="UPI"/>
    <d v="2022-02-10T00:00:00"/>
    <s v="Kimberly Johnson"/>
    <x v="4"/>
    <x v="9"/>
    <d v="2022-02-01T00:00:00"/>
    <x v="0"/>
  </r>
  <r>
    <s v="B-26268"/>
    <n v="4369"/>
    <n v="584"/>
    <n v="13"/>
    <x v="2"/>
    <s v="Pens"/>
    <s v="Credit Card"/>
    <d v="2022-09-22T00:00:00"/>
    <s v="Ashley Petty"/>
    <x v="5"/>
    <x v="11"/>
    <d v="2022-09-01T00:00:00"/>
    <x v="0"/>
  </r>
  <r>
    <s v="B-25495"/>
    <n v="7519"/>
    <n v="402"/>
    <n v="14"/>
    <x v="2"/>
    <s v="Paper"/>
    <s v="UPI"/>
    <d v="2022-10-12T00:00:00"/>
    <s v="Sandra Hicks"/>
    <x v="0"/>
    <x v="17"/>
    <d v="2022-10-01T00:00:00"/>
    <x v="0"/>
  </r>
  <r>
    <s v="B-25495"/>
    <n v="1564"/>
    <n v="674"/>
    <n v="13"/>
    <x v="0"/>
    <s v="Electronic Games"/>
    <s v="Debit Card"/>
    <d v="2022-10-12T00:00:00"/>
    <s v="Sandra Hicks"/>
    <x v="0"/>
    <x v="17"/>
    <d v="2022-10-01T00:00:00"/>
    <x v="0"/>
  </r>
  <r>
    <s v="B-26552"/>
    <n v="2804"/>
    <n v="936"/>
    <n v="10"/>
    <x v="0"/>
    <s v="Electronic Games"/>
    <s v="Credit Card"/>
    <d v="2022-02-06T00:00:00"/>
    <s v="Olivia Orozco"/>
    <x v="1"/>
    <x v="1"/>
    <d v="2022-02-01T00:00:00"/>
    <x v="0"/>
  </r>
  <r>
    <s v="B-25203"/>
    <n v="2321"/>
    <n v="505"/>
    <n v="6"/>
    <x v="1"/>
    <s v="Chairs"/>
    <s v="EMI"/>
    <d v="2022-10-04T00:00:00"/>
    <s v="Daniel Flowers"/>
    <x v="5"/>
    <x v="10"/>
    <d v="2022-10-01T00:00:00"/>
    <x v="0"/>
  </r>
  <r>
    <s v="B-26069"/>
    <n v="838"/>
    <n v="271"/>
    <n v="11"/>
    <x v="2"/>
    <s v="Markers"/>
    <s v="EMI"/>
    <d v="2022-02-28T00:00:00"/>
    <s v="Jeffrey Wilcox"/>
    <x v="5"/>
    <x v="11"/>
    <d v="2022-02-01T00:00:00"/>
    <x v="0"/>
  </r>
  <r>
    <s v="B-26069"/>
    <n v="3577"/>
    <n v="699"/>
    <n v="2"/>
    <x v="1"/>
    <s v="Tables"/>
    <s v="UPI"/>
    <d v="2022-02-28T00:00:00"/>
    <s v="Jeffrey Wilcox"/>
    <x v="5"/>
    <x v="11"/>
    <d v="2022-02-01T00:00:00"/>
    <x v="0"/>
  </r>
  <r>
    <s v="B-25809"/>
    <n v="2685"/>
    <n v="379"/>
    <n v="18"/>
    <x v="0"/>
    <s v="Phones"/>
    <s v="UPI"/>
    <d v="2022-03-08T00:00:00"/>
    <s v="Kelly Smith"/>
    <x v="2"/>
    <x v="5"/>
    <d v="2022-03-01T00:00:00"/>
    <x v="0"/>
  </r>
  <r>
    <s v="B-25809"/>
    <n v="2685"/>
    <n v="379"/>
    <n v="18"/>
    <x v="0"/>
    <s v="Phones"/>
    <s v="UPI"/>
    <d v="2022-12-08T00:00:00"/>
    <s v="Sabrina Hartman"/>
    <x v="3"/>
    <x v="8"/>
    <d v="2022-12-01T00:00:00"/>
    <x v="0"/>
  </r>
  <r>
    <s v="B-25809"/>
    <n v="9916"/>
    <n v="4602"/>
    <n v="14"/>
    <x v="1"/>
    <s v="Chairs"/>
    <s v="UPI"/>
    <d v="2022-03-08T00:00:00"/>
    <s v="Kelly Smith"/>
    <x v="2"/>
    <x v="5"/>
    <d v="2022-03-01T00:00:00"/>
    <x v="0"/>
  </r>
  <r>
    <s v="B-25809"/>
    <n v="9916"/>
    <n v="4602"/>
    <n v="14"/>
    <x v="1"/>
    <s v="Chairs"/>
    <s v="UPI"/>
    <d v="2022-12-08T00:00:00"/>
    <s v="Sabrina Hartman"/>
    <x v="3"/>
    <x v="8"/>
    <d v="2022-12-01T00:00:00"/>
    <x v="0"/>
  </r>
  <r>
    <s v="B-25809"/>
    <n v="6184"/>
    <n v="50"/>
    <n v="14"/>
    <x v="0"/>
    <s v="Electronic Games"/>
    <s v="Credit Card"/>
    <d v="2022-03-08T00:00:00"/>
    <s v="Kelly Smith"/>
    <x v="2"/>
    <x v="5"/>
    <d v="2022-03-01T00:00:00"/>
    <x v="0"/>
  </r>
  <r>
    <s v="B-25809"/>
    <n v="6184"/>
    <n v="50"/>
    <n v="14"/>
    <x v="0"/>
    <s v="Electronic Games"/>
    <s v="Credit Card"/>
    <d v="2022-12-08T00:00:00"/>
    <s v="Sabrina Hartman"/>
    <x v="3"/>
    <x v="8"/>
    <d v="2022-12-01T00:00:00"/>
    <x v="0"/>
  </r>
  <r>
    <s v="B-25809"/>
    <n v="4548"/>
    <n v="2135"/>
    <n v="8"/>
    <x v="2"/>
    <s v="Markers"/>
    <s v="Debit Card"/>
    <d v="2022-03-08T00:00:00"/>
    <s v="Kelly Smith"/>
    <x v="2"/>
    <x v="5"/>
    <d v="2022-03-01T00:00:00"/>
    <x v="0"/>
  </r>
  <r>
    <s v="B-25809"/>
    <n v="4548"/>
    <n v="2135"/>
    <n v="8"/>
    <x v="2"/>
    <s v="Markers"/>
    <s v="Debit Card"/>
    <d v="2022-12-08T00:00:00"/>
    <s v="Sabrina Hartman"/>
    <x v="3"/>
    <x v="8"/>
    <d v="2022-12-01T00:00:00"/>
    <x v="0"/>
  </r>
  <r>
    <s v="B-25477"/>
    <n v="7195"/>
    <n v="1665"/>
    <n v="7"/>
    <x v="2"/>
    <s v="Markers"/>
    <s v="COD"/>
    <d v="2022-07-05T00:00:00"/>
    <s v="Olivia Dickerson"/>
    <x v="4"/>
    <x v="9"/>
    <d v="2022-07-01T00:00:00"/>
    <x v="0"/>
  </r>
  <r>
    <s v="B-25148"/>
    <n v="8141"/>
    <n v="3968"/>
    <n v="18"/>
    <x v="2"/>
    <s v="Markers"/>
    <s v="Debit Card"/>
    <d v="2022-12-23T00:00:00"/>
    <s v="William Morse"/>
    <x v="4"/>
    <x v="12"/>
    <d v="2022-12-01T00:00:00"/>
    <x v="0"/>
  </r>
  <r>
    <s v="B-25148"/>
    <n v="8141"/>
    <n v="3968"/>
    <n v="18"/>
    <x v="2"/>
    <s v="Markers"/>
    <s v="Debit Card"/>
    <d v="2022-08-10T00:00:00"/>
    <s v="Carrie Smith"/>
    <x v="5"/>
    <x v="11"/>
    <d v="2022-08-01T00:00:00"/>
    <x v="0"/>
  </r>
  <r>
    <s v="B-25148"/>
    <n v="1067"/>
    <n v="251"/>
    <n v="14"/>
    <x v="1"/>
    <s v="Sofas"/>
    <s v="EMI"/>
    <d v="2022-12-23T00:00:00"/>
    <s v="William Morse"/>
    <x v="4"/>
    <x v="12"/>
    <d v="2022-12-01T00:00:00"/>
    <x v="0"/>
  </r>
  <r>
    <s v="B-25148"/>
    <n v="1067"/>
    <n v="251"/>
    <n v="14"/>
    <x v="1"/>
    <s v="Sofas"/>
    <s v="EMI"/>
    <d v="2022-08-10T00:00:00"/>
    <s v="Carrie Smith"/>
    <x v="5"/>
    <x v="11"/>
    <d v="2022-08-01T00:00:00"/>
    <x v="0"/>
  </r>
  <r>
    <s v="B-25830"/>
    <n v="3839"/>
    <n v="1415"/>
    <n v="10"/>
    <x v="2"/>
    <s v="Binders"/>
    <s v="UPI"/>
    <d v="2022-02-28T00:00:00"/>
    <s v="Andrew Benson"/>
    <x v="3"/>
    <x v="4"/>
    <d v="2022-02-01T00:00:00"/>
    <x v="0"/>
  </r>
  <r>
    <s v="B-25515"/>
    <n v="4468"/>
    <n v="1940"/>
    <n v="9"/>
    <x v="2"/>
    <s v="Paper"/>
    <s v="COD"/>
    <d v="2022-03-16T00:00:00"/>
    <s v="Seth Rodriguez"/>
    <x v="3"/>
    <x v="8"/>
    <d v="2022-03-01T00:00:00"/>
    <x v="0"/>
  </r>
  <r>
    <s v="B-26222"/>
    <n v="8706"/>
    <n v="3099"/>
    <n v="14"/>
    <x v="2"/>
    <s v="Pens"/>
    <s v="Credit Card"/>
    <d v="2022-06-29T00:00:00"/>
    <s v="Carol Mitchell"/>
    <x v="5"/>
    <x v="14"/>
    <d v="2022-06-01T00:00:00"/>
    <x v="0"/>
  </r>
  <r>
    <s v="B-26222"/>
    <n v="4708"/>
    <n v="696"/>
    <n v="14"/>
    <x v="0"/>
    <s v="Electronic Games"/>
    <s v="Credit Card"/>
    <d v="2022-06-29T00:00:00"/>
    <s v="Carol Mitchell"/>
    <x v="5"/>
    <x v="14"/>
    <d v="2022-06-01T00:00:00"/>
    <x v="0"/>
  </r>
  <r>
    <s v="B-26222"/>
    <n v="8089"/>
    <n v="3132"/>
    <n v="17"/>
    <x v="1"/>
    <s v="Chairs"/>
    <s v="COD"/>
    <d v="2022-06-29T00:00:00"/>
    <s v="Carol Mitchell"/>
    <x v="5"/>
    <x v="14"/>
    <d v="2022-06-01T00:00:00"/>
    <x v="0"/>
  </r>
  <r>
    <s v="B-25316"/>
    <n v="5462"/>
    <n v="673"/>
    <n v="12"/>
    <x v="0"/>
    <s v="Printers"/>
    <s v="Debit Card"/>
    <d v="2022-11-03T00:00:00"/>
    <s v="John Thompson"/>
    <x v="1"/>
    <x v="1"/>
    <d v="2022-11-01T00:00:00"/>
    <x v="0"/>
  </r>
  <r>
    <s v="B-25763"/>
    <n v="2349"/>
    <n v="319"/>
    <n v="4"/>
    <x v="2"/>
    <s v="Pens"/>
    <s v="UPI"/>
    <d v="2022-01-18T00:00:00"/>
    <s v="Clayton Lara"/>
    <x v="3"/>
    <x v="7"/>
    <d v="2022-01-01T00:00:00"/>
    <x v="0"/>
  </r>
  <r>
    <s v="B-25763"/>
    <n v="8220"/>
    <n v="3882"/>
    <n v="14"/>
    <x v="1"/>
    <s v="Chairs"/>
    <s v="UPI"/>
    <d v="2022-01-18T00:00:00"/>
    <s v="Clayton Lara"/>
    <x v="3"/>
    <x v="7"/>
    <d v="2022-01-01T00:00:00"/>
    <x v="0"/>
  </r>
  <r>
    <s v="B-25763"/>
    <n v="2379"/>
    <n v="279"/>
    <n v="7"/>
    <x v="1"/>
    <s v="Chairs"/>
    <s v="Debit Card"/>
    <d v="2022-01-18T00:00:00"/>
    <s v="Clayton Lara"/>
    <x v="3"/>
    <x v="7"/>
    <d v="2022-01-01T00:00:00"/>
    <x v="0"/>
  </r>
  <r>
    <s v="B-25763"/>
    <n v="7377"/>
    <n v="2049"/>
    <n v="4"/>
    <x v="2"/>
    <s v="Markers"/>
    <s v="UPI"/>
    <d v="2022-01-18T00:00:00"/>
    <s v="Clayton Lara"/>
    <x v="3"/>
    <x v="7"/>
    <d v="2022-01-01T00:00:00"/>
    <x v="0"/>
  </r>
  <r>
    <s v="B-25465"/>
    <n v="717"/>
    <n v="158"/>
    <n v="16"/>
    <x v="1"/>
    <s v="Tables"/>
    <s v="Credit Card"/>
    <d v="2022-03-23T00:00:00"/>
    <s v="Tony Ray"/>
    <x v="2"/>
    <x v="5"/>
    <d v="2022-03-01T00:00:00"/>
    <x v="0"/>
  </r>
  <r>
    <s v="B-25465"/>
    <n v="717"/>
    <n v="158"/>
    <n v="16"/>
    <x v="1"/>
    <s v="Tables"/>
    <s v="Credit Card"/>
    <d v="2022-12-23T00:00:00"/>
    <s v="Stephanie Leonard"/>
    <x v="4"/>
    <x v="9"/>
    <d v="2022-12-01T00:00:00"/>
    <x v="0"/>
  </r>
  <r>
    <s v="B-25465"/>
    <n v="508"/>
    <n v="177"/>
    <n v="17"/>
    <x v="1"/>
    <s v="Sofas"/>
    <s v="UPI"/>
    <d v="2022-03-23T00:00:00"/>
    <s v="Tony Ray"/>
    <x v="2"/>
    <x v="5"/>
    <d v="2022-03-01T00:00:00"/>
    <x v="0"/>
  </r>
  <r>
    <s v="B-25465"/>
    <n v="508"/>
    <n v="177"/>
    <n v="17"/>
    <x v="1"/>
    <s v="Sofas"/>
    <s v="UPI"/>
    <d v="2022-12-23T00:00:00"/>
    <s v="Stephanie Leonard"/>
    <x v="4"/>
    <x v="9"/>
    <d v="2022-12-01T00:00:00"/>
    <x v="0"/>
  </r>
  <r>
    <s v="B-26352"/>
    <n v="9382"/>
    <n v="1085"/>
    <n v="3"/>
    <x v="0"/>
    <s v="Printers"/>
    <s v="Debit Card"/>
    <d v="2022-05-16T00:00:00"/>
    <s v="Annette Pierce"/>
    <x v="4"/>
    <x v="12"/>
    <d v="2022-05-01T00:00:00"/>
    <x v="0"/>
  </r>
  <r>
    <s v="B-26352"/>
    <n v="4936"/>
    <n v="576"/>
    <n v="19"/>
    <x v="1"/>
    <s v="Tables"/>
    <s v="COD"/>
    <d v="2022-05-16T00:00:00"/>
    <s v="Annette Pierce"/>
    <x v="4"/>
    <x v="12"/>
    <d v="2022-05-01T00:00:00"/>
    <x v="0"/>
  </r>
  <r>
    <s v="B-26670"/>
    <n v="5151"/>
    <n v="1680"/>
    <n v="5"/>
    <x v="0"/>
    <s v="Printers"/>
    <s v="EMI"/>
    <d v="2022-10-22T00:00:00"/>
    <s v="Robert Brooks"/>
    <x v="1"/>
    <x v="15"/>
    <d v="2022-10-01T00:00:00"/>
    <x v="0"/>
  </r>
  <r>
    <s v="B-26033"/>
    <n v="6077"/>
    <n v="2378"/>
    <n v="18"/>
    <x v="0"/>
    <s v="Phones"/>
    <s v="COD"/>
    <d v="2022-08-21T00:00:00"/>
    <s v="Keith Brooks"/>
    <x v="4"/>
    <x v="16"/>
    <d v="2022-08-01T00:00:00"/>
    <x v="0"/>
  </r>
  <r>
    <s v="B-26017"/>
    <n v="5379"/>
    <n v="2510"/>
    <n v="17"/>
    <x v="0"/>
    <s v="Printers"/>
    <s v="COD"/>
    <d v="2022-04-16T00:00:00"/>
    <s v="Jason Martinez"/>
    <x v="2"/>
    <x v="3"/>
    <d v="2022-04-01T00:00:00"/>
    <x v="0"/>
  </r>
  <r>
    <s v="B-26240"/>
    <n v="8042"/>
    <n v="936"/>
    <n v="15"/>
    <x v="2"/>
    <s v="Markers"/>
    <s v="EMI"/>
    <d v="2022-04-08T00:00:00"/>
    <s v="Zachary Carpenter"/>
    <x v="0"/>
    <x v="0"/>
    <d v="2022-04-01T00:00:00"/>
    <x v="0"/>
  </r>
  <r>
    <s v="B-26922"/>
    <n v="3957"/>
    <n v="151"/>
    <n v="10"/>
    <x v="2"/>
    <s v="Binders"/>
    <s v="EMI"/>
    <d v="2022-04-30T00:00:00"/>
    <s v="Timothy Baker"/>
    <x v="1"/>
    <x v="1"/>
    <d v="2022-04-01T00:00:00"/>
    <x v="0"/>
  </r>
  <r>
    <s v="B-26288"/>
    <n v="5344"/>
    <n v="2607"/>
    <n v="6"/>
    <x v="2"/>
    <s v="Paper"/>
    <s v="Debit Card"/>
    <d v="2022-04-23T00:00:00"/>
    <s v="James Murray"/>
    <x v="1"/>
    <x v="13"/>
    <d v="2022-04-01T00:00:00"/>
    <x v="0"/>
  </r>
  <r>
    <s v="B-25228"/>
    <n v="6061"/>
    <n v="2121"/>
    <n v="19"/>
    <x v="0"/>
    <s v="Laptops"/>
    <s v="EMI"/>
    <d v="2022-01-17T00:00:00"/>
    <s v="Dr. Thomas Peterson"/>
    <x v="0"/>
    <x v="17"/>
    <d v="2022-01-01T00:00:00"/>
    <x v="0"/>
  </r>
  <r>
    <s v="B-25868"/>
    <n v="2944"/>
    <n v="249"/>
    <n v="5"/>
    <x v="2"/>
    <s v="Binders"/>
    <s v="Credit Card"/>
    <d v="2022-12-26T00:00:00"/>
    <s v="Victoria Duran"/>
    <x v="1"/>
    <x v="13"/>
    <d v="2022-12-01T00:00:00"/>
    <x v="0"/>
  </r>
  <r>
    <s v="B-26526"/>
    <n v="599"/>
    <n v="265"/>
    <n v="4"/>
    <x v="0"/>
    <s v="Phones"/>
    <s v="Credit Card"/>
    <d v="2022-07-17T00:00:00"/>
    <s v="Emma Scott"/>
    <x v="4"/>
    <x v="9"/>
    <d v="2022-07-01T00:00:00"/>
    <x v="0"/>
  </r>
  <r>
    <s v="B-26526"/>
    <n v="2727"/>
    <n v="543"/>
    <n v="10"/>
    <x v="1"/>
    <s v="Bookcases"/>
    <s v="Credit Card"/>
    <d v="2022-07-17T00:00:00"/>
    <s v="Emma Scott"/>
    <x v="4"/>
    <x v="9"/>
    <d v="2022-07-01T00:00:00"/>
    <x v="0"/>
  </r>
  <r>
    <s v="B-25698"/>
    <n v="3776"/>
    <n v="1100"/>
    <n v="9"/>
    <x v="0"/>
    <s v="Electronic Games"/>
    <s v="EMI"/>
    <d v="2022-11-13T00:00:00"/>
    <s v="Heather Parker"/>
    <x v="1"/>
    <x v="1"/>
    <d v="2022-11-01T00:00:00"/>
    <x v="0"/>
  </r>
  <r>
    <s v="B-25698"/>
    <n v="3776"/>
    <n v="1100"/>
    <n v="9"/>
    <x v="0"/>
    <s v="Electronic Games"/>
    <s v="EMI"/>
    <d v="2022-12-28T00:00:00"/>
    <s v="Thomas Matthews"/>
    <x v="5"/>
    <x v="11"/>
    <d v="2022-12-01T00:00:00"/>
    <x v="0"/>
  </r>
  <r>
    <s v="B-25396"/>
    <n v="5165"/>
    <n v="885"/>
    <n v="16"/>
    <x v="2"/>
    <s v="Pens"/>
    <s v="EMI"/>
    <d v="2022-11-12T00:00:00"/>
    <s v="Lydia Donovan"/>
    <x v="5"/>
    <x v="11"/>
    <d v="2022-11-01T00:00:00"/>
    <x v="0"/>
  </r>
  <r>
    <s v="B-25396"/>
    <n v="4863"/>
    <n v="2394"/>
    <n v="4"/>
    <x v="1"/>
    <s v="Bookcases"/>
    <s v="EMI"/>
    <d v="2022-11-12T00:00:00"/>
    <s v="Lydia Donovan"/>
    <x v="5"/>
    <x v="11"/>
    <d v="2022-11-01T00:00:00"/>
    <x v="0"/>
  </r>
  <r>
    <s v="B-25237"/>
    <n v="5250"/>
    <n v="187"/>
    <n v="1"/>
    <x v="2"/>
    <s v="Binders"/>
    <s v="COD"/>
    <d v="2022-03-17T00:00:00"/>
    <s v="Jim Johnson"/>
    <x v="2"/>
    <x v="6"/>
    <d v="2022-03-01T00:00:00"/>
    <x v="0"/>
  </r>
  <r>
    <s v="B-26656"/>
    <n v="3573"/>
    <n v="562"/>
    <n v="7"/>
    <x v="2"/>
    <s v="Pens"/>
    <s v="EMI"/>
    <d v="2022-10-12T00:00:00"/>
    <s v="Michael Rodriguez"/>
    <x v="4"/>
    <x v="12"/>
    <d v="2022-10-01T00:00:00"/>
    <x v="0"/>
  </r>
  <r>
    <s v="B-26656"/>
    <n v="8055"/>
    <n v="661"/>
    <n v="10"/>
    <x v="0"/>
    <s v="Phones"/>
    <s v="EMI"/>
    <d v="2022-10-12T00:00:00"/>
    <s v="Michael Rodriguez"/>
    <x v="4"/>
    <x v="12"/>
    <d v="2022-10-01T00:00:00"/>
    <x v="0"/>
  </r>
  <r>
    <s v="B-25801"/>
    <n v="6829"/>
    <n v="2609"/>
    <n v="2"/>
    <x v="0"/>
    <s v="Laptops"/>
    <s v="EMI"/>
    <d v="2022-06-04T00:00:00"/>
    <s v="Kerri Andrews"/>
    <x v="0"/>
    <x v="2"/>
    <d v="2022-06-01T00:00:00"/>
    <x v="0"/>
  </r>
  <r>
    <s v="B-25801"/>
    <n v="6390"/>
    <n v="3089"/>
    <n v="12"/>
    <x v="2"/>
    <s v="Paper"/>
    <s v="COD"/>
    <d v="2022-06-04T00:00:00"/>
    <s v="Kerri Andrews"/>
    <x v="0"/>
    <x v="2"/>
    <d v="2022-06-01T00:00:00"/>
    <x v="0"/>
  </r>
  <r>
    <s v="B-25006"/>
    <n v="5831"/>
    <n v="1574"/>
    <n v="17"/>
    <x v="2"/>
    <s v="Pens"/>
    <s v="Debit Card"/>
    <d v="2022-11-16T00:00:00"/>
    <s v="Jeffrey Johnson III"/>
    <x v="0"/>
    <x v="2"/>
    <d v="2022-11-01T00:00:00"/>
    <x v="0"/>
  </r>
  <r>
    <s v="B-26878"/>
    <n v="1078"/>
    <n v="309"/>
    <n v="3"/>
    <x v="0"/>
    <s v="Phones"/>
    <s v="Credit Card"/>
    <d v="2022-09-03T00:00:00"/>
    <s v="Nicholas Flores"/>
    <x v="2"/>
    <x v="5"/>
    <d v="2022-09-01T00:00:00"/>
    <x v="0"/>
  </r>
  <r>
    <s v="B-25170"/>
    <n v="8560"/>
    <n v="2166"/>
    <n v="19"/>
    <x v="2"/>
    <s v="Binders"/>
    <s v="EMI"/>
    <d v="2022-05-27T00:00:00"/>
    <s v="Matthew Gardner"/>
    <x v="3"/>
    <x v="8"/>
    <d v="2022-05-01T00:00:00"/>
    <x v="0"/>
  </r>
  <r>
    <s v="B-25170"/>
    <n v="1031"/>
    <n v="318"/>
    <n v="20"/>
    <x v="0"/>
    <s v="Electronic Games"/>
    <s v="UPI"/>
    <d v="2022-05-27T00:00:00"/>
    <s v="Matthew Gardner"/>
    <x v="3"/>
    <x v="8"/>
    <d v="2022-05-01T00:00:00"/>
    <x v="0"/>
  </r>
  <r>
    <s v="B-26599"/>
    <n v="4015"/>
    <n v="1751"/>
    <n v="15"/>
    <x v="1"/>
    <s v="Chairs"/>
    <s v="Debit Card"/>
    <d v="2022-08-28T00:00:00"/>
    <s v="Cheryl Stevens"/>
    <x v="0"/>
    <x v="2"/>
    <d v="2022-08-01T00:00:00"/>
    <x v="0"/>
  </r>
  <r>
    <s v="B-26116"/>
    <n v="6389"/>
    <n v="734"/>
    <n v="1"/>
    <x v="1"/>
    <s v="Sofas"/>
    <s v="EMI"/>
    <d v="2022-01-15T00:00:00"/>
    <s v="Jeremy Jackson"/>
    <x v="1"/>
    <x v="13"/>
    <d v="2022-01-01T00:00:00"/>
    <x v="0"/>
  </r>
  <r>
    <s v="B-25955"/>
    <n v="655"/>
    <n v="297"/>
    <n v="4"/>
    <x v="2"/>
    <s v="Markers"/>
    <s v="Debit Card"/>
    <d v="2022-02-15T00:00:00"/>
    <s v="Alexander Adams"/>
    <x v="4"/>
    <x v="9"/>
    <d v="2022-02-01T00:00:00"/>
    <x v="0"/>
  </r>
  <r>
    <s v="B-25855"/>
    <n v="5263"/>
    <n v="1743"/>
    <n v="19"/>
    <x v="1"/>
    <s v="Sofas"/>
    <s v="Credit Card"/>
    <d v="2022-08-28T00:00:00"/>
    <s v="Kelsey Huber"/>
    <x v="3"/>
    <x v="7"/>
    <d v="2022-08-01T00:00:00"/>
    <x v="0"/>
  </r>
  <r>
    <s v="B-26228"/>
    <n v="8537"/>
    <n v="3586"/>
    <n v="13"/>
    <x v="2"/>
    <s v="Markers"/>
    <s v="UPI"/>
    <d v="2022-09-16T00:00:00"/>
    <s v="Kathryn Gray"/>
    <x v="4"/>
    <x v="12"/>
    <d v="2022-09-01T00:00:00"/>
    <x v="0"/>
  </r>
  <r>
    <s v="B-25566"/>
    <n v="3877"/>
    <n v="481"/>
    <n v="16"/>
    <x v="1"/>
    <s v="Chairs"/>
    <s v="Debit Card"/>
    <d v="2022-02-04T00:00:00"/>
    <s v="Susan Valdez"/>
    <x v="4"/>
    <x v="16"/>
    <d v="2022-02-01T00:00:00"/>
    <x v="0"/>
  </r>
  <r>
    <s v="B-26965"/>
    <n v="1592"/>
    <n v="480"/>
    <n v="13"/>
    <x v="0"/>
    <s v="Laptops"/>
    <s v="Debit Card"/>
    <d v="2022-01-18T00:00:00"/>
    <s v="Jordan Krause"/>
    <x v="2"/>
    <x v="5"/>
    <d v="2022-01-01T00:00:00"/>
    <x v="0"/>
  </r>
  <r>
    <s v="B-26803"/>
    <n v="9399"/>
    <n v="1949"/>
    <n v="12"/>
    <x v="0"/>
    <s v="Printers"/>
    <s v="UPI"/>
    <d v="2022-05-16T00:00:00"/>
    <s v="Elizabeth White"/>
    <x v="4"/>
    <x v="12"/>
    <d v="2022-05-01T00:00:00"/>
    <x v="0"/>
  </r>
  <r>
    <s v="B-26803"/>
    <n v="7957"/>
    <n v="965"/>
    <n v="4"/>
    <x v="1"/>
    <s v="Sofas"/>
    <s v="Credit Card"/>
    <d v="2022-05-16T00:00:00"/>
    <s v="Elizabeth White"/>
    <x v="4"/>
    <x v="12"/>
    <d v="2022-05-01T00:00:00"/>
    <x v="0"/>
  </r>
  <r>
    <s v="B-25043"/>
    <n v="2727"/>
    <n v="663"/>
    <n v="8"/>
    <x v="0"/>
    <s v="Phones"/>
    <s v="Credit Card"/>
    <d v="2022-11-07T00:00:00"/>
    <s v="Austin Hammond"/>
    <x v="3"/>
    <x v="7"/>
    <d v="2022-11-01T00:00:00"/>
    <x v="0"/>
  </r>
  <r>
    <s v="B-26598"/>
    <n v="1093"/>
    <n v="397"/>
    <n v="17"/>
    <x v="0"/>
    <s v="Printers"/>
    <s v="Credit Card"/>
    <d v="2022-02-22T00:00:00"/>
    <s v="James Carter"/>
    <x v="2"/>
    <x v="3"/>
    <d v="2022-02-01T00:00:00"/>
    <x v="0"/>
  </r>
  <r>
    <s v="B-26598"/>
    <n v="2636"/>
    <n v="88"/>
    <n v="11"/>
    <x v="2"/>
    <s v="Paper"/>
    <s v="Debit Card"/>
    <d v="2022-02-22T00:00:00"/>
    <s v="James Carter"/>
    <x v="2"/>
    <x v="3"/>
    <d v="2022-02-01T00:00:00"/>
    <x v="0"/>
  </r>
  <r>
    <s v="B-26643"/>
    <n v="7344"/>
    <n v="2251"/>
    <n v="7"/>
    <x v="0"/>
    <s v="Electronic Games"/>
    <s v="Debit Card"/>
    <d v="2022-02-11T00:00:00"/>
    <s v="John Williams"/>
    <x v="3"/>
    <x v="7"/>
    <d v="2022-02-01T00:00:00"/>
    <x v="0"/>
  </r>
  <r>
    <s v="B-26643"/>
    <n v="7306"/>
    <n v="1547"/>
    <n v="3"/>
    <x v="2"/>
    <s v="Paper"/>
    <s v="COD"/>
    <d v="2022-02-11T00:00:00"/>
    <s v="John Williams"/>
    <x v="3"/>
    <x v="7"/>
    <d v="2022-02-01T00:00:00"/>
    <x v="0"/>
  </r>
  <r>
    <s v="B-26643"/>
    <n v="5832"/>
    <n v="2588"/>
    <n v="10"/>
    <x v="0"/>
    <s v="Printers"/>
    <s v="COD"/>
    <d v="2022-02-11T00:00:00"/>
    <s v="John Williams"/>
    <x v="3"/>
    <x v="7"/>
    <d v="2022-02-01T00:00:00"/>
    <x v="0"/>
  </r>
  <r>
    <s v="B-26543"/>
    <n v="7067"/>
    <n v="1943"/>
    <n v="16"/>
    <x v="1"/>
    <s v="Tables"/>
    <s v="Credit Card"/>
    <d v="2022-03-15T00:00:00"/>
    <s v="Nicolas Owen"/>
    <x v="0"/>
    <x v="2"/>
    <d v="2022-03-01T00:00:00"/>
    <x v="0"/>
  </r>
  <r>
    <s v="B-25929"/>
    <n v="962"/>
    <n v="298"/>
    <n v="18"/>
    <x v="2"/>
    <s v="Binders"/>
    <s v="Credit Card"/>
    <d v="2022-07-23T00:00:00"/>
    <s v="Matthew Parker"/>
    <x v="5"/>
    <x v="10"/>
    <d v="2022-07-01T00:00:00"/>
    <x v="0"/>
  </r>
  <r>
    <s v="B-26735"/>
    <n v="2078"/>
    <n v="612"/>
    <n v="6"/>
    <x v="0"/>
    <s v="Laptops"/>
    <s v="COD"/>
    <d v="2022-01-25T00:00:00"/>
    <s v="Bruce Dennis"/>
    <x v="1"/>
    <x v="1"/>
    <d v="2022-01-01T00:00:00"/>
    <x v="0"/>
  </r>
  <r>
    <s v="B-25441"/>
    <n v="9914"/>
    <n v="3858"/>
    <n v="16"/>
    <x v="1"/>
    <s v="Sofas"/>
    <s v="Credit Card"/>
    <d v="2022-06-24T00:00:00"/>
    <s v="Jeffrey Weber"/>
    <x v="4"/>
    <x v="9"/>
    <d v="2022-06-01T00:00:00"/>
    <x v="0"/>
  </r>
  <r>
    <s v="B-25441"/>
    <n v="5470"/>
    <n v="292"/>
    <n v="7"/>
    <x v="2"/>
    <s v="Pens"/>
    <s v="Debit Card"/>
    <d v="2022-06-24T00:00:00"/>
    <s v="Jeffrey Weber"/>
    <x v="4"/>
    <x v="9"/>
    <d v="2022-06-01T00:00:00"/>
    <x v="0"/>
  </r>
  <r>
    <s v="B-25441"/>
    <n v="1496"/>
    <n v="662"/>
    <n v="17"/>
    <x v="1"/>
    <s v="Bookcases"/>
    <s v="UPI"/>
    <d v="2022-06-24T00:00:00"/>
    <s v="Jeffrey Weber"/>
    <x v="4"/>
    <x v="9"/>
    <d v="2022-06-01T00:00:00"/>
    <x v="0"/>
  </r>
  <r>
    <s v="B-25823"/>
    <n v="3228"/>
    <n v="476"/>
    <n v="9"/>
    <x v="2"/>
    <s v="Paper"/>
    <s v="COD"/>
    <d v="2022-09-29T00:00:00"/>
    <s v="Kathleen Cox"/>
    <x v="4"/>
    <x v="16"/>
    <d v="2022-09-01T00:00:00"/>
    <x v="0"/>
  </r>
  <r>
    <s v="B-26279"/>
    <n v="3747"/>
    <n v="410"/>
    <n v="5"/>
    <x v="2"/>
    <s v="Markers"/>
    <s v="Credit Card"/>
    <d v="2022-12-08T00:00:00"/>
    <s v="Kevin Jackson"/>
    <x v="4"/>
    <x v="9"/>
    <d v="2022-12-01T00:00:00"/>
    <x v="0"/>
  </r>
  <r>
    <s v="B-26279"/>
    <n v="3194"/>
    <n v="534"/>
    <n v="4"/>
    <x v="2"/>
    <s v="Binders"/>
    <s v="UPI"/>
    <d v="2022-12-08T00:00:00"/>
    <s v="Kevin Jackson"/>
    <x v="4"/>
    <x v="9"/>
    <d v="2022-12-01T00:00:00"/>
    <x v="0"/>
  </r>
  <r>
    <s v="B-25770"/>
    <n v="8548"/>
    <n v="2305"/>
    <n v="1"/>
    <x v="2"/>
    <s v="Binders"/>
    <s v="COD"/>
    <d v="2022-10-30T00:00:00"/>
    <s v="James Taylor"/>
    <x v="3"/>
    <x v="8"/>
    <d v="2022-10-01T00:00:00"/>
    <x v="0"/>
  </r>
  <r>
    <s v="B-25715"/>
    <n v="6089"/>
    <n v="139"/>
    <n v="19"/>
    <x v="1"/>
    <s v="Tables"/>
    <s v="Debit Card"/>
    <d v="2022-04-15T00:00:00"/>
    <s v="Kenneth Adams"/>
    <x v="2"/>
    <x v="5"/>
    <d v="2022-04-01T00:00:00"/>
    <x v="0"/>
  </r>
  <r>
    <s v="B-25715"/>
    <n v="2586"/>
    <n v="800"/>
    <n v="16"/>
    <x v="1"/>
    <s v="Tables"/>
    <s v="UPI"/>
    <d v="2022-04-15T00:00:00"/>
    <s v="Kenneth Adams"/>
    <x v="2"/>
    <x v="5"/>
    <d v="2022-04-01T00:00:00"/>
    <x v="0"/>
  </r>
  <r>
    <s v="B-25715"/>
    <n v="3757"/>
    <n v="1626"/>
    <n v="9"/>
    <x v="2"/>
    <s v="Paper"/>
    <s v="UPI"/>
    <d v="2022-04-15T00:00:00"/>
    <s v="Kenneth Adams"/>
    <x v="2"/>
    <x v="5"/>
    <d v="2022-04-01T00:00:00"/>
    <x v="0"/>
  </r>
  <r>
    <s v="B-26245"/>
    <n v="4172"/>
    <n v="235"/>
    <n v="5"/>
    <x v="2"/>
    <s v="Paper"/>
    <s v="EMI"/>
    <d v="2022-08-22T00:00:00"/>
    <s v="Vincent Kramer"/>
    <x v="3"/>
    <x v="4"/>
    <d v="2022-08-01T00:00:00"/>
    <x v="0"/>
  </r>
  <r>
    <s v="B-25346"/>
    <n v="6265"/>
    <n v="155"/>
    <n v="8"/>
    <x v="1"/>
    <s v="Sofas"/>
    <s v="COD"/>
    <d v="2022-08-23T00:00:00"/>
    <s v="Reginald Hebert"/>
    <x v="2"/>
    <x v="6"/>
    <d v="2022-08-01T00:00:00"/>
    <x v="0"/>
  </r>
  <r>
    <s v="B-25398"/>
    <n v="9215"/>
    <n v="767"/>
    <n v="13"/>
    <x v="0"/>
    <s v="Printers"/>
    <s v="COD"/>
    <d v="2022-01-10T00:00:00"/>
    <s v="Sandra Perkins"/>
    <x v="3"/>
    <x v="8"/>
    <d v="2022-01-01T00:00:00"/>
    <x v="0"/>
  </r>
  <r>
    <s v="B-25496"/>
    <n v="3095"/>
    <n v="941"/>
    <n v="2"/>
    <x v="2"/>
    <s v="Pens"/>
    <s v="EMI"/>
    <d v="2022-04-19T00:00:00"/>
    <s v="Maria Carroll"/>
    <x v="2"/>
    <x v="5"/>
    <d v="2022-04-01T00:00:00"/>
    <x v="0"/>
  </r>
  <r>
    <s v="B-25496"/>
    <n v="3095"/>
    <n v="941"/>
    <n v="2"/>
    <x v="2"/>
    <s v="Pens"/>
    <s v="EMI"/>
    <d v="2022-08-11T00:00:00"/>
    <s v="Jessica Sloan"/>
    <x v="1"/>
    <x v="1"/>
    <d v="2022-08-01T00:00:00"/>
    <x v="0"/>
  </r>
  <r>
    <s v="B-25662"/>
    <n v="5346"/>
    <n v="1246"/>
    <n v="17"/>
    <x v="1"/>
    <s v="Sofas"/>
    <s v="EMI"/>
    <d v="2022-07-25T00:00:00"/>
    <s v="Eric Mason"/>
    <x v="3"/>
    <x v="4"/>
    <d v="2022-07-01T00:00:00"/>
    <x v="0"/>
  </r>
  <r>
    <s v="B-25662"/>
    <n v="5346"/>
    <n v="1246"/>
    <n v="17"/>
    <x v="1"/>
    <s v="Sofas"/>
    <s v="EMI"/>
    <d v="2022-05-07T00:00:00"/>
    <s v="Lisa Lowe"/>
    <x v="3"/>
    <x v="7"/>
    <d v="2022-05-01T00:00:00"/>
    <x v="0"/>
  </r>
  <r>
    <s v="B-26752"/>
    <n v="8422"/>
    <n v="893"/>
    <n v="18"/>
    <x v="0"/>
    <s v="Printers"/>
    <s v="Debit Card"/>
    <d v="2022-08-11T00:00:00"/>
    <s v="Roy Miller"/>
    <x v="0"/>
    <x v="2"/>
    <d v="2022-08-01T00:00:00"/>
    <x v="0"/>
  </r>
  <r>
    <s v="B-26752"/>
    <n v="8422"/>
    <n v="893"/>
    <n v="18"/>
    <x v="0"/>
    <s v="Printers"/>
    <s v="Debit Card"/>
    <d v="2022-08-12T00:00:00"/>
    <s v="Christopher Espinoza"/>
    <x v="2"/>
    <x v="3"/>
    <d v="2022-08-01T00:00:00"/>
    <x v="0"/>
  </r>
  <r>
    <s v="B-26752"/>
    <n v="6105"/>
    <n v="1447"/>
    <n v="8"/>
    <x v="1"/>
    <s v="Bookcases"/>
    <s v="Credit Card"/>
    <d v="2022-08-11T00:00:00"/>
    <s v="Roy Miller"/>
    <x v="0"/>
    <x v="2"/>
    <d v="2022-08-01T00:00:00"/>
    <x v="0"/>
  </r>
  <r>
    <s v="B-26752"/>
    <n v="6105"/>
    <n v="1447"/>
    <n v="8"/>
    <x v="1"/>
    <s v="Bookcases"/>
    <s v="Credit Card"/>
    <d v="2022-08-12T00:00:00"/>
    <s v="Christopher Espinoza"/>
    <x v="2"/>
    <x v="3"/>
    <d v="2022-08-01T00:00:00"/>
    <x v="0"/>
  </r>
  <r>
    <s v="B-25030"/>
    <n v="4057"/>
    <n v="1012"/>
    <n v="6"/>
    <x v="0"/>
    <s v="Laptops"/>
    <s v="Credit Card"/>
    <d v="2022-09-12T00:00:00"/>
    <s v="Eric Nunez"/>
    <x v="0"/>
    <x v="17"/>
    <d v="2022-09-01T00:00:00"/>
    <x v="0"/>
  </r>
  <r>
    <s v="B-26912"/>
    <n v="8752"/>
    <n v="1686"/>
    <n v="9"/>
    <x v="1"/>
    <s v="Tables"/>
    <s v="Debit Card"/>
    <d v="2022-01-08T00:00:00"/>
    <s v="Michelle Sullivan"/>
    <x v="5"/>
    <x v="14"/>
    <d v="2022-01-01T00:00:00"/>
    <x v="0"/>
  </r>
  <r>
    <s v="B-25836"/>
    <n v="2695"/>
    <n v="914"/>
    <n v="15"/>
    <x v="1"/>
    <s v="Bookcases"/>
    <s v="Debit Card"/>
    <d v="2022-07-28T00:00:00"/>
    <s v="Danielle Mitchell"/>
    <x v="5"/>
    <x v="11"/>
    <d v="2022-07-01T00:00:00"/>
    <x v="0"/>
  </r>
  <r>
    <s v="B-26839"/>
    <n v="6034"/>
    <n v="608"/>
    <n v="8"/>
    <x v="0"/>
    <s v="Phones"/>
    <s v="EMI"/>
    <d v="2022-05-01T00:00:00"/>
    <s v="Sarah Wagner"/>
    <x v="1"/>
    <x v="15"/>
    <d v="2022-05-01T00:00:00"/>
    <x v="0"/>
  </r>
  <r>
    <s v="B-26839"/>
    <n v="8956"/>
    <n v="3359"/>
    <n v="13"/>
    <x v="1"/>
    <s v="Bookcases"/>
    <s v="Credit Card"/>
    <d v="2022-05-01T00:00:00"/>
    <s v="Sarah Wagner"/>
    <x v="1"/>
    <x v="15"/>
    <d v="2022-05-01T00:00:00"/>
    <x v="0"/>
  </r>
  <r>
    <s v="B-26844"/>
    <n v="4163"/>
    <n v="897"/>
    <n v="14"/>
    <x v="0"/>
    <s v="Electronic Games"/>
    <s v="COD"/>
    <d v="2022-08-30T00:00:00"/>
    <s v="Michelle Lynch"/>
    <x v="5"/>
    <x v="10"/>
    <d v="2022-08-01T00:00:00"/>
    <x v="0"/>
  </r>
  <r>
    <s v="B-25236"/>
    <n v="5518"/>
    <n v="867"/>
    <n v="7"/>
    <x v="1"/>
    <s v="Sofas"/>
    <s v="UPI"/>
    <d v="2022-12-22T00:00:00"/>
    <s v="Vanessa Smith"/>
    <x v="1"/>
    <x v="15"/>
    <d v="2022-12-01T00:00:00"/>
    <x v="0"/>
  </r>
  <r>
    <s v="B-25681"/>
    <n v="3854"/>
    <n v="245"/>
    <n v="19"/>
    <x v="0"/>
    <s v="Laptops"/>
    <s v="COD"/>
    <d v="2022-05-17T00:00:00"/>
    <s v="Robert Hill"/>
    <x v="2"/>
    <x v="3"/>
    <d v="2022-05-01T00:00:00"/>
    <x v="0"/>
  </r>
  <r>
    <s v="B-25944"/>
    <n v="5954"/>
    <n v="2640"/>
    <n v="14"/>
    <x v="0"/>
    <s v="Laptops"/>
    <s v="Credit Card"/>
    <d v="2022-10-22T00:00:00"/>
    <s v="Jessica Russell"/>
    <x v="1"/>
    <x v="13"/>
    <d v="2022-10-01T00:00:00"/>
    <x v="0"/>
  </r>
  <r>
    <s v="B-26980"/>
    <n v="9752"/>
    <n v="3618"/>
    <n v="5"/>
    <x v="1"/>
    <s v="Bookcases"/>
    <s v="Debit Card"/>
    <d v="2022-10-31T00:00:00"/>
    <s v="Joseph Knight"/>
    <x v="5"/>
    <x v="11"/>
    <d v="2022-10-01T00:00:00"/>
    <x v="0"/>
  </r>
  <r>
    <s v="B-25780"/>
    <n v="5335"/>
    <n v="322"/>
    <n v="15"/>
    <x v="0"/>
    <s v="Electronic Games"/>
    <s v="COD"/>
    <d v="2022-05-15T00:00:00"/>
    <s v="Jessica Greene"/>
    <x v="4"/>
    <x v="16"/>
    <d v="2022-05-01T00:00:00"/>
    <x v="0"/>
  </r>
  <r>
    <s v="B-25964"/>
    <n v="1454"/>
    <n v="80"/>
    <n v="20"/>
    <x v="0"/>
    <s v="Electronic Games"/>
    <s v="Credit Card"/>
    <d v="2022-07-22T00:00:00"/>
    <s v="Vincent Perez"/>
    <x v="4"/>
    <x v="12"/>
    <d v="2022-07-01T00:00:00"/>
    <x v="0"/>
  </r>
  <r>
    <s v="B-25873"/>
    <n v="2684"/>
    <n v="713"/>
    <n v="2"/>
    <x v="0"/>
    <s v="Electronic Games"/>
    <s v="UPI"/>
    <d v="2022-06-05T00:00:00"/>
    <s v="Brian Wheeler"/>
    <x v="4"/>
    <x v="9"/>
    <d v="2022-06-01T00:00:00"/>
    <x v="0"/>
  </r>
  <r>
    <s v="B-25537"/>
    <n v="6123"/>
    <n v="1686"/>
    <n v="3"/>
    <x v="2"/>
    <s v="Markers"/>
    <s v="Credit Card"/>
    <d v="2022-05-06T00:00:00"/>
    <s v="Roger Morrison"/>
    <x v="2"/>
    <x v="6"/>
    <d v="2022-05-01T00:00:00"/>
    <x v="0"/>
  </r>
  <r>
    <s v="B-26734"/>
    <n v="847"/>
    <n v="355"/>
    <n v="17"/>
    <x v="1"/>
    <s v="Tables"/>
    <s v="COD"/>
    <d v="2022-05-23T00:00:00"/>
    <s v="James Garcia"/>
    <x v="4"/>
    <x v="9"/>
    <d v="2022-05-01T00:00:00"/>
    <x v="0"/>
  </r>
  <r>
    <s v="B-25738"/>
    <n v="9909"/>
    <n v="2999"/>
    <n v="18"/>
    <x v="2"/>
    <s v="Markers"/>
    <s v="COD"/>
    <d v="2022-01-13T00:00:00"/>
    <s v="Teresa Perez"/>
    <x v="1"/>
    <x v="1"/>
    <d v="2022-01-01T00:00:00"/>
    <x v="0"/>
  </r>
  <r>
    <s v="B-25706"/>
    <n v="7259"/>
    <n v="1969"/>
    <n v="10"/>
    <x v="0"/>
    <s v="Laptops"/>
    <s v="Credit Card"/>
    <d v="2022-12-08T00:00:00"/>
    <s v="Kristen Lawson"/>
    <x v="5"/>
    <x v="10"/>
    <d v="2022-12-01T00:00:00"/>
    <x v="0"/>
  </r>
  <r>
    <s v="B-26296"/>
    <n v="7644"/>
    <n v="2428"/>
    <n v="6"/>
    <x v="0"/>
    <s v="Phones"/>
    <s v="Debit Card"/>
    <d v="2022-01-20T00:00:00"/>
    <s v="Aaron Dunn"/>
    <x v="5"/>
    <x v="10"/>
    <d v="2022-01-01T00:00:00"/>
    <x v="0"/>
  </r>
  <r>
    <s v="B-26112"/>
    <n v="1476"/>
    <n v="247"/>
    <n v="5"/>
    <x v="1"/>
    <s v="Bookcases"/>
    <s v="COD"/>
    <d v="2022-01-19T00:00:00"/>
    <s v="Raymond Burgess"/>
    <x v="0"/>
    <x v="17"/>
    <d v="2022-01-01T00:00:00"/>
    <x v="0"/>
  </r>
  <r>
    <s v="B-25630"/>
    <n v="5951"/>
    <n v="936"/>
    <n v="6"/>
    <x v="0"/>
    <s v="Laptops"/>
    <s v="Debit Card"/>
    <d v="2022-07-26T00:00:00"/>
    <s v="Amy Page"/>
    <x v="2"/>
    <x v="3"/>
    <d v="2022-07-01T00:00:00"/>
    <x v="0"/>
  </r>
  <r>
    <s v="B-26603"/>
    <n v="5944"/>
    <n v="2661"/>
    <n v="7"/>
    <x v="0"/>
    <s v="Laptops"/>
    <s v="EMI"/>
    <d v="2022-03-17T00:00:00"/>
    <s v="Harold Mitchell"/>
    <x v="1"/>
    <x v="1"/>
    <d v="2022-03-01T00:00:00"/>
    <x v="0"/>
  </r>
  <r>
    <s v="B-26393"/>
    <n v="2258"/>
    <n v="135"/>
    <n v="18"/>
    <x v="0"/>
    <s v="Printers"/>
    <s v="Credit Card"/>
    <d v="2022-08-19T00:00:00"/>
    <s v="Stephen Hogan"/>
    <x v="0"/>
    <x v="17"/>
    <d v="2022-08-01T00:00:00"/>
    <x v="0"/>
  </r>
  <r>
    <s v="B-25898"/>
    <n v="7091"/>
    <n v="2317"/>
    <n v="10"/>
    <x v="1"/>
    <s v="Sofas"/>
    <s v="Credit Card"/>
    <d v="2022-06-09T00:00:00"/>
    <s v="Monica Lee"/>
    <x v="0"/>
    <x v="17"/>
    <d v="2022-06-01T00:00:00"/>
    <x v="0"/>
  </r>
  <r>
    <s v="B-26257"/>
    <n v="5460"/>
    <n v="2088"/>
    <n v="14"/>
    <x v="1"/>
    <s v="Tables"/>
    <s v="Debit Card"/>
    <d v="2022-07-13T00:00:00"/>
    <s v="Elizabeth Coffey"/>
    <x v="4"/>
    <x v="9"/>
    <d v="2022-07-01T00:00:00"/>
    <x v="0"/>
  </r>
  <r>
    <s v="B-25436"/>
    <n v="8044"/>
    <n v="3634"/>
    <n v="3"/>
    <x v="2"/>
    <s v="Markers"/>
    <s v="COD"/>
    <d v="2022-10-07T00:00:00"/>
    <s v="Anthony West"/>
    <x v="0"/>
    <x v="17"/>
    <d v="2022-10-01T00:00:00"/>
    <x v="0"/>
  </r>
  <r>
    <s v="B-25815"/>
    <n v="8531"/>
    <n v="2555"/>
    <n v="4"/>
    <x v="0"/>
    <s v="Laptops"/>
    <s v="EMI"/>
    <d v="2022-05-14T00:00:00"/>
    <s v="Jasmine Gibbs"/>
    <x v="1"/>
    <x v="1"/>
    <d v="2022-05-01T00:00:00"/>
    <x v="0"/>
  </r>
  <r>
    <s v="B-25234"/>
    <n v="5024"/>
    <n v="379"/>
    <n v="2"/>
    <x v="2"/>
    <s v="Paper"/>
    <s v="UPI"/>
    <d v="2022-12-03T00:00:00"/>
    <s v="Andrew Barry"/>
    <x v="5"/>
    <x v="11"/>
    <d v="2022-12-01T00:00:00"/>
    <x v="0"/>
  </r>
  <r>
    <s v="B-26659"/>
    <n v="526"/>
    <n v="83"/>
    <n v="4"/>
    <x v="1"/>
    <s v="Sofas"/>
    <s v="Credit Card"/>
    <d v="2022-02-18T00:00:00"/>
    <s v="Samuel Little MD"/>
    <x v="5"/>
    <x v="14"/>
    <d v="2022-02-01T00:00:00"/>
    <x v="0"/>
  </r>
  <r>
    <s v="B-26298"/>
    <n v="2082"/>
    <n v="642"/>
    <n v="8"/>
    <x v="0"/>
    <s v="Phones"/>
    <s v="EMI"/>
    <d v="2022-12-15T00:00:00"/>
    <s v="Jenna Holland"/>
    <x v="1"/>
    <x v="1"/>
    <d v="2022-12-01T00:00:00"/>
    <x v="0"/>
  </r>
  <r>
    <s v="B-26776"/>
    <n v="9726"/>
    <n v="1275"/>
    <n v="5"/>
    <x v="0"/>
    <s v="Electronic Games"/>
    <s v="UPI"/>
    <d v="2024-12-27T00:00:00"/>
    <s v="Connor Morgan"/>
    <x v="5"/>
    <x v="14"/>
    <d v="2024-12-01T00:00:00"/>
    <x v="1"/>
  </r>
  <r>
    <s v="B-26776"/>
    <n v="4975"/>
    <n v="1330"/>
    <n v="14"/>
    <x v="0"/>
    <s v="Printers"/>
    <s v="UPI"/>
    <d v="2024-12-27T00:00:00"/>
    <s v="Connor Morgan"/>
    <x v="5"/>
    <x v="14"/>
    <d v="2024-12-01T00:00:00"/>
    <x v="1"/>
  </r>
  <r>
    <s v="B-26942"/>
    <n v="1525"/>
    <n v="185"/>
    <n v="12"/>
    <x v="2"/>
    <s v="Pens"/>
    <s v="Debit Card"/>
    <d v="2024-05-11T00:00:00"/>
    <s v="John Fields"/>
    <x v="3"/>
    <x v="4"/>
    <d v="2024-05-01T00:00:00"/>
    <x v="1"/>
  </r>
  <r>
    <s v="B-25051"/>
    <n v="725"/>
    <n v="133"/>
    <n v="6"/>
    <x v="2"/>
    <s v="Paper"/>
    <s v="Credit Card"/>
    <d v="2024-12-30T00:00:00"/>
    <s v="Lawrence Robinson"/>
    <x v="4"/>
    <x v="12"/>
    <d v="2024-12-01T00:00:00"/>
    <x v="1"/>
  </r>
  <r>
    <s v="B-25051"/>
    <n v="7201"/>
    <n v="2685"/>
    <n v="2"/>
    <x v="1"/>
    <s v="Tables"/>
    <s v="Credit Card"/>
    <d v="2024-12-30T00:00:00"/>
    <s v="Lawrence Robinson"/>
    <x v="4"/>
    <x v="12"/>
    <d v="2024-12-01T00:00:00"/>
    <x v="1"/>
  </r>
  <r>
    <s v="B-26510"/>
    <n v="1629"/>
    <n v="265"/>
    <n v="1"/>
    <x v="2"/>
    <s v="Paper"/>
    <s v="UPI"/>
    <d v="2024-01-23T00:00:00"/>
    <s v="Ricardo Andrews"/>
    <x v="0"/>
    <x v="17"/>
    <d v="2024-01-01T00:00:00"/>
    <x v="1"/>
  </r>
  <r>
    <s v="B-25553"/>
    <n v="9380"/>
    <n v="414"/>
    <n v="11"/>
    <x v="0"/>
    <s v="Phones"/>
    <s v="UPI"/>
    <d v="2024-05-30T00:00:00"/>
    <s v="Karen Johnson"/>
    <x v="4"/>
    <x v="12"/>
    <d v="2024-05-01T00:00:00"/>
    <x v="1"/>
  </r>
  <r>
    <s v="B-25553"/>
    <n v="8558"/>
    <n v="1644"/>
    <n v="18"/>
    <x v="2"/>
    <s v="Binders"/>
    <s v="Credit Card"/>
    <d v="2024-05-30T00:00:00"/>
    <s v="Karen Johnson"/>
    <x v="4"/>
    <x v="12"/>
    <d v="2024-05-01T00:00:00"/>
    <x v="1"/>
  </r>
  <r>
    <s v="B-25553"/>
    <n v="4080"/>
    <n v="72"/>
    <n v="17"/>
    <x v="2"/>
    <s v="Paper"/>
    <s v="COD"/>
    <d v="2024-05-30T00:00:00"/>
    <s v="Karen Johnson"/>
    <x v="4"/>
    <x v="12"/>
    <d v="2024-05-01T00:00:00"/>
    <x v="1"/>
  </r>
  <r>
    <s v="B-25032"/>
    <n v="7784"/>
    <n v="2937"/>
    <n v="12"/>
    <x v="2"/>
    <s v="Markers"/>
    <s v="UPI"/>
    <d v="2024-08-06T00:00:00"/>
    <s v="Denise Hampton"/>
    <x v="0"/>
    <x v="2"/>
    <d v="2024-08-01T00:00:00"/>
    <x v="1"/>
  </r>
  <r>
    <s v="B-25032"/>
    <n v="5591"/>
    <n v="1696"/>
    <n v="3"/>
    <x v="2"/>
    <s v="Pens"/>
    <s v="COD"/>
    <d v="2024-08-06T00:00:00"/>
    <s v="Denise Hampton"/>
    <x v="0"/>
    <x v="2"/>
    <d v="2024-08-01T00:00:00"/>
    <x v="1"/>
  </r>
  <r>
    <s v="B-25032"/>
    <n v="5122"/>
    <n v="2413"/>
    <n v="12"/>
    <x v="0"/>
    <s v="Electronic Games"/>
    <s v="COD"/>
    <d v="2024-08-06T00:00:00"/>
    <s v="Denise Hampton"/>
    <x v="0"/>
    <x v="2"/>
    <d v="2024-08-01T00:00:00"/>
    <x v="1"/>
  </r>
  <r>
    <s v="B-26470"/>
    <n v="3090"/>
    <n v="573"/>
    <n v="6"/>
    <x v="1"/>
    <s v="Tables"/>
    <s v="EMI"/>
    <d v="2024-12-27T00:00:00"/>
    <s v="Morgan Montes"/>
    <x v="0"/>
    <x v="17"/>
    <d v="2024-12-01T00:00:00"/>
    <x v="1"/>
  </r>
  <r>
    <s v="B-26470"/>
    <n v="9683"/>
    <n v="1014"/>
    <n v="5"/>
    <x v="0"/>
    <s v="Printers"/>
    <s v="UPI"/>
    <d v="2024-12-27T00:00:00"/>
    <s v="Morgan Montes"/>
    <x v="0"/>
    <x v="17"/>
    <d v="2024-12-01T00:00:00"/>
    <x v="1"/>
  </r>
  <r>
    <s v="B-26026"/>
    <n v="953"/>
    <n v="93"/>
    <n v="2"/>
    <x v="2"/>
    <s v="Paper"/>
    <s v="Debit Card"/>
    <d v="2024-12-12T00:00:00"/>
    <s v="Kelsey Castaneda"/>
    <x v="2"/>
    <x v="5"/>
    <d v="2024-12-01T00:00:00"/>
    <x v="1"/>
  </r>
  <r>
    <s v="B-26026"/>
    <n v="7355"/>
    <n v="1034"/>
    <n v="3"/>
    <x v="1"/>
    <s v="Sofas"/>
    <s v="COD"/>
    <d v="2024-12-12T00:00:00"/>
    <s v="Kelsey Castaneda"/>
    <x v="2"/>
    <x v="5"/>
    <d v="2024-12-01T00:00:00"/>
    <x v="1"/>
  </r>
  <r>
    <s v="B-26026"/>
    <n v="1843"/>
    <n v="248"/>
    <n v="3"/>
    <x v="0"/>
    <s v="Phones"/>
    <s v="Credit Card"/>
    <d v="2024-12-12T00:00:00"/>
    <s v="Kelsey Castaneda"/>
    <x v="2"/>
    <x v="5"/>
    <d v="2024-12-01T00:00:00"/>
    <x v="1"/>
  </r>
  <r>
    <s v="B-26026"/>
    <n v="1603"/>
    <n v="361"/>
    <n v="10"/>
    <x v="2"/>
    <s v="Pens"/>
    <s v="Debit Card"/>
    <d v="2024-12-12T00:00:00"/>
    <s v="Kelsey Castaneda"/>
    <x v="2"/>
    <x v="5"/>
    <d v="2024-12-01T00:00:00"/>
    <x v="1"/>
  </r>
  <r>
    <s v="B-25295"/>
    <n v="2025"/>
    <n v="528"/>
    <n v="1"/>
    <x v="2"/>
    <s v="Pens"/>
    <s v="Credit Card"/>
    <d v="2024-01-28T00:00:00"/>
    <s v="Paul Rogers"/>
    <x v="3"/>
    <x v="7"/>
    <d v="2024-01-01T00:00:00"/>
    <x v="1"/>
  </r>
  <r>
    <s v="B-25295"/>
    <n v="6800"/>
    <n v="167"/>
    <n v="16"/>
    <x v="2"/>
    <s v="Binders"/>
    <s v="EMI"/>
    <d v="2024-01-28T00:00:00"/>
    <s v="Paul Rogers"/>
    <x v="3"/>
    <x v="7"/>
    <d v="2024-01-01T00:00:00"/>
    <x v="1"/>
  </r>
  <r>
    <s v="B-26076"/>
    <n v="2750"/>
    <n v="1239"/>
    <n v="11"/>
    <x v="0"/>
    <s v="Phones"/>
    <s v="Debit Card"/>
    <d v="2024-09-24T00:00:00"/>
    <s v="Sean Smith"/>
    <x v="2"/>
    <x v="5"/>
    <d v="2024-09-01T00:00:00"/>
    <x v="1"/>
  </r>
  <r>
    <s v="B-26076"/>
    <n v="8639"/>
    <n v="3104"/>
    <n v="19"/>
    <x v="2"/>
    <s v="Pens"/>
    <s v="EMI"/>
    <d v="2024-09-24T00:00:00"/>
    <s v="Sean Smith"/>
    <x v="2"/>
    <x v="5"/>
    <d v="2024-09-01T00:00:00"/>
    <x v="1"/>
  </r>
  <r>
    <s v="B-25690"/>
    <n v="523"/>
    <n v="95"/>
    <n v="20"/>
    <x v="0"/>
    <s v="Printers"/>
    <s v="EMI"/>
    <d v="2024-12-07T00:00:00"/>
    <s v="Mark Blackburn"/>
    <x v="1"/>
    <x v="13"/>
    <d v="2024-12-01T00:00:00"/>
    <x v="1"/>
  </r>
  <r>
    <s v="B-26742"/>
    <n v="4358"/>
    <n v="526"/>
    <n v="19"/>
    <x v="0"/>
    <s v="Phones"/>
    <s v="Credit Card"/>
    <d v="2024-09-17T00:00:00"/>
    <s v="Tony Maddox"/>
    <x v="0"/>
    <x v="2"/>
    <d v="2024-09-01T00:00:00"/>
    <x v="1"/>
  </r>
  <r>
    <s v="B-26742"/>
    <n v="6459"/>
    <n v="825"/>
    <n v="8"/>
    <x v="0"/>
    <s v="Phones"/>
    <s v="Credit Card"/>
    <d v="2024-09-17T00:00:00"/>
    <s v="Tony Maddox"/>
    <x v="0"/>
    <x v="2"/>
    <d v="2024-09-01T00:00:00"/>
    <x v="1"/>
  </r>
  <r>
    <s v="B-25884"/>
    <n v="9538"/>
    <n v="3158"/>
    <n v="20"/>
    <x v="0"/>
    <s v="Printers"/>
    <s v="Credit Card"/>
    <d v="2024-09-04T00:00:00"/>
    <s v="Sean Elliott"/>
    <x v="0"/>
    <x v="2"/>
    <d v="2024-09-01T00:00:00"/>
    <x v="1"/>
  </r>
  <r>
    <s v="B-25884"/>
    <n v="9035"/>
    <n v="1227"/>
    <n v="14"/>
    <x v="1"/>
    <s v="Chairs"/>
    <s v="EMI"/>
    <d v="2024-09-04T00:00:00"/>
    <s v="Sean Elliott"/>
    <x v="0"/>
    <x v="2"/>
    <d v="2024-09-01T00:00:00"/>
    <x v="1"/>
  </r>
  <r>
    <s v="B-26287"/>
    <n v="2684"/>
    <n v="670"/>
    <n v="2"/>
    <x v="2"/>
    <s v="Paper"/>
    <s v="COD"/>
    <d v="2024-07-02T00:00:00"/>
    <s v="Renee Solomon"/>
    <x v="3"/>
    <x v="8"/>
    <d v="2024-07-01T00:00:00"/>
    <x v="1"/>
  </r>
  <r>
    <s v="B-26287"/>
    <n v="822"/>
    <n v="147"/>
    <n v="5"/>
    <x v="1"/>
    <s v="Sofas"/>
    <s v="Credit Card"/>
    <d v="2024-07-02T00:00:00"/>
    <s v="Renee Solomon"/>
    <x v="3"/>
    <x v="8"/>
    <d v="2024-07-01T00:00:00"/>
    <x v="1"/>
  </r>
  <r>
    <s v="B-26287"/>
    <n v="9730"/>
    <n v="2341"/>
    <n v="2"/>
    <x v="1"/>
    <s v="Chairs"/>
    <s v="EMI"/>
    <d v="2024-07-02T00:00:00"/>
    <s v="Renee Solomon"/>
    <x v="3"/>
    <x v="8"/>
    <d v="2024-07-01T00:00:00"/>
    <x v="1"/>
  </r>
  <r>
    <s v="B-26287"/>
    <n v="2483"/>
    <n v="236"/>
    <n v="2"/>
    <x v="0"/>
    <s v="Electronic Games"/>
    <s v="COD"/>
    <d v="2024-07-02T00:00:00"/>
    <s v="Renee Solomon"/>
    <x v="3"/>
    <x v="8"/>
    <d v="2024-07-01T00:00:00"/>
    <x v="1"/>
  </r>
  <r>
    <s v="B-26564"/>
    <n v="1297"/>
    <n v="600"/>
    <n v="7"/>
    <x v="2"/>
    <s v="Binders"/>
    <s v="Credit Card"/>
    <d v="2024-02-16T00:00:00"/>
    <s v="Daryl Miles"/>
    <x v="3"/>
    <x v="4"/>
    <d v="2024-02-01T00:00:00"/>
    <x v="1"/>
  </r>
  <r>
    <s v="B-26564"/>
    <n v="7909"/>
    <n v="1942"/>
    <n v="19"/>
    <x v="0"/>
    <s v="Phones"/>
    <s v="COD"/>
    <d v="2024-02-16T00:00:00"/>
    <s v="Daryl Miles"/>
    <x v="3"/>
    <x v="4"/>
    <d v="2024-02-01T00:00:00"/>
    <x v="1"/>
  </r>
  <r>
    <s v="B-25915"/>
    <n v="3433"/>
    <n v="1169"/>
    <n v="10"/>
    <x v="2"/>
    <s v="Binders"/>
    <s v="COD"/>
    <d v="2024-02-01T00:00:00"/>
    <s v="Adam Clark"/>
    <x v="0"/>
    <x v="2"/>
    <d v="2024-02-01T00:00:00"/>
    <x v="1"/>
  </r>
  <r>
    <s v="B-25915"/>
    <n v="3887"/>
    <n v="1490"/>
    <n v="1"/>
    <x v="2"/>
    <s v="Binders"/>
    <s v="Debit Card"/>
    <d v="2024-02-01T00:00:00"/>
    <s v="Adam Clark"/>
    <x v="0"/>
    <x v="2"/>
    <d v="2024-02-01T00:00:00"/>
    <x v="1"/>
  </r>
  <r>
    <s v="B-26496"/>
    <n v="1801"/>
    <n v="641"/>
    <n v="20"/>
    <x v="2"/>
    <s v="Markers"/>
    <s v="Credit Card"/>
    <d v="2024-07-09T00:00:00"/>
    <s v="Daniel Mosley"/>
    <x v="0"/>
    <x v="0"/>
    <d v="2024-07-01T00:00:00"/>
    <x v="1"/>
  </r>
  <r>
    <s v="B-26496"/>
    <n v="5301"/>
    <n v="817"/>
    <n v="10"/>
    <x v="1"/>
    <s v="Tables"/>
    <s v="Debit Card"/>
    <d v="2024-07-09T00:00:00"/>
    <s v="Daniel Mosley"/>
    <x v="0"/>
    <x v="0"/>
    <d v="2024-07-01T00:00:00"/>
    <x v="1"/>
  </r>
  <r>
    <s v="B-26496"/>
    <n v="1166"/>
    <n v="520"/>
    <n v="12"/>
    <x v="2"/>
    <s v="Paper"/>
    <s v="Debit Card"/>
    <d v="2024-07-09T00:00:00"/>
    <s v="Daniel Mosley"/>
    <x v="0"/>
    <x v="0"/>
    <d v="2024-07-01T00:00:00"/>
    <x v="1"/>
  </r>
  <r>
    <s v="B-26496"/>
    <n v="3196"/>
    <n v="1411"/>
    <n v="15"/>
    <x v="2"/>
    <s v="Paper"/>
    <s v="Debit Card"/>
    <d v="2024-07-09T00:00:00"/>
    <s v="Daniel Mosley"/>
    <x v="0"/>
    <x v="0"/>
    <d v="2024-07-01T00:00:00"/>
    <x v="1"/>
  </r>
  <r>
    <s v="B-25916"/>
    <n v="6009"/>
    <n v="2107"/>
    <n v="7"/>
    <x v="0"/>
    <s v="Phones"/>
    <s v="UPI"/>
    <d v="2024-04-29T00:00:00"/>
    <s v="Claudia Curry"/>
    <x v="1"/>
    <x v="1"/>
    <d v="2024-04-01T00:00:00"/>
    <x v="1"/>
  </r>
  <r>
    <s v="B-25916"/>
    <n v="2858"/>
    <n v="230"/>
    <n v="3"/>
    <x v="1"/>
    <s v="Tables"/>
    <s v="Credit Card"/>
    <d v="2024-04-29T00:00:00"/>
    <s v="Claudia Curry"/>
    <x v="1"/>
    <x v="1"/>
    <d v="2024-04-01T00:00:00"/>
    <x v="1"/>
  </r>
  <r>
    <s v="B-25916"/>
    <n v="8175"/>
    <n v="525"/>
    <n v="7"/>
    <x v="1"/>
    <s v="Sofas"/>
    <s v="Credit Card"/>
    <d v="2024-04-29T00:00:00"/>
    <s v="Claudia Curry"/>
    <x v="1"/>
    <x v="1"/>
    <d v="2024-04-01T00:00:00"/>
    <x v="1"/>
  </r>
  <r>
    <s v="B-25916"/>
    <n v="5846"/>
    <n v="586"/>
    <n v="18"/>
    <x v="1"/>
    <s v="Sofas"/>
    <s v="UPI"/>
    <d v="2024-04-29T00:00:00"/>
    <s v="Claudia Curry"/>
    <x v="1"/>
    <x v="1"/>
    <d v="2024-04-01T00:00:00"/>
    <x v="1"/>
  </r>
  <r>
    <s v="B-25983"/>
    <n v="6517"/>
    <n v="1581"/>
    <n v="10"/>
    <x v="2"/>
    <s v="Paper"/>
    <s v="Debit Card"/>
    <d v="2024-05-19T00:00:00"/>
    <s v="Jeffrey Kline"/>
    <x v="3"/>
    <x v="7"/>
    <d v="2024-05-01T00:00:00"/>
    <x v="1"/>
  </r>
  <r>
    <s v="B-25983"/>
    <n v="1166"/>
    <n v="349"/>
    <n v="11"/>
    <x v="1"/>
    <s v="Tables"/>
    <s v="Credit Card"/>
    <d v="2024-05-19T00:00:00"/>
    <s v="Jeffrey Kline"/>
    <x v="3"/>
    <x v="7"/>
    <d v="2024-05-01T00:00:00"/>
    <x v="1"/>
  </r>
  <r>
    <s v="B-26759"/>
    <n v="8563"/>
    <n v="2624"/>
    <n v="8"/>
    <x v="2"/>
    <s v="Binders"/>
    <s v="COD"/>
    <d v="2024-11-10T00:00:00"/>
    <s v="Rebecca Smith"/>
    <x v="1"/>
    <x v="13"/>
    <d v="2024-11-01T00:00:00"/>
    <x v="1"/>
  </r>
  <r>
    <s v="B-26759"/>
    <n v="4441"/>
    <n v="281"/>
    <n v="20"/>
    <x v="0"/>
    <s v="Printers"/>
    <s v="COD"/>
    <d v="2024-11-10T00:00:00"/>
    <s v="Rebecca Smith"/>
    <x v="1"/>
    <x v="13"/>
    <d v="2024-11-01T00:00:00"/>
    <x v="1"/>
  </r>
  <r>
    <s v="B-26365"/>
    <n v="1895"/>
    <n v="391"/>
    <n v="14"/>
    <x v="1"/>
    <s v="Tables"/>
    <s v="UPI"/>
    <d v="2024-07-05T00:00:00"/>
    <s v="Mr. Curtis Bailey"/>
    <x v="3"/>
    <x v="8"/>
    <d v="2024-07-01T00:00:00"/>
    <x v="1"/>
  </r>
  <r>
    <s v="B-26365"/>
    <n v="5323"/>
    <n v="322"/>
    <n v="13"/>
    <x v="2"/>
    <s v="Binders"/>
    <s v="COD"/>
    <d v="2024-07-05T00:00:00"/>
    <s v="Mr. Curtis Bailey"/>
    <x v="3"/>
    <x v="8"/>
    <d v="2024-07-01T00:00:00"/>
    <x v="1"/>
  </r>
  <r>
    <s v="B-26212"/>
    <n v="8850"/>
    <n v="279"/>
    <n v="13"/>
    <x v="2"/>
    <s v="Markers"/>
    <s v="Debit Card"/>
    <d v="2024-06-25T00:00:00"/>
    <s v="Janet Carlson"/>
    <x v="3"/>
    <x v="7"/>
    <d v="2024-06-01T00:00:00"/>
    <x v="1"/>
  </r>
  <r>
    <s v="B-26212"/>
    <n v="8667"/>
    <n v="1266"/>
    <n v="6"/>
    <x v="2"/>
    <s v="Paper"/>
    <s v="Debit Card"/>
    <d v="2024-06-25T00:00:00"/>
    <s v="Janet Carlson"/>
    <x v="3"/>
    <x v="7"/>
    <d v="2024-06-01T00:00:00"/>
    <x v="1"/>
  </r>
  <r>
    <s v="B-25042"/>
    <n v="6903"/>
    <n v="105"/>
    <n v="1"/>
    <x v="1"/>
    <s v="Tables"/>
    <s v="COD"/>
    <d v="2024-05-31T00:00:00"/>
    <s v="Spencer Spears"/>
    <x v="5"/>
    <x v="14"/>
    <d v="2024-05-01T00:00:00"/>
    <x v="1"/>
  </r>
  <r>
    <s v="B-25042"/>
    <n v="8793"/>
    <n v="3010"/>
    <n v="7"/>
    <x v="2"/>
    <s v="Pens"/>
    <s v="COD"/>
    <d v="2024-05-31T00:00:00"/>
    <s v="Spencer Spears"/>
    <x v="5"/>
    <x v="14"/>
    <d v="2024-05-01T00:00:00"/>
    <x v="1"/>
  </r>
  <r>
    <s v="B-25157"/>
    <n v="6471"/>
    <n v="2842"/>
    <n v="18"/>
    <x v="0"/>
    <s v="Electronic Games"/>
    <s v="UPI"/>
    <d v="2024-07-18T00:00:00"/>
    <s v="Lisa Graham"/>
    <x v="5"/>
    <x v="11"/>
    <d v="2024-07-01T00:00:00"/>
    <x v="1"/>
  </r>
  <r>
    <s v="B-25342"/>
    <n v="949"/>
    <n v="301"/>
    <n v="9"/>
    <x v="2"/>
    <s v="Binders"/>
    <s v="UPI"/>
    <d v="2024-12-06T00:00:00"/>
    <s v="Nancy Jones"/>
    <x v="2"/>
    <x v="5"/>
    <d v="2024-12-01T00:00:00"/>
    <x v="1"/>
  </r>
  <r>
    <s v="B-25342"/>
    <n v="6823"/>
    <n v="771"/>
    <n v="6"/>
    <x v="2"/>
    <s v="Binders"/>
    <s v="EMI"/>
    <d v="2024-12-06T00:00:00"/>
    <s v="Nancy Jones"/>
    <x v="2"/>
    <x v="5"/>
    <d v="2024-12-01T00:00:00"/>
    <x v="1"/>
  </r>
  <r>
    <s v="B-25342"/>
    <n v="4364"/>
    <n v="831"/>
    <n v="2"/>
    <x v="1"/>
    <s v="Tables"/>
    <s v="EMI"/>
    <d v="2024-12-06T00:00:00"/>
    <s v="Nancy Jones"/>
    <x v="2"/>
    <x v="5"/>
    <d v="2024-12-01T00:00:00"/>
    <x v="1"/>
  </r>
  <r>
    <s v="B-26797"/>
    <n v="2759"/>
    <n v="1149"/>
    <n v="6"/>
    <x v="1"/>
    <s v="Tables"/>
    <s v="Credit Card"/>
    <d v="2024-12-27T00:00:00"/>
    <s v="Caitlin Thomas"/>
    <x v="4"/>
    <x v="16"/>
    <d v="2024-12-01T00:00:00"/>
    <x v="1"/>
  </r>
  <r>
    <s v="B-25714"/>
    <n v="6962"/>
    <n v="3429"/>
    <n v="12"/>
    <x v="0"/>
    <s v="Electronic Games"/>
    <s v="UPI"/>
    <d v="2024-03-24T00:00:00"/>
    <s v="Charles Lane"/>
    <x v="1"/>
    <x v="13"/>
    <d v="2024-03-01T00:00:00"/>
    <x v="1"/>
  </r>
  <r>
    <s v="B-26607"/>
    <n v="1085"/>
    <n v="301"/>
    <n v="20"/>
    <x v="1"/>
    <s v="Bookcases"/>
    <s v="UPI"/>
    <d v="2024-07-13T00:00:00"/>
    <s v="Maria Miller"/>
    <x v="4"/>
    <x v="9"/>
    <d v="2024-07-01T00:00:00"/>
    <x v="1"/>
  </r>
  <r>
    <s v="B-25038"/>
    <n v="738"/>
    <n v="342"/>
    <n v="2"/>
    <x v="1"/>
    <s v="Chairs"/>
    <s v="Debit Card"/>
    <d v="2024-05-14T00:00:00"/>
    <s v="Jeff Duncan"/>
    <x v="2"/>
    <x v="6"/>
    <d v="2024-05-01T00:00:00"/>
    <x v="1"/>
  </r>
  <r>
    <s v="B-26322"/>
    <n v="5934"/>
    <n v="1563"/>
    <n v="2"/>
    <x v="2"/>
    <s v="Markers"/>
    <s v="EMI"/>
    <d v="2024-09-06T00:00:00"/>
    <s v="David Brown"/>
    <x v="5"/>
    <x v="11"/>
    <d v="2024-09-01T00:00:00"/>
    <x v="1"/>
  </r>
  <r>
    <s v="B-26466"/>
    <n v="3479"/>
    <n v="1087"/>
    <n v="2"/>
    <x v="2"/>
    <s v="Markers"/>
    <s v="EMI"/>
    <d v="2024-10-17T00:00:00"/>
    <s v="Karina Barr"/>
    <x v="1"/>
    <x v="13"/>
    <d v="2024-10-01T00:00:00"/>
    <x v="1"/>
  </r>
  <r>
    <s v="B-26466"/>
    <n v="5457"/>
    <n v="1765"/>
    <n v="7"/>
    <x v="0"/>
    <s v="Printers"/>
    <s v="EMI"/>
    <d v="2024-10-17T00:00:00"/>
    <s v="Karina Barr"/>
    <x v="1"/>
    <x v="13"/>
    <d v="2024-10-01T00:00:00"/>
    <x v="1"/>
  </r>
  <r>
    <s v="B-26209"/>
    <n v="4404"/>
    <n v="858"/>
    <n v="17"/>
    <x v="2"/>
    <s v="Pens"/>
    <s v="Debit Card"/>
    <d v="2024-03-17T00:00:00"/>
    <s v="Bianca Brown"/>
    <x v="2"/>
    <x v="3"/>
    <d v="2024-03-01T00:00:00"/>
    <x v="1"/>
  </r>
  <r>
    <s v="B-26209"/>
    <n v="8776"/>
    <n v="2529"/>
    <n v="15"/>
    <x v="1"/>
    <s v="Sofas"/>
    <s v="Credit Card"/>
    <d v="2024-03-17T00:00:00"/>
    <s v="Bianca Brown"/>
    <x v="2"/>
    <x v="3"/>
    <d v="2024-03-01T00:00:00"/>
    <x v="1"/>
  </r>
  <r>
    <s v="B-26601"/>
    <n v="9574"/>
    <n v="4045"/>
    <n v="19"/>
    <x v="1"/>
    <s v="Bookcases"/>
    <s v="UPI"/>
    <d v="2024-03-13T00:00:00"/>
    <s v="Melinda Montoya"/>
    <x v="0"/>
    <x v="2"/>
    <d v="2024-03-01T00:00:00"/>
    <x v="1"/>
  </r>
  <r>
    <s v="B-26601"/>
    <n v="4382"/>
    <n v="482"/>
    <n v="17"/>
    <x v="0"/>
    <s v="Electronic Games"/>
    <s v="COD"/>
    <d v="2024-03-13T00:00:00"/>
    <s v="Melinda Montoya"/>
    <x v="0"/>
    <x v="2"/>
    <d v="2024-03-01T00:00:00"/>
    <x v="1"/>
  </r>
  <r>
    <s v="B-26969"/>
    <n v="3348"/>
    <n v="568"/>
    <n v="5"/>
    <x v="2"/>
    <s v="Markers"/>
    <s v="Credit Card"/>
    <d v="2024-03-02T00:00:00"/>
    <s v="Connie Richards"/>
    <x v="2"/>
    <x v="5"/>
    <d v="2024-03-01T00:00:00"/>
    <x v="1"/>
  </r>
  <r>
    <s v="B-26969"/>
    <n v="8856"/>
    <n v="2020"/>
    <n v="9"/>
    <x v="2"/>
    <s v="Pens"/>
    <s v="Debit Card"/>
    <d v="2024-03-02T00:00:00"/>
    <s v="Connie Richards"/>
    <x v="2"/>
    <x v="5"/>
    <d v="2024-03-01T00:00:00"/>
    <x v="1"/>
  </r>
  <r>
    <s v="B-26508"/>
    <n v="9204"/>
    <n v="3289"/>
    <n v="16"/>
    <x v="0"/>
    <s v="Laptops"/>
    <s v="Credit Card"/>
    <d v="2024-02-25T00:00:00"/>
    <s v="Christopher Kirk"/>
    <x v="3"/>
    <x v="7"/>
    <d v="2024-02-01T00:00:00"/>
    <x v="1"/>
  </r>
  <r>
    <s v="B-26508"/>
    <n v="9894"/>
    <n v="3698"/>
    <n v="20"/>
    <x v="2"/>
    <s v="Paper"/>
    <s v="EMI"/>
    <d v="2024-02-25T00:00:00"/>
    <s v="Christopher Kirk"/>
    <x v="3"/>
    <x v="7"/>
    <d v="2024-02-01T00:00:00"/>
    <x v="1"/>
  </r>
  <r>
    <s v="B-25645"/>
    <n v="8383"/>
    <n v="937"/>
    <n v="4"/>
    <x v="1"/>
    <s v="Sofas"/>
    <s v="UPI"/>
    <d v="2024-05-05T00:00:00"/>
    <s v="Brett Mullins"/>
    <x v="3"/>
    <x v="4"/>
    <d v="2024-05-01T00:00:00"/>
    <x v="1"/>
  </r>
  <r>
    <s v="B-26425"/>
    <n v="6891"/>
    <n v="2529"/>
    <n v="3"/>
    <x v="2"/>
    <s v="Binders"/>
    <s v="Debit Card"/>
    <d v="2024-05-01T00:00:00"/>
    <s v="William Cook"/>
    <x v="2"/>
    <x v="5"/>
    <d v="2024-05-01T00:00:00"/>
    <x v="1"/>
  </r>
  <r>
    <s v="B-25486"/>
    <n v="4215"/>
    <n v="432"/>
    <n v="14"/>
    <x v="1"/>
    <s v="Chairs"/>
    <s v="Debit Card"/>
    <d v="2024-02-02T00:00:00"/>
    <s v="Melissa Wise"/>
    <x v="2"/>
    <x v="3"/>
    <d v="2024-02-01T00:00:00"/>
    <x v="1"/>
  </r>
  <r>
    <s v="B-26975"/>
    <n v="622"/>
    <n v="218"/>
    <n v="19"/>
    <x v="1"/>
    <s v="Bookcases"/>
    <s v="Credit Card"/>
    <d v="2024-06-23T00:00:00"/>
    <s v="Elizabeth Gonzalez"/>
    <x v="0"/>
    <x v="17"/>
    <d v="2024-06-01T00:00:00"/>
    <x v="1"/>
  </r>
  <r>
    <s v="B-26975"/>
    <n v="1755"/>
    <n v="495"/>
    <n v="18"/>
    <x v="2"/>
    <s v="Pens"/>
    <s v="UPI"/>
    <d v="2024-06-23T00:00:00"/>
    <s v="Elizabeth Gonzalez"/>
    <x v="0"/>
    <x v="17"/>
    <d v="2024-06-01T00:00:00"/>
    <x v="1"/>
  </r>
  <r>
    <s v="B-26975"/>
    <n v="8020"/>
    <n v="3898"/>
    <n v="20"/>
    <x v="0"/>
    <s v="Electronic Games"/>
    <s v="EMI"/>
    <d v="2024-06-23T00:00:00"/>
    <s v="Elizabeth Gonzalez"/>
    <x v="0"/>
    <x v="17"/>
    <d v="2024-06-01T00:00:00"/>
    <x v="1"/>
  </r>
  <r>
    <s v="B-26890"/>
    <n v="7333"/>
    <n v="1576"/>
    <n v="4"/>
    <x v="0"/>
    <s v="Laptops"/>
    <s v="Credit Card"/>
    <d v="2024-06-07T00:00:00"/>
    <s v="Mr. Eric Lopez"/>
    <x v="4"/>
    <x v="9"/>
    <d v="2024-06-01T00:00:00"/>
    <x v="1"/>
  </r>
  <r>
    <s v="B-25243"/>
    <n v="6113"/>
    <n v="2508"/>
    <n v="6"/>
    <x v="0"/>
    <s v="Laptops"/>
    <s v="UPI"/>
    <d v="2024-06-16T00:00:00"/>
    <s v="Cory Evans"/>
    <x v="3"/>
    <x v="4"/>
    <d v="2024-06-01T00:00:00"/>
    <x v="1"/>
  </r>
  <r>
    <s v="B-25243"/>
    <n v="7733"/>
    <n v="2784"/>
    <n v="15"/>
    <x v="1"/>
    <s v="Tables"/>
    <s v="EMI"/>
    <d v="2024-06-16T00:00:00"/>
    <s v="Cory Evans"/>
    <x v="3"/>
    <x v="4"/>
    <d v="2024-06-01T00:00:00"/>
    <x v="1"/>
  </r>
  <r>
    <s v="B-25243"/>
    <n v="8524"/>
    <n v="154"/>
    <n v="14"/>
    <x v="1"/>
    <s v="Tables"/>
    <s v="COD"/>
    <d v="2024-06-16T00:00:00"/>
    <s v="Cory Evans"/>
    <x v="3"/>
    <x v="4"/>
    <d v="2024-06-01T00:00:00"/>
    <x v="1"/>
  </r>
  <r>
    <s v="B-25243"/>
    <n v="6187"/>
    <n v="2344"/>
    <n v="15"/>
    <x v="1"/>
    <s v="Bookcases"/>
    <s v="EMI"/>
    <d v="2024-06-16T00:00:00"/>
    <s v="Cory Evans"/>
    <x v="3"/>
    <x v="4"/>
    <d v="2024-06-01T00:00:00"/>
    <x v="1"/>
  </r>
  <r>
    <s v="B-25044"/>
    <n v="2493"/>
    <n v="1221"/>
    <n v="9"/>
    <x v="2"/>
    <s v="Paper"/>
    <s v="Credit Card"/>
    <d v="2024-04-16T00:00:00"/>
    <s v="April Welch"/>
    <x v="5"/>
    <x v="10"/>
    <d v="2024-04-01T00:00:00"/>
    <x v="1"/>
  </r>
  <r>
    <s v="B-25044"/>
    <n v="9849"/>
    <n v="963"/>
    <n v="1"/>
    <x v="2"/>
    <s v="Pens"/>
    <s v="Credit Card"/>
    <d v="2024-04-16T00:00:00"/>
    <s v="April Welch"/>
    <x v="5"/>
    <x v="10"/>
    <d v="2024-04-01T00:00:00"/>
    <x v="1"/>
  </r>
  <r>
    <s v="B-26137"/>
    <n v="3423"/>
    <n v="804"/>
    <n v="4"/>
    <x v="0"/>
    <s v="Printers"/>
    <s v="Credit Card"/>
    <d v="2024-01-24T00:00:00"/>
    <s v="Amy Williams"/>
    <x v="1"/>
    <x v="1"/>
    <d v="2024-01-01T00:00:00"/>
    <x v="1"/>
  </r>
  <r>
    <s v="B-26144"/>
    <n v="3461"/>
    <n v="1537"/>
    <n v="15"/>
    <x v="1"/>
    <s v="Sofas"/>
    <s v="EMI"/>
    <d v="2024-08-23T00:00:00"/>
    <s v="Andrew Griffin"/>
    <x v="5"/>
    <x v="14"/>
    <d v="2024-08-01T00:00:00"/>
    <x v="1"/>
  </r>
  <r>
    <s v="B-26144"/>
    <n v="5714"/>
    <n v="1438"/>
    <n v="6"/>
    <x v="0"/>
    <s v="Electronic Games"/>
    <s v="Credit Card"/>
    <d v="2024-08-23T00:00:00"/>
    <s v="Andrew Griffin"/>
    <x v="5"/>
    <x v="14"/>
    <d v="2024-08-01T00:00:00"/>
    <x v="1"/>
  </r>
  <r>
    <s v="B-26144"/>
    <n v="3853"/>
    <n v="1457"/>
    <n v="10"/>
    <x v="2"/>
    <s v="Binders"/>
    <s v="COD"/>
    <d v="2024-08-23T00:00:00"/>
    <s v="Andrew Griffin"/>
    <x v="5"/>
    <x v="14"/>
    <d v="2024-08-01T00:00:00"/>
    <x v="1"/>
  </r>
  <r>
    <s v="B-25658"/>
    <n v="1290"/>
    <n v="204"/>
    <n v="12"/>
    <x v="2"/>
    <s v="Markers"/>
    <s v="UPI"/>
    <d v="2024-06-15T00:00:00"/>
    <s v="Alison Martin"/>
    <x v="4"/>
    <x v="9"/>
    <d v="2024-06-01T00:00:00"/>
    <x v="1"/>
  </r>
  <r>
    <s v="B-25658"/>
    <n v="1290"/>
    <n v="204"/>
    <n v="12"/>
    <x v="2"/>
    <s v="Markers"/>
    <s v="UPI"/>
    <d v="2024-12-19T00:00:00"/>
    <s v="Samuel Wallace"/>
    <x v="0"/>
    <x v="2"/>
    <d v="2024-12-01T00:00:00"/>
    <x v="1"/>
  </r>
  <r>
    <s v="B-26964"/>
    <n v="3522"/>
    <n v="898"/>
    <n v="15"/>
    <x v="2"/>
    <s v="Pens"/>
    <s v="Credit Card"/>
    <d v="2024-08-29T00:00:00"/>
    <s v="Brandon Kirk"/>
    <x v="2"/>
    <x v="5"/>
    <d v="2024-08-01T00:00:00"/>
    <x v="1"/>
  </r>
  <r>
    <s v="B-26955"/>
    <n v="7301"/>
    <n v="3602"/>
    <n v="3"/>
    <x v="2"/>
    <s v="Binders"/>
    <s v="Debit Card"/>
    <d v="2024-04-07T00:00:00"/>
    <s v="Kristine Carter"/>
    <x v="1"/>
    <x v="15"/>
    <d v="2024-04-01T00:00:00"/>
    <x v="1"/>
  </r>
  <r>
    <s v="B-25364"/>
    <n v="8649"/>
    <n v="2631"/>
    <n v="13"/>
    <x v="0"/>
    <s v="Laptops"/>
    <s v="EMI"/>
    <d v="2024-01-10T00:00:00"/>
    <s v="Alisha Saunders"/>
    <x v="0"/>
    <x v="2"/>
    <d v="2024-01-01T00:00:00"/>
    <x v="1"/>
  </r>
  <r>
    <s v="B-26065"/>
    <n v="7930"/>
    <n v="1981"/>
    <n v="13"/>
    <x v="1"/>
    <s v="Chairs"/>
    <s v="Credit Card"/>
    <d v="2024-08-09T00:00:00"/>
    <s v="Rebecca Owen"/>
    <x v="5"/>
    <x v="10"/>
    <d v="2024-08-01T00:00:00"/>
    <x v="1"/>
  </r>
  <r>
    <s v="B-25325"/>
    <n v="3944"/>
    <n v="1559"/>
    <n v="18"/>
    <x v="0"/>
    <s v="Phones"/>
    <s v="Credit Card"/>
    <d v="2024-06-12T00:00:00"/>
    <s v="Jean Jackson"/>
    <x v="0"/>
    <x v="2"/>
    <d v="2024-06-01T00:00:00"/>
    <x v="1"/>
  </r>
  <r>
    <s v="B-25325"/>
    <n v="6711"/>
    <n v="1045"/>
    <n v="12"/>
    <x v="2"/>
    <s v="Pens"/>
    <s v="Credit Card"/>
    <d v="2024-06-12T00:00:00"/>
    <s v="Jean Jackson"/>
    <x v="0"/>
    <x v="2"/>
    <d v="2024-06-01T00:00:00"/>
    <x v="1"/>
  </r>
  <r>
    <s v="B-25325"/>
    <n v="5031"/>
    <n v="714"/>
    <n v="4"/>
    <x v="1"/>
    <s v="Tables"/>
    <s v="Credit Card"/>
    <d v="2024-06-12T00:00:00"/>
    <s v="Jean Jackson"/>
    <x v="0"/>
    <x v="2"/>
    <d v="2024-06-01T00:00:00"/>
    <x v="1"/>
  </r>
  <r>
    <s v="B-25325"/>
    <n v="6295"/>
    <n v="2469"/>
    <n v="14"/>
    <x v="2"/>
    <s v="Binders"/>
    <s v="EMI"/>
    <d v="2024-06-12T00:00:00"/>
    <s v="Jean Jackson"/>
    <x v="0"/>
    <x v="2"/>
    <d v="2024-06-01T00:00:00"/>
    <x v="1"/>
  </r>
  <r>
    <s v="B-25842"/>
    <n v="1248"/>
    <n v="584"/>
    <n v="13"/>
    <x v="2"/>
    <s v="Pens"/>
    <s v="EMI"/>
    <d v="2024-01-22T00:00:00"/>
    <s v="Christina Conner"/>
    <x v="2"/>
    <x v="3"/>
    <d v="2024-01-01T00:00:00"/>
    <x v="1"/>
  </r>
  <r>
    <s v="B-25842"/>
    <n v="3669"/>
    <n v="154"/>
    <n v="14"/>
    <x v="2"/>
    <s v="Markers"/>
    <s v="EMI"/>
    <d v="2024-01-22T00:00:00"/>
    <s v="Christina Conner"/>
    <x v="2"/>
    <x v="3"/>
    <d v="2024-01-01T00:00:00"/>
    <x v="1"/>
  </r>
  <r>
    <s v="B-25842"/>
    <n v="514"/>
    <n v="109"/>
    <n v="15"/>
    <x v="2"/>
    <s v="Paper"/>
    <s v="Debit Card"/>
    <d v="2024-01-22T00:00:00"/>
    <s v="Christina Conner"/>
    <x v="2"/>
    <x v="3"/>
    <d v="2024-01-01T00:00:00"/>
    <x v="1"/>
  </r>
  <r>
    <s v="B-25851"/>
    <n v="3273"/>
    <n v="85"/>
    <n v="16"/>
    <x v="0"/>
    <s v="Phones"/>
    <s v="UPI"/>
    <d v="2024-03-30T00:00:00"/>
    <s v="Julie Chavez"/>
    <x v="2"/>
    <x v="6"/>
    <d v="2024-03-01T00:00:00"/>
    <x v="1"/>
  </r>
  <r>
    <s v="B-26119"/>
    <n v="3956"/>
    <n v="142"/>
    <n v="12"/>
    <x v="2"/>
    <s v="Pens"/>
    <s v="Debit Card"/>
    <d v="2024-12-26T00:00:00"/>
    <s v="Michelle Hardy"/>
    <x v="1"/>
    <x v="13"/>
    <d v="2024-12-01T00:00:00"/>
    <x v="1"/>
  </r>
  <r>
    <s v="B-26119"/>
    <n v="6449"/>
    <n v="2628"/>
    <n v="11"/>
    <x v="1"/>
    <s v="Bookcases"/>
    <s v="EMI"/>
    <d v="2024-12-26T00:00:00"/>
    <s v="Michelle Hardy"/>
    <x v="1"/>
    <x v="13"/>
    <d v="2024-12-01T00:00:00"/>
    <x v="1"/>
  </r>
  <r>
    <s v="B-26572"/>
    <n v="5911"/>
    <n v="2333"/>
    <n v="14"/>
    <x v="1"/>
    <s v="Bookcases"/>
    <s v="EMI"/>
    <d v="2024-11-25T00:00:00"/>
    <s v="Mark Roy"/>
    <x v="0"/>
    <x v="2"/>
    <d v="2024-11-01T00:00:00"/>
    <x v="1"/>
  </r>
  <r>
    <s v="B-26572"/>
    <n v="1818"/>
    <n v="738"/>
    <n v="11"/>
    <x v="2"/>
    <s v="Markers"/>
    <s v="EMI"/>
    <d v="2024-11-25T00:00:00"/>
    <s v="Mark Roy"/>
    <x v="0"/>
    <x v="2"/>
    <d v="2024-11-01T00:00:00"/>
    <x v="1"/>
  </r>
  <r>
    <s v="B-26554"/>
    <n v="7564"/>
    <n v="3463"/>
    <n v="5"/>
    <x v="2"/>
    <s v="Paper"/>
    <s v="Credit Card"/>
    <d v="2024-06-16T00:00:00"/>
    <s v="Louis Jimenez"/>
    <x v="3"/>
    <x v="8"/>
    <d v="2024-06-01T00:00:00"/>
    <x v="1"/>
  </r>
  <r>
    <s v="B-26554"/>
    <n v="7564"/>
    <n v="3463"/>
    <n v="5"/>
    <x v="2"/>
    <s v="Paper"/>
    <s v="Credit Card"/>
    <d v="2024-10-01T00:00:00"/>
    <s v="Renee Gomez"/>
    <x v="3"/>
    <x v="7"/>
    <d v="2024-10-01T00:00:00"/>
    <x v="1"/>
  </r>
  <r>
    <s v="B-26554"/>
    <n v="7564"/>
    <n v="3463"/>
    <n v="5"/>
    <x v="2"/>
    <s v="Paper"/>
    <s v="Credit Card"/>
    <d v="2024-07-01T00:00:00"/>
    <s v="Connie Olson"/>
    <x v="1"/>
    <x v="15"/>
    <d v="2024-07-01T00:00:00"/>
    <x v="1"/>
  </r>
  <r>
    <s v="B-26554"/>
    <n v="3409"/>
    <n v="1605"/>
    <n v="20"/>
    <x v="0"/>
    <s v="Electronic Games"/>
    <s v="UPI"/>
    <d v="2024-06-16T00:00:00"/>
    <s v="Louis Jimenez"/>
    <x v="3"/>
    <x v="8"/>
    <d v="2024-06-01T00:00:00"/>
    <x v="1"/>
  </r>
  <r>
    <s v="B-26554"/>
    <n v="3409"/>
    <n v="1605"/>
    <n v="20"/>
    <x v="0"/>
    <s v="Electronic Games"/>
    <s v="UPI"/>
    <d v="2024-10-01T00:00:00"/>
    <s v="Renee Gomez"/>
    <x v="3"/>
    <x v="7"/>
    <d v="2024-10-01T00:00:00"/>
    <x v="1"/>
  </r>
  <r>
    <s v="B-26554"/>
    <n v="3409"/>
    <n v="1605"/>
    <n v="20"/>
    <x v="0"/>
    <s v="Electronic Games"/>
    <s v="UPI"/>
    <d v="2024-07-01T00:00:00"/>
    <s v="Connie Olson"/>
    <x v="1"/>
    <x v="15"/>
    <d v="2024-07-01T00:00:00"/>
    <x v="1"/>
  </r>
  <r>
    <s v="B-26405"/>
    <n v="7497"/>
    <n v="319"/>
    <n v="18"/>
    <x v="1"/>
    <s v="Chairs"/>
    <s v="COD"/>
    <d v="2024-02-12T00:00:00"/>
    <s v="Christopher Brooks"/>
    <x v="5"/>
    <x v="11"/>
    <d v="2024-02-01T00:00:00"/>
    <x v="1"/>
  </r>
  <r>
    <s v="B-25232"/>
    <n v="7792"/>
    <n v="1403"/>
    <n v="13"/>
    <x v="2"/>
    <s v="Paper"/>
    <s v="UPI"/>
    <d v="2024-01-19T00:00:00"/>
    <s v="Kristy Hernandez"/>
    <x v="0"/>
    <x v="17"/>
    <d v="2024-01-01T00:00:00"/>
    <x v="1"/>
  </r>
  <r>
    <s v="B-25232"/>
    <n v="2346"/>
    <n v="388"/>
    <n v="14"/>
    <x v="1"/>
    <s v="Chairs"/>
    <s v="Debit Card"/>
    <d v="2024-01-19T00:00:00"/>
    <s v="Kristy Hernandez"/>
    <x v="0"/>
    <x v="17"/>
    <d v="2024-01-01T00:00:00"/>
    <x v="1"/>
  </r>
  <r>
    <s v="B-25251"/>
    <n v="2895"/>
    <n v="104"/>
    <n v="6"/>
    <x v="1"/>
    <s v="Chairs"/>
    <s v="COD"/>
    <d v="2024-05-13T00:00:00"/>
    <s v="Tiffany Parker"/>
    <x v="1"/>
    <x v="15"/>
    <d v="2024-05-01T00:00:00"/>
    <x v="1"/>
  </r>
  <r>
    <s v="B-25251"/>
    <n v="697"/>
    <n v="116"/>
    <n v="1"/>
    <x v="1"/>
    <s v="Chairs"/>
    <s v="UPI"/>
    <d v="2024-05-13T00:00:00"/>
    <s v="Tiffany Parker"/>
    <x v="1"/>
    <x v="15"/>
    <d v="2024-05-01T00:00:00"/>
    <x v="1"/>
  </r>
  <r>
    <s v="B-26397"/>
    <n v="6200"/>
    <n v="2321"/>
    <n v="18"/>
    <x v="1"/>
    <s v="Tables"/>
    <s v="Credit Card"/>
    <d v="2024-07-11T00:00:00"/>
    <s v="Marcus Flores"/>
    <x v="0"/>
    <x v="0"/>
    <d v="2024-07-01T00:00:00"/>
    <x v="1"/>
  </r>
  <r>
    <s v="B-26397"/>
    <n v="6200"/>
    <n v="2321"/>
    <n v="18"/>
    <x v="1"/>
    <s v="Tables"/>
    <s v="Credit Card"/>
    <d v="2024-09-21T00:00:00"/>
    <s v="Tonya Long"/>
    <x v="3"/>
    <x v="7"/>
    <d v="2024-09-01T00:00:00"/>
    <x v="1"/>
  </r>
  <r>
    <s v="B-25222"/>
    <n v="4852"/>
    <n v="218"/>
    <n v="2"/>
    <x v="1"/>
    <s v="Tables"/>
    <s v="EMI"/>
    <d v="2024-04-24T00:00:00"/>
    <s v="Alicia Allen"/>
    <x v="1"/>
    <x v="13"/>
    <d v="2024-04-01T00:00:00"/>
    <x v="1"/>
  </r>
  <r>
    <s v="B-26792"/>
    <n v="3288"/>
    <n v="1477"/>
    <n v="3"/>
    <x v="2"/>
    <s v="Pens"/>
    <s v="EMI"/>
    <d v="2024-05-26T00:00:00"/>
    <s v="Andrew Macias"/>
    <x v="1"/>
    <x v="1"/>
    <d v="2024-05-01T00:00:00"/>
    <x v="1"/>
  </r>
  <r>
    <s v="B-25154"/>
    <n v="3977"/>
    <n v="813"/>
    <n v="5"/>
    <x v="2"/>
    <s v="Binders"/>
    <s v="Credit Card"/>
    <d v="2024-12-09T00:00:00"/>
    <s v="Mark Rodriguez"/>
    <x v="4"/>
    <x v="16"/>
    <d v="2024-12-01T00:00:00"/>
    <x v="1"/>
  </r>
  <r>
    <s v="B-26167"/>
    <n v="5343"/>
    <n v="655"/>
    <n v="1"/>
    <x v="1"/>
    <s v="Chairs"/>
    <s v="EMI"/>
    <d v="2024-04-13T00:00:00"/>
    <s v="Shane Clark"/>
    <x v="0"/>
    <x v="17"/>
    <d v="2024-04-01T00:00:00"/>
    <x v="1"/>
  </r>
  <r>
    <s v="B-25673"/>
    <n v="5306"/>
    <n v="2405"/>
    <n v="17"/>
    <x v="1"/>
    <s v="Tables"/>
    <s v="EMI"/>
    <d v="2024-03-23T00:00:00"/>
    <s v="Kimberly Fuller"/>
    <x v="4"/>
    <x v="9"/>
    <d v="2024-03-01T00:00:00"/>
    <x v="1"/>
  </r>
  <r>
    <s v="B-25226"/>
    <n v="9808"/>
    <n v="2117"/>
    <n v="2"/>
    <x v="2"/>
    <s v="Pens"/>
    <s v="UPI"/>
    <d v="2024-04-23T00:00:00"/>
    <s v="Nicole Warren"/>
    <x v="0"/>
    <x v="0"/>
    <d v="2024-04-01T00:00:00"/>
    <x v="1"/>
  </r>
  <r>
    <s v="B-25166"/>
    <n v="1133"/>
    <n v="73"/>
    <n v="17"/>
    <x v="1"/>
    <s v="Chairs"/>
    <s v="UPI"/>
    <d v="2024-06-06T00:00:00"/>
    <s v="Sarah Torres"/>
    <x v="0"/>
    <x v="17"/>
    <d v="2024-06-01T00:00:00"/>
    <x v="1"/>
  </r>
  <r>
    <s v="B-25166"/>
    <n v="6248"/>
    <n v="1168"/>
    <n v="19"/>
    <x v="1"/>
    <s v="Bookcases"/>
    <s v="COD"/>
    <d v="2024-06-06T00:00:00"/>
    <s v="Sarah Torres"/>
    <x v="0"/>
    <x v="17"/>
    <d v="2024-06-01T00:00:00"/>
    <x v="1"/>
  </r>
  <r>
    <s v="B-25383"/>
    <n v="5410"/>
    <n v="2456"/>
    <n v="8"/>
    <x v="1"/>
    <s v="Chairs"/>
    <s v="Credit Card"/>
    <d v="2024-05-29T00:00:00"/>
    <s v="Kayla Becker"/>
    <x v="0"/>
    <x v="0"/>
    <d v="2024-05-01T00:00:00"/>
    <x v="1"/>
  </r>
  <r>
    <s v="B-26409"/>
    <n v="3024"/>
    <n v="1353"/>
    <n v="1"/>
    <x v="1"/>
    <s v="Sofas"/>
    <s v="Credit Card"/>
    <d v="2024-05-02T00:00:00"/>
    <s v="Scott Harris"/>
    <x v="0"/>
    <x v="0"/>
    <d v="2024-05-01T00:00:00"/>
    <x v="1"/>
  </r>
  <r>
    <s v="B-25456"/>
    <n v="5632"/>
    <n v="2358"/>
    <n v="20"/>
    <x v="1"/>
    <s v="Sofas"/>
    <s v="Credit Card"/>
    <d v="2024-02-11T00:00:00"/>
    <s v="Stephanie Sanchez"/>
    <x v="3"/>
    <x v="7"/>
    <d v="2024-02-01T00:00:00"/>
    <x v="1"/>
  </r>
  <r>
    <s v="B-25462"/>
    <n v="5730"/>
    <n v="482"/>
    <n v="6"/>
    <x v="0"/>
    <s v="Laptops"/>
    <s v="COD"/>
    <d v="2024-08-21T00:00:00"/>
    <s v="Randy Acosta"/>
    <x v="3"/>
    <x v="8"/>
    <d v="2024-08-01T00:00:00"/>
    <x v="1"/>
  </r>
  <r>
    <s v="B-25120"/>
    <n v="7122"/>
    <n v="1836"/>
    <n v="6"/>
    <x v="0"/>
    <s v="Phones"/>
    <s v="Debit Card"/>
    <d v="2024-04-25T00:00:00"/>
    <s v="James Clarke"/>
    <x v="1"/>
    <x v="13"/>
    <d v="2024-04-01T00:00:00"/>
    <x v="1"/>
  </r>
  <r>
    <s v="B-25120"/>
    <n v="7327"/>
    <n v="2596"/>
    <n v="15"/>
    <x v="2"/>
    <s v="Markers"/>
    <s v="Credit Card"/>
    <d v="2024-04-25T00:00:00"/>
    <s v="James Clarke"/>
    <x v="1"/>
    <x v="13"/>
    <d v="2024-04-01T00:00:00"/>
    <x v="1"/>
  </r>
  <r>
    <s v="B-26146"/>
    <n v="2239"/>
    <n v="1094"/>
    <n v="18"/>
    <x v="0"/>
    <s v="Printers"/>
    <s v="COD"/>
    <d v="2024-07-28T00:00:00"/>
    <s v="Megan Charles"/>
    <x v="3"/>
    <x v="8"/>
    <d v="2024-07-01T00:00:00"/>
    <x v="1"/>
  </r>
  <r>
    <s v="B-26146"/>
    <n v="4932"/>
    <n v="1153"/>
    <n v="1"/>
    <x v="2"/>
    <s v="Markers"/>
    <s v="COD"/>
    <d v="2024-07-28T00:00:00"/>
    <s v="Megan Charles"/>
    <x v="3"/>
    <x v="8"/>
    <d v="2024-07-01T00:00:00"/>
    <x v="1"/>
  </r>
  <r>
    <s v="B-25488"/>
    <n v="1388"/>
    <n v="345"/>
    <n v="5"/>
    <x v="1"/>
    <s v="Sofas"/>
    <s v="UPI"/>
    <d v="2024-10-05T00:00:00"/>
    <s v="Christopher Thomas"/>
    <x v="4"/>
    <x v="16"/>
    <d v="2024-10-01T00:00:00"/>
    <x v="1"/>
  </r>
  <r>
    <s v="B-25488"/>
    <n v="8555"/>
    <n v="1638"/>
    <n v="8"/>
    <x v="0"/>
    <s v="Laptops"/>
    <s v="Credit Card"/>
    <d v="2024-10-05T00:00:00"/>
    <s v="Christopher Thomas"/>
    <x v="4"/>
    <x v="16"/>
    <d v="2024-10-01T00:00:00"/>
    <x v="1"/>
  </r>
  <r>
    <s v="B-26885"/>
    <n v="9024"/>
    <n v="730"/>
    <n v="4"/>
    <x v="1"/>
    <s v="Tables"/>
    <s v="Credit Card"/>
    <d v="2024-02-20T00:00:00"/>
    <s v="Peter Castro"/>
    <x v="1"/>
    <x v="13"/>
    <d v="2024-02-01T00:00:00"/>
    <x v="1"/>
  </r>
  <r>
    <s v="B-26885"/>
    <n v="2468"/>
    <n v="418"/>
    <n v="4"/>
    <x v="0"/>
    <s v="Laptops"/>
    <s v="Credit Card"/>
    <d v="2024-02-20T00:00:00"/>
    <s v="Peter Castro"/>
    <x v="1"/>
    <x v="13"/>
    <d v="2024-02-01T00:00:00"/>
    <x v="1"/>
  </r>
  <r>
    <s v="B-25477"/>
    <n v="7195"/>
    <n v="1665"/>
    <n v="7"/>
    <x v="2"/>
    <s v="Markers"/>
    <s v="COD"/>
    <d v="2024-07-27T00:00:00"/>
    <s v="Cynthia Smith"/>
    <x v="4"/>
    <x v="12"/>
    <d v="2024-07-01T00:00:00"/>
    <x v="1"/>
  </r>
  <r>
    <s v="B-26018"/>
    <n v="3098"/>
    <n v="957"/>
    <n v="18"/>
    <x v="1"/>
    <s v="Bookcases"/>
    <s v="COD"/>
    <d v="2024-07-04T00:00:00"/>
    <s v="Whitney Stout"/>
    <x v="1"/>
    <x v="1"/>
    <d v="2024-07-01T00:00:00"/>
    <x v="1"/>
  </r>
  <r>
    <s v="B-25329"/>
    <n v="5412"/>
    <n v="1192"/>
    <n v="18"/>
    <x v="1"/>
    <s v="Tables"/>
    <s v="Credit Card"/>
    <d v="2024-02-28T00:00:00"/>
    <s v="Stephanie Flores"/>
    <x v="0"/>
    <x v="17"/>
    <d v="2024-02-01T00:00:00"/>
    <x v="1"/>
  </r>
  <r>
    <s v="B-25200"/>
    <n v="9653"/>
    <n v="2471"/>
    <n v="6"/>
    <x v="2"/>
    <s v="Paper"/>
    <s v="UPI"/>
    <d v="2024-07-08T00:00:00"/>
    <s v="Marissa Hartman"/>
    <x v="4"/>
    <x v="9"/>
    <d v="2024-07-01T00:00:00"/>
    <x v="1"/>
  </r>
  <r>
    <s v="B-25762"/>
    <n v="2858"/>
    <n v="482"/>
    <n v="13"/>
    <x v="0"/>
    <s v="Electronic Games"/>
    <s v="COD"/>
    <d v="2024-05-24T00:00:00"/>
    <s v="Jason Wilson"/>
    <x v="1"/>
    <x v="1"/>
    <d v="2024-05-01T00:00:00"/>
    <x v="1"/>
  </r>
  <r>
    <s v="B-25011"/>
    <n v="3913"/>
    <n v="961"/>
    <n v="15"/>
    <x v="1"/>
    <s v="Sofas"/>
    <s v="UPI"/>
    <d v="2024-02-10T00:00:00"/>
    <s v="Eric Bates"/>
    <x v="2"/>
    <x v="3"/>
    <d v="2024-02-01T00:00:00"/>
    <x v="1"/>
  </r>
  <r>
    <s v="B-25369"/>
    <n v="1579"/>
    <n v="602"/>
    <n v="9"/>
    <x v="0"/>
    <s v="Laptops"/>
    <s v="Credit Card"/>
    <d v="2024-09-08T00:00:00"/>
    <s v="Julie Smith MD"/>
    <x v="4"/>
    <x v="12"/>
    <d v="2024-09-01T00:00:00"/>
    <x v="1"/>
  </r>
  <r>
    <s v="B-25369"/>
    <n v="3760"/>
    <n v="1849"/>
    <n v="19"/>
    <x v="1"/>
    <s v="Chairs"/>
    <s v="EMI"/>
    <d v="2024-09-08T00:00:00"/>
    <s v="Julie Smith MD"/>
    <x v="4"/>
    <x v="12"/>
    <d v="2024-09-01T00:00:00"/>
    <x v="1"/>
  </r>
  <r>
    <s v="B-25465"/>
    <n v="717"/>
    <n v="158"/>
    <n v="16"/>
    <x v="1"/>
    <s v="Tables"/>
    <s v="Credit Card"/>
    <d v="2024-11-24T00:00:00"/>
    <s v="Crystal Chambers"/>
    <x v="4"/>
    <x v="16"/>
    <d v="2024-11-01T00:00:00"/>
    <x v="1"/>
  </r>
  <r>
    <s v="B-25465"/>
    <n v="508"/>
    <n v="177"/>
    <n v="17"/>
    <x v="1"/>
    <s v="Sofas"/>
    <s v="UPI"/>
    <d v="2024-11-24T00:00:00"/>
    <s v="Crystal Chambers"/>
    <x v="4"/>
    <x v="16"/>
    <d v="2024-11-01T00:00:00"/>
    <x v="1"/>
  </r>
  <r>
    <s v="B-26528"/>
    <n v="2663"/>
    <n v="64"/>
    <n v="19"/>
    <x v="1"/>
    <s v="Sofas"/>
    <s v="COD"/>
    <d v="2024-06-16T00:00:00"/>
    <s v="Donald Hernandez"/>
    <x v="0"/>
    <x v="2"/>
    <d v="2024-06-01T00:00:00"/>
    <x v="1"/>
  </r>
  <r>
    <s v="B-26258"/>
    <n v="2710"/>
    <n v="555"/>
    <n v="20"/>
    <x v="0"/>
    <s v="Laptops"/>
    <s v="Debit Card"/>
    <d v="2024-10-21T00:00:00"/>
    <s v="Beverly Lamb"/>
    <x v="5"/>
    <x v="14"/>
    <d v="2024-10-01T00:00:00"/>
    <x v="1"/>
  </r>
  <r>
    <s v="B-26258"/>
    <n v="3224"/>
    <n v="1018"/>
    <n v="14"/>
    <x v="2"/>
    <s v="Binders"/>
    <s v="UPI"/>
    <d v="2024-10-21T00:00:00"/>
    <s v="Beverly Lamb"/>
    <x v="5"/>
    <x v="14"/>
    <d v="2024-10-01T00:00:00"/>
    <x v="1"/>
  </r>
  <r>
    <s v="B-25330"/>
    <n v="2957"/>
    <n v="917"/>
    <n v="16"/>
    <x v="2"/>
    <s v="Pens"/>
    <s v="Debit Card"/>
    <d v="2024-11-17T00:00:00"/>
    <s v="Katrina Wood"/>
    <x v="5"/>
    <x v="14"/>
    <d v="2024-11-01T00:00:00"/>
    <x v="1"/>
  </r>
  <r>
    <s v="B-25868"/>
    <n v="2944"/>
    <n v="249"/>
    <n v="5"/>
    <x v="2"/>
    <s v="Binders"/>
    <s v="Credit Card"/>
    <d v="2024-08-31T00:00:00"/>
    <s v="Autumn Lee"/>
    <x v="2"/>
    <x v="3"/>
    <d v="2024-08-01T00:00:00"/>
    <x v="1"/>
  </r>
  <r>
    <s v="B-25381"/>
    <n v="4220"/>
    <n v="945"/>
    <n v="13"/>
    <x v="2"/>
    <s v="Markers"/>
    <s v="EMI"/>
    <d v="2024-03-21T00:00:00"/>
    <s v="Barry Garcia"/>
    <x v="5"/>
    <x v="10"/>
    <d v="2024-03-01T00:00:00"/>
    <x v="1"/>
  </r>
  <r>
    <s v="B-26526"/>
    <n v="599"/>
    <n v="265"/>
    <n v="4"/>
    <x v="0"/>
    <s v="Phones"/>
    <s v="Credit Card"/>
    <d v="2024-12-05T00:00:00"/>
    <s v="Sabrina Buckley"/>
    <x v="4"/>
    <x v="12"/>
    <d v="2024-12-01T00:00:00"/>
    <x v="1"/>
  </r>
  <r>
    <s v="B-26526"/>
    <n v="2727"/>
    <n v="543"/>
    <n v="10"/>
    <x v="1"/>
    <s v="Bookcases"/>
    <s v="Credit Card"/>
    <d v="2024-12-05T00:00:00"/>
    <s v="Sabrina Buckley"/>
    <x v="4"/>
    <x v="12"/>
    <d v="2024-12-01T00:00:00"/>
    <x v="1"/>
  </r>
  <r>
    <s v="B-25819"/>
    <n v="2589"/>
    <n v="605"/>
    <n v="11"/>
    <x v="2"/>
    <s v="Pens"/>
    <s v="EMI"/>
    <d v="2024-10-05T00:00:00"/>
    <s v="Eric Johnson"/>
    <x v="2"/>
    <x v="5"/>
    <d v="2024-10-01T00:00:00"/>
    <x v="1"/>
  </r>
  <r>
    <s v="B-26910"/>
    <n v="9680"/>
    <n v="3295"/>
    <n v="9"/>
    <x v="1"/>
    <s v="Tables"/>
    <s v="COD"/>
    <d v="2024-04-29T00:00:00"/>
    <s v="Mr. Ralph Garcia Jr."/>
    <x v="4"/>
    <x v="12"/>
    <d v="2024-04-01T00:00:00"/>
    <x v="1"/>
  </r>
  <r>
    <s v="B-26910"/>
    <n v="8468"/>
    <n v="3666"/>
    <n v="8"/>
    <x v="2"/>
    <s v="Pens"/>
    <s v="UPI"/>
    <d v="2024-04-29T00:00:00"/>
    <s v="Mr. Ralph Garcia Jr."/>
    <x v="4"/>
    <x v="12"/>
    <d v="2024-04-01T00:00:00"/>
    <x v="1"/>
  </r>
  <r>
    <s v="B-26910"/>
    <n v="4441"/>
    <n v="314"/>
    <n v="14"/>
    <x v="1"/>
    <s v="Chairs"/>
    <s v="Debit Card"/>
    <d v="2024-04-29T00:00:00"/>
    <s v="Mr. Ralph Garcia Jr."/>
    <x v="4"/>
    <x v="12"/>
    <d v="2024-04-01T00:00:00"/>
    <x v="1"/>
  </r>
  <r>
    <s v="B-25978"/>
    <n v="6622"/>
    <n v="2673"/>
    <n v="8"/>
    <x v="1"/>
    <s v="Sofas"/>
    <s v="COD"/>
    <d v="2024-04-10T00:00:00"/>
    <s v="Malik Walker"/>
    <x v="4"/>
    <x v="16"/>
    <d v="2024-04-01T00:00:00"/>
    <x v="1"/>
  </r>
  <r>
    <s v="B-25881"/>
    <n v="8709"/>
    <n v="2322"/>
    <n v="8"/>
    <x v="1"/>
    <s v="Tables"/>
    <s v="Debit Card"/>
    <d v="2024-05-02T00:00:00"/>
    <s v="Sherri Ferguson DVM"/>
    <x v="1"/>
    <x v="1"/>
    <d v="2024-05-01T00:00:00"/>
    <x v="1"/>
  </r>
  <r>
    <s v="B-25881"/>
    <n v="8709"/>
    <n v="2322"/>
    <n v="8"/>
    <x v="1"/>
    <s v="Tables"/>
    <s v="Debit Card"/>
    <d v="2024-11-21T00:00:00"/>
    <s v="Kristin Hart"/>
    <x v="0"/>
    <x v="2"/>
    <d v="2024-11-01T00:00:00"/>
    <x v="1"/>
  </r>
  <r>
    <s v="B-26122"/>
    <n v="4116"/>
    <n v="921"/>
    <n v="20"/>
    <x v="2"/>
    <s v="Paper"/>
    <s v="UPI"/>
    <d v="2024-10-07T00:00:00"/>
    <s v="Michael Jimenez"/>
    <x v="0"/>
    <x v="0"/>
    <d v="2024-10-01T00:00:00"/>
    <x v="1"/>
  </r>
  <r>
    <s v="B-25006"/>
    <n v="5831"/>
    <n v="1574"/>
    <n v="17"/>
    <x v="2"/>
    <s v="Pens"/>
    <s v="Debit Card"/>
    <d v="2024-07-18T00:00:00"/>
    <s v="Daniel Dixon"/>
    <x v="0"/>
    <x v="17"/>
    <d v="2024-07-01T00:00:00"/>
    <x v="1"/>
  </r>
  <r>
    <s v="B-25789"/>
    <n v="3659"/>
    <n v="379"/>
    <n v="5"/>
    <x v="1"/>
    <s v="Bookcases"/>
    <s v="UPI"/>
    <d v="2024-06-22T00:00:00"/>
    <s v="John Silva"/>
    <x v="0"/>
    <x v="0"/>
    <d v="2024-06-01T00:00:00"/>
    <x v="1"/>
  </r>
  <r>
    <s v="B-25895"/>
    <n v="7478"/>
    <n v="1381"/>
    <n v="11"/>
    <x v="0"/>
    <s v="Phones"/>
    <s v="EMI"/>
    <d v="2024-04-16T00:00:00"/>
    <s v="Donald Medina"/>
    <x v="1"/>
    <x v="15"/>
    <d v="2024-04-01T00:00:00"/>
    <x v="1"/>
  </r>
  <r>
    <s v="B-26842"/>
    <n v="6402"/>
    <n v="2770"/>
    <n v="19"/>
    <x v="2"/>
    <s v="Markers"/>
    <s v="Debit Card"/>
    <d v="2024-03-10T00:00:00"/>
    <s v="Joseph Perkins"/>
    <x v="3"/>
    <x v="4"/>
    <d v="2024-03-01T00:00:00"/>
    <x v="1"/>
  </r>
  <r>
    <s v="B-26842"/>
    <n v="5916"/>
    <n v="1594"/>
    <n v="19"/>
    <x v="0"/>
    <s v="Printers"/>
    <s v="Debit Card"/>
    <d v="2024-03-10T00:00:00"/>
    <s v="Joseph Perkins"/>
    <x v="3"/>
    <x v="4"/>
    <d v="2024-03-01T00:00:00"/>
    <x v="1"/>
  </r>
  <r>
    <s v="B-26999"/>
    <n v="3756"/>
    <n v="1318"/>
    <n v="5"/>
    <x v="1"/>
    <s v="Tables"/>
    <s v="UPI"/>
    <d v="2024-02-19T00:00:00"/>
    <s v="Edward Valencia"/>
    <x v="3"/>
    <x v="7"/>
    <d v="2024-02-01T00:00:00"/>
    <x v="1"/>
  </r>
  <r>
    <s v="B-26066"/>
    <n v="6673"/>
    <n v="950"/>
    <n v="19"/>
    <x v="2"/>
    <s v="Markers"/>
    <s v="EMI"/>
    <d v="2024-12-19T00:00:00"/>
    <s v="Carl Wade DDS"/>
    <x v="4"/>
    <x v="9"/>
    <d v="2024-12-01T00:00:00"/>
    <x v="1"/>
  </r>
  <r>
    <s v="B-26159"/>
    <n v="7484"/>
    <n v="2871"/>
    <n v="15"/>
    <x v="0"/>
    <s v="Phones"/>
    <s v="UPI"/>
    <d v="2024-04-16T00:00:00"/>
    <s v="Richard Petersen"/>
    <x v="5"/>
    <x v="14"/>
    <d v="2024-04-01T00:00:00"/>
    <x v="1"/>
  </r>
  <r>
    <s v="B-26159"/>
    <n v="7700"/>
    <n v="2712"/>
    <n v="1"/>
    <x v="1"/>
    <s v="Sofas"/>
    <s v="Credit Card"/>
    <d v="2024-04-16T00:00:00"/>
    <s v="Richard Petersen"/>
    <x v="5"/>
    <x v="14"/>
    <d v="2024-04-01T00:00:00"/>
    <x v="1"/>
  </r>
  <r>
    <s v="B-25888"/>
    <n v="8858"/>
    <n v="3394"/>
    <n v="6"/>
    <x v="1"/>
    <s v="Chairs"/>
    <s v="COD"/>
    <d v="2024-10-31T00:00:00"/>
    <s v="Victor Collins"/>
    <x v="0"/>
    <x v="17"/>
    <d v="2024-10-01T00:00:00"/>
    <x v="1"/>
  </r>
  <r>
    <s v="B-25574"/>
    <n v="5313"/>
    <n v="2037"/>
    <n v="7"/>
    <x v="0"/>
    <s v="Printers"/>
    <s v="Debit Card"/>
    <d v="2024-11-25T00:00:00"/>
    <s v="Jason Hernandez"/>
    <x v="0"/>
    <x v="2"/>
    <d v="2024-11-01T00:00:00"/>
    <x v="1"/>
  </r>
  <r>
    <s v="B-26353"/>
    <n v="5317"/>
    <n v="1345"/>
    <n v="18"/>
    <x v="1"/>
    <s v="Chairs"/>
    <s v="Debit Card"/>
    <d v="2024-11-22T00:00:00"/>
    <s v="Danielle Ramirez"/>
    <x v="0"/>
    <x v="2"/>
    <d v="2024-11-01T00:00:00"/>
    <x v="1"/>
  </r>
  <r>
    <s v="B-26353"/>
    <n v="6304"/>
    <n v="766"/>
    <n v="14"/>
    <x v="1"/>
    <s v="Tables"/>
    <s v="EMI"/>
    <d v="2024-11-22T00:00:00"/>
    <s v="Danielle Ramirez"/>
    <x v="0"/>
    <x v="2"/>
    <d v="2024-11-01T00:00:00"/>
    <x v="1"/>
  </r>
  <r>
    <s v="B-25742"/>
    <n v="9565"/>
    <n v="1691"/>
    <n v="3"/>
    <x v="2"/>
    <s v="Paper"/>
    <s v="Debit Card"/>
    <d v="2024-07-02T00:00:00"/>
    <s v="Taylor White"/>
    <x v="5"/>
    <x v="10"/>
    <d v="2024-07-01T00:00:00"/>
    <x v="1"/>
  </r>
  <r>
    <s v="B-25742"/>
    <n v="8245"/>
    <n v="324"/>
    <n v="11"/>
    <x v="2"/>
    <s v="Paper"/>
    <s v="EMI"/>
    <d v="2024-07-02T00:00:00"/>
    <s v="Taylor White"/>
    <x v="5"/>
    <x v="10"/>
    <d v="2024-07-01T00:00:00"/>
    <x v="1"/>
  </r>
  <r>
    <s v="B-26038"/>
    <n v="8400"/>
    <n v="267"/>
    <n v="5"/>
    <x v="0"/>
    <s v="Phones"/>
    <s v="Debit Card"/>
    <d v="2024-10-08T00:00:00"/>
    <s v="Kimberly King"/>
    <x v="2"/>
    <x v="3"/>
    <d v="2024-10-01T00:00:00"/>
    <x v="1"/>
  </r>
  <r>
    <s v="B-26038"/>
    <n v="4963"/>
    <n v="1254"/>
    <n v="15"/>
    <x v="2"/>
    <s v="Paper"/>
    <s v="EMI"/>
    <d v="2024-10-08T00:00:00"/>
    <s v="Kimberly King"/>
    <x v="2"/>
    <x v="3"/>
    <d v="2024-10-01T00:00:00"/>
    <x v="1"/>
  </r>
  <r>
    <s v="B-25443"/>
    <n v="4544"/>
    <n v="1726"/>
    <n v="9"/>
    <x v="0"/>
    <s v="Phones"/>
    <s v="EMI"/>
    <d v="2024-08-21T00:00:00"/>
    <s v="Kathy Wilson"/>
    <x v="1"/>
    <x v="13"/>
    <d v="2024-08-01T00:00:00"/>
    <x v="1"/>
  </r>
  <r>
    <s v="B-25443"/>
    <n v="5900"/>
    <n v="1738"/>
    <n v="20"/>
    <x v="0"/>
    <s v="Phones"/>
    <s v="UPI"/>
    <d v="2024-08-21T00:00:00"/>
    <s v="Kathy Wilson"/>
    <x v="1"/>
    <x v="13"/>
    <d v="2024-08-01T00:00:00"/>
    <x v="1"/>
  </r>
  <r>
    <s v="B-25328"/>
    <n v="8780"/>
    <n v="3430"/>
    <n v="4"/>
    <x v="0"/>
    <s v="Electronic Games"/>
    <s v="Credit Card"/>
    <d v="2024-07-07T00:00:00"/>
    <s v="Debra Smith"/>
    <x v="1"/>
    <x v="1"/>
    <d v="2024-07-01T00:00:00"/>
    <x v="1"/>
  </r>
  <r>
    <s v="B-26598"/>
    <n v="1093"/>
    <n v="397"/>
    <n v="17"/>
    <x v="0"/>
    <s v="Printers"/>
    <s v="Credit Card"/>
    <d v="2024-03-27T00:00:00"/>
    <s v="Jessica Barajas"/>
    <x v="5"/>
    <x v="11"/>
    <d v="2024-03-01T00:00:00"/>
    <x v="1"/>
  </r>
  <r>
    <s v="B-26598"/>
    <n v="1093"/>
    <n v="397"/>
    <n v="17"/>
    <x v="0"/>
    <s v="Printers"/>
    <s v="Credit Card"/>
    <d v="2024-09-01T00:00:00"/>
    <s v="Jamie Jimenez"/>
    <x v="4"/>
    <x v="9"/>
    <d v="2024-09-01T00:00:00"/>
    <x v="1"/>
  </r>
  <r>
    <s v="B-26598"/>
    <n v="2636"/>
    <n v="88"/>
    <n v="11"/>
    <x v="2"/>
    <s v="Paper"/>
    <s v="Debit Card"/>
    <d v="2024-03-27T00:00:00"/>
    <s v="Jessica Barajas"/>
    <x v="5"/>
    <x v="11"/>
    <d v="2024-03-01T00:00:00"/>
    <x v="1"/>
  </r>
  <r>
    <s v="B-26598"/>
    <n v="2636"/>
    <n v="88"/>
    <n v="11"/>
    <x v="2"/>
    <s v="Paper"/>
    <s v="Debit Card"/>
    <d v="2024-09-01T00:00:00"/>
    <s v="Jamie Jimenez"/>
    <x v="4"/>
    <x v="9"/>
    <d v="2024-09-01T00:00:00"/>
    <x v="1"/>
  </r>
  <r>
    <s v="B-25564"/>
    <n v="2451"/>
    <n v="342"/>
    <n v="8"/>
    <x v="2"/>
    <s v="Paper"/>
    <s v="EMI"/>
    <d v="2024-07-30T00:00:00"/>
    <s v="Zachary Pierce"/>
    <x v="1"/>
    <x v="15"/>
    <d v="2024-07-01T00:00:00"/>
    <x v="1"/>
  </r>
  <r>
    <s v="B-25976"/>
    <n v="4307"/>
    <n v="615"/>
    <n v="3"/>
    <x v="0"/>
    <s v="Electronic Games"/>
    <s v="UPI"/>
    <d v="2024-03-15T00:00:00"/>
    <s v="Martha Carney"/>
    <x v="4"/>
    <x v="16"/>
    <d v="2024-03-01T00:00:00"/>
    <x v="1"/>
  </r>
  <r>
    <s v="B-25976"/>
    <n v="5694"/>
    <n v="1134"/>
    <n v="5"/>
    <x v="1"/>
    <s v="Chairs"/>
    <s v="EMI"/>
    <d v="2024-03-15T00:00:00"/>
    <s v="Martha Carney"/>
    <x v="4"/>
    <x v="16"/>
    <d v="2024-03-01T00:00:00"/>
    <x v="1"/>
  </r>
  <r>
    <s v="B-25497"/>
    <n v="2995"/>
    <n v="220"/>
    <n v="14"/>
    <x v="1"/>
    <s v="Bookcases"/>
    <s v="Credit Card"/>
    <d v="2024-09-13T00:00:00"/>
    <s v="Paul Bryant"/>
    <x v="4"/>
    <x v="9"/>
    <d v="2024-09-01T00:00:00"/>
    <x v="1"/>
  </r>
  <r>
    <s v="B-25497"/>
    <n v="2047"/>
    <n v="914"/>
    <n v="5"/>
    <x v="2"/>
    <s v="Markers"/>
    <s v="Debit Card"/>
    <d v="2024-09-13T00:00:00"/>
    <s v="Paul Bryant"/>
    <x v="4"/>
    <x v="9"/>
    <d v="2024-09-01T00:00:00"/>
    <x v="1"/>
  </r>
  <r>
    <s v="B-25441"/>
    <n v="9914"/>
    <n v="3858"/>
    <n v="16"/>
    <x v="1"/>
    <s v="Sofas"/>
    <s v="Credit Card"/>
    <d v="2024-06-08T00:00:00"/>
    <s v="Andrew Krueger"/>
    <x v="4"/>
    <x v="12"/>
    <d v="2024-06-01T00:00:00"/>
    <x v="1"/>
  </r>
  <r>
    <s v="B-25441"/>
    <n v="5470"/>
    <n v="292"/>
    <n v="7"/>
    <x v="2"/>
    <s v="Pens"/>
    <s v="Debit Card"/>
    <d v="2024-06-08T00:00:00"/>
    <s v="Andrew Krueger"/>
    <x v="4"/>
    <x v="12"/>
    <d v="2024-06-01T00:00:00"/>
    <x v="1"/>
  </r>
  <r>
    <s v="B-25441"/>
    <n v="1496"/>
    <n v="662"/>
    <n v="17"/>
    <x v="1"/>
    <s v="Bookcases"/>
    <s v="UPI"/>
    <d v="2024-06-08T00:00:00"/>
    <s v="Andrew Krueger"/>
    <x v="4"/>
    <x v="12"/>
    <d v="2024-06-01T00:00:00"/>
    <x v="1"/>
  </r>
  <r>
    <s v="B-26904"/>
    <n v="594"/>
    <n v="67"/>
    <n v="19"/>
    <x v="2"/>
    <s v="Paper"/>
    <s v="Debit Card"/>
    <d v="2024-01-05T00:00:00"/>
    <s v="Terry Gilbert"/>
    <x v="3"/>
    <x v="7"/>
    <d v="2024-01-01T00:00:00"/>
    <x v="1"/>
  </r>
  <r>
    <s v="B-26904"/>
    <n v="594"/>
    <n v="67"/>
    <n v="19"/>
    <x v="2"/>
    <s v="Paper"/>
    <s v="Debit Card"/>
    <d v="2024-05-08T00:00:00"/>
    <s v="Devon Schmitt"/>
    <x v="1"/>
    <x v="1"/>
    <d v="2024-05-01T00:00:00"/>
    <x v="1"/>
  </r>
  <r>
    <s v="B-26456"/>
    <n v="5954"/>
    <n v="2618"/>
    <n v="11"/>
    <x v="1"/>
    <s v="Tables"/>
    <s v="COD"/>
    <d v="2024-03-30T00:00:00"/>
    <s v="Robert Mosley"/>
    <x v="2"/>
    <x v="6"/>
    <d v="2024-03-01T00:00:00"/>
    <x v="1"/>
  </r>
  <r>
    <s v="B-26279"/>
    <n v="3747"/>
    <n v="410"/>
    <n v="5"/>
    <x v="2"/>
    <s v="Markers"/>
    <s v="Credit Card"/>
    <d v="2024-03-27T00:00:00"/>
    <s v="Mrs. Lauren Potter DDS"/>
    <x v="2"/>
    <x v="3"/>
    <d v="2024-03-01T00:00:00"/>
    <x v="1"/>
  </r>
  <r>
    <s v="B-26279"/>
    <n v="3194"/>
    <n v="534"/>
    <n v="4"/>
    <x v="2"/>
    <s v="Binders"/>
    <s v="UPI"/>
    <d v="2024-03-27T00:00:00"/>
    <s v="Mrs. Lauren Potter DDS"/>
    <x v="2"/>
    <x v="3"/>
    <d v="2024-03-01T00:00:00"/>
    <x v="1"/>
  </r>
  <r>
    <s v="B-26961"/>
    <n v="5193"/>
    <n v="2530"/>
    <n v="5"/>
    <x v="1"/>
    <s v="Sofas"/>
    <s v="Debit Card"/>
    <d v="2024-12-29T00:00:00"/>
    <s v="Nicholas Tucker"/>
    <x v="3"/>
    <x v="7"/>
    <d v="2024-12-01T00:00:00"/>
    <x v="1"/>
  </r>
  <r>
    <s v="B-26321"/>
    <n v="2062"/>
    <n v="848"/>
    <n v="6"/>
    <x v="2"/>
    <s v="Markers"/>
    <s v="Credit Card"/>
    <d v="2024-03-04T00:00:00"/>
    <s v="Christine Wheeler"/>
    <x v="3"/>
    <x v="8"/>
    <d v="2024-03-01T00:00:00"/>
    <x v="1"/>
  </r>
  <r>
    <s v="B-26245"/>
    <n v="4172"/>
    <n v="235"/>
    <n v="5"/>
    <x v="2"/>
    <s v="Paper"/>
    <s v="EMI"/>
    <d v="2024-04-16T00:00:00"/>
    <s v="Raymond Bean"/>
    <x v="5"/>
    <x v="10"/>
    <d v="2024-04-01T00:00:00"/>
    <x v="1"/>
  </r>
  <r>
    <s v="B-25594"/>
    <n v="2931"/>
    <n v="212"/>
    <n v="7"/>
    <x v="0"/>
    <s v="Electronic Games"/>
    <s v="Credit Card"/>
    <d v="2024-06-26T00:00:00"/>
    <s v="Michael Stewart"/>
    <x v="5"/>
    <x v="11"/>
    <d v="2024-06-01T00:00:00"/>
    <x v="1"/>
  </r>
  <r>
    <s v="B-25471"/>
    <n v="1146"/>
    <n v="188"/>
    <n v="9"/>
    <x v="1"/>
    <s v="Chairs"/>
    <s v="Debit Card"/>
    <d v="2024-11-27T00:00:00"/>
    <s v="Tara Hughes"/>
    <x v="3"/>
    <x v="8"/>
    <d v="2024-11-01T00:00:00"/>
    <x v="1"/>
  </r>
  <r>
    <s v="B-25159"/>
    <n v="5338"/>
    <n v="1354"/>
    <n v="16"/>
    <x v="2"/>
    <s v="Markers"/>
    <s v="UPI"/>
    <d v="2024-08-01T00:00:00"/>
    <s v="Cassandra Jordan"/>
    <x v="5"/>
    <x v="11"/>
    <d v="2024-08-01T00:00:00"/>
    <x v="1"/>
  </r>
  <r>
    <s v="B-25159"/>
    <n v="5338"/>
    <n v="1354"/>
    <n v="16"/>
    <x v="2"/>
    <s v="Markers"/>
    <s v="UPI"/>
    <d v="2024-10-21T00:00:00"/>
    <s v="Shannon Maynard"/>
    <x v="3"/>
    <x v="4"/>
    <d v="2024-10-01T00:00:00"/>
    <x v="1"/>
  </r>
  <r>
    <s v="B-26225"/>
    <n v="1992"/>
    <n v="355"/>
    <n v="2"/>
    <x v="0"/>
    <s v="Phones"/>
    <s v="COD"/>
    <d v="2024-12-14T00:00:00"/>
    <s v="William Beck"/>
    <x v="3"/>
    <x v="8"/>
    <d v="2024-12-01T00:00:00"/>
    <x v="1"/>
  </r>
  <r>
    <s v="B-25106"/>
    <n v="9090"/>
    <n v="3098"/>
    <n v="16"/>
    <x v="0"/>
    <s v="Phones"/>
    <s v="Credit Card"/>
    <d v="2024-05-28T00:00:00"/>
    <s v="Dr. Jennifer Benton DVM"/>
    <x v="5"/>
    <x v="10"/>
    <d v="2024-05-01T00:00:00"/>
    <x v="1"/>
  </r>
  <r>
    <s v="B-25106"/>
    <n v="851"/>
    <n v="356"/>
    <n v="11"/>
    <x v="0"/>
    <s v="Electronic Games"/>
    <s v="Credit Card"/>
    <d v="2024-05-28T00:00:00"/>
    <s v="Dr. Jennifer Benton DVM"/>
    <x v="5"/>
    <x v="10"/>
    <d v="2024-05-01T00:00:00"/>
    <x v="1"/>
  </r>
  <r>
    <s v="B-26661"/>
    <n v="2386"/>
    <n v="999"/>
    <n v="3"/>
    <x v="2"/>
    <s v="Pens"/>
    <s v="COD"/>
    <d v="2024-02-13T00:00:00"/>
    <s v="Jason Norman"/>
    <x v="3"/>
    <x v="7"/>
    <d v="2024-02-01T00:00:00"/>
    <x v="1"/>
  </r>
  <r>
    <s v="B-25735"/>
    <n v="7122"/>
    <n v="1982"/>
    <n v="7"/>
    <x v="2"/>
    <s v="Markers"/>
    <s v="EMI"/>
    <d v="2024-03-11T00:00:00"/>
    <s v="Bryan Baird"/>
    <x v="5"/>
    <x v="11"/>
    <d v="2024-03-01T00:00:00"/>
    <x v="1"/>
  </r>
  <r>
    <s v="B-26522"/>
    <n v="5994"/>
    <n v="2826"/>
    <n v="9"/>
    <x v="1"/>
    <s v="Bookcases"/>
    <s v="EMI"/>
    <d v="2024-03-12T00:00:00"/>
    <s v="Bryan Anderson"/>
    <x v="0"/>
    <x v="0"/>
    <d v="2024-03-01T00:00:00"/>
    <x v="1"/>
  </r>
  <r>
    <s v="B-26522"/>
    <n v="5994"/>
    <n v="2826"/>
    <n v="9"/>
    <x v="1"/>
    <s v="Bookcases"/>
    <s v="EMI"/>
    <d v="2024-03-17T00:00:00"/>
    <s v="Sarah Miller"/>
    <x v="4"/>
    <x v="16"/>
    <d v="2024-03-01T00:00:00"/>
    <x v="1"/>
  </r>
  <r>
    <s v="B-26980"/>
    <n v="9752"/>
    <n v="3618"/>
    <n v="5"/>
    <x v="1"/>
    <s v="Bookcases"/>
    <s v="Debit Card"/>
    <d v="2024-02-21T00:00:00"/>
    <s v="Mary Johnson"/>
    <x v="4"/>
    <x v="12"/>
    <d v="2024-02-01T00:00:00"/>
    <x v="1"/>
  </r>
  <r>
    <s v="B-25873"/>
    <n v="2684"/>
    <n v="713"/>
    <n v="2"/>
    <x v="0"/>
    <s v="Electronic Games"/>
    <s v="UPI"/>
    <d v="2024-06-15T00:00:00"/>
    <s v="Meghan Ballard"/>
    <x v="4"/>
    <x v="16"/>
    <d v="2024-06-01T00:00:00"/>
    <x v="1"/>
  </r>
  <r>
    <s v="B-25444"/>
    <n v="7626"/>
    <n v="229"/>
    <n v="5"/>
    <x v="2"/>
    <s v="Pens"/>
    <s v="EMI"/>
    <d v="2024-02-11T00:00:00"/>
    <s v="Jessica Hunt"/>
    <x v="5"/>
    <x v="10"/>
    <d v="2024-02-01T00:00:00"/>
    <x v="1"/>
  </r>
  <r>
    <s v="B-26083"/>
    <n v="3265"/>
    <n v="1390"/>
    <n v="16"/>
    <x v="2"/>
    <s v="Paper"/>
    <s v="Credit Card"/>
    <d v="2024-01-17T00:00:00"/>
    <s v="Bethany Harrison"/>
    <x v="0"/>
    <x v="0"/>
    <d v="2024-01-01T00:00:00"/>
    <x v="1"/>
  </r>
  <r>
    <s v="B-26138"/>
    <n v="3084"/>
    <n v="611"/>
    <n v="19"/>
    <x v="1"/>
    <s v="Bookcases"/>
    <s v="UPI"/>
    <d v="2024-05-21T00:00:00"/>
    <s v="Carl Ryan"/>
    <x v="1"/>
    <x v="13"/>
    <d v="2024-05-01T00:00:00"/>
    <x v="1"/>
  </r>
  <r>
    <s v="B-25630"/>
    <n v="5951"/>
    <n v="936"/>
    <n v="6"/>
    <x v="0"/>
    <s v="Laptops"/>
    <s v="Debit Card"/>
    <d v="2024-08-07T00:00:00"/>
    <s v="Charles Williams"/>
    <x v="1"/>
    <x v="13"/>
    <d v="2024-08-01T00:00:00"/>
    <x v="1"/>
  </r>
  <r>
    <s v="B-26872"/>
    <n v="992"/>
    <n v="177"/>
    <n v="6"/>
    <x v="0"/>
    <s v="Phones"/>
    <s v="UPI"/>
    <d v="2024-01-13T00:00:00"/>
    <s v="Scott Gibbs"/>
    <x v="0"/>
    <x v="0"/>
    <d v="2024-01-01T00:00:00"/>
    <x v="1"/>
  </r>
  <r>
    <s v="B-26872"/>
    <n v="4699"/>
    <n v="625"/>
    <n v="18"/>
    <x v="2"/>
    <s v="Markers"/>
    <s v="EMI"/>
    <d v="2024-01-13T00:00:00"/>
    <s v="Scott Gibbs"/>
    <x v="0"/>
    <x v="0"/>
    <d v="2024-01-01T00:00:00"/>
    <x v="1"/>
  </r>
  <r>
    <s v="B-25189"/>
    <n v="7620"/>
    <n v="125"/>
    <n v="4"/>
    <x v="2"/>
    <s v="Paper"/>
    <s v="EMI"/>
    <d v="2024-10-12T00:00:00"/>
    <s v="Matthew Blake"/>
    <x v="0"/>
    <x v="2"/>
    <d v="2024-10-01T00:00:00"/>
    <x v="1"/>
  </r>
  <r>
    <s v="B-25548"/>
    <n v="8851"/>
    <n v="999"/>
    <n v="12"/>
    <x v="0"/>
    <s v="Laptops"/>
    <s v="UPI"/>
    <d v="2024-02-07T00:00:00"/>
    <s v="Joseph Wilson"/>
    <x v="2"/>
    <x v="6"/>
    <d v="2024-02-01T00:00:00"/>
    <x v="1"/>
  </r>
  <r>
    <s v="B-26393"/>
    <n v="2258"/>
    <n v="135"/>
    <n v="18"/>
    <x v="0"/>
    <s v="Printers"/>
    <s v="Credit Card"/>
    <d v="2024-02-07T00:00:00"/>
    <s v="Ashley Palmer"/>
    <x v="3"/>
    <x v="7"/>
    <d v="2024-02-01T00:00:00"/>
    <x v="1"/>
  </r>
  <r>
    <s v="B-26628"/>
    <n v="9609"/>
    <n v="4339"/>
    <n v="3"/>
    <x v="1"/>
    <s v="Sofas"/>
    <s v="Debit Card"/>
    <d v="2024-09-19T00:00:00"/>
    <s v="George Ashley"/>
    <x v="1"/>
    <x v="15"/>
    <d v="2024-09-01T00:00:00"/>
    <x v="1"/>
  </r>
  <r>
    <s v="B-25839"/>
    <n v="4521"/>
    <n v="1778"/>
    <n v="9"/>
    <x v="2"/>
    <s v="Paper"/>
    <s v="Debit Card"/>
    <d v="2024-10-15T00:00:00"/>
    <s v="David Allen"/>
    <x v="3"/>
    <x v="8"/>
    <d v="2024-10-01T00:00:00"/>
    <x v="1"/>
  </r>
  <r>
    <s v="B-26309"/>
    <n v="6672"/>
    <n v="3319"/>
    <n v="4"/>
    <x v="1"/>
    <s v="Tables"/>
    <s v="UPI"/>
    <d v="2024-05-20T00:00:00"/>
    <s v="John Jones"/>
    <x v="0"/>
    <x v="17"/>
    <d v="2024-05-01T00:00:00"/>
    <x v="1"/>
  </r>
  <r>
    <s v="B-26789"/>
    <n v="4699"/>
    <n v="103"/>
    <n v="12"/>
    <x v="2"/>
    <s v="Binders"/>
    <s v="UPI"/>
    <d v="2024-05-21T00:00:00"/>
    <s v="Cheryl Johnson"/>
    <x v="2"/>
    <x v="6"/>
    <d v="2024-05-01T00:00:00"/>
    <x v="1"/>
  </r>
  <r>
    <s v="B-25603"/>
    <n v="9272"/>
    <n v="1771"/>
    <n v="19"/>
    <x v="2"/>
    <s v="Markers"/>
    <s v="UPI"/>
    <d v="2024-11-14T00:00:00"/>
    <s v="Jamie Brewer"/>
    <x v="5"/>
    <x v="10"/>
    <d v="2024-11-01T00:00:00"/>
    <x v="1"/>
  </r>
  <r>
    <s v="B-25889"/>
    <n v="7992"/>
    <n v="893"/>
    <n v="12"/>
    <x v="0"/>
    <s v="Laptops"/>
    <s v="Credit Card"/>
    <d v="2024-09-13T00:00:00"/>
    <s v="Jennifer Hernandez"/>
    <x v="2"/>
    <x v="5"/>
    <d v="2024-09-01T00:00:00"/>
    <x v="1"/>
  </r>
  <r>
    <s v="B-26675"/>
    <n v="6499"/>
    <n v="2189"/>
    <n v="18"/>
    <x v="0"/>
    <s v="Electronic Games"/>
    <s v="EMI"/>
    <d v="2024-06-15T00:00:00"/>
    <s v="Daniel Price"/>
    <x v="4"/>
    <x v="16"/>
    <d v="2024-06-01T00:00:00"/>
    <x v="1"/>
  </r>
  <r>
    <s v="B-26495"/>
    <n v="3451"/>
    <n v="658"/>
    <n v="3"/>
    <x v="2"/>
    <s v="Markers"/>
    <s v="UPI"/>
    <d v="2024-12-28T00:00:00"/>
    <s v="Patricia Davis"/>
    <x v="5"/>
    <x v="14"/>
    <d v="2024-12-01T00:00:00"/>
    <x v="1"/>
  </r>
  <r>
    <s v="B-26739"/>
    <n v="2689"/>
    <n v="1330"/>
    <n v="3"/>
    <x v="1"/>
    <s v="Tables"/>
    <s v="UPI"/>
    <d v="2024-05-29T00:00:00"/>
    <s v="Brooke Gonzalez"/>
    <x v="3"/>
    <x v="7"/>
    <d v="2024-05-01T00:00:00"/>
    <x v="1"/>
  </r>
  <r>
    <s v="B-25234"/>
    <n v="5024"/>
    <n v="379"/>
    <n v="2"/>
    <x v="2"/>
    <s v="Paper"/>
    <s v="UPI"/>
    <d v="2024-04-02T00:00:00"/>
    <s v="Nancy Kennedy"/>
    <x v="1"/>
    <x v="13"/>
    <d v="2024-04-01T00:00:00"/>
    <x v="1"/>
  </r>
  <r>
    <s v="B-26370"/>
    <n v="8825"/>
    <n v="3594"/>
    <n v="15"/>
    <x v="1"/>
    <s v="Tables"/>
    <s v="Debit Card"/>
    <d v="2024-07-31T00:00:00"/>
    <s v="Megan Mclean"/>
    <x v="4"/>
    <x v="16"/>
    <d v="2024-07-01T00:00:00"/>
    <x v="1"/>
  </r>
  <r>
    <s v="B-25068"/>
    <n v="914"/>
    <n v="163"/>
    <n v="13"/>
    <x v="2"/>
    <s v="Markers"/>
    <s v="UPI"/>
    <d v="2024-10-26T00:00:00"/>
    <s v="Andrea Hill"/>
    <x v="5"/>
    <x v="14"/>
    <d v="2024-10-01T00:00:00"/>
    <x v="1"/>
  </r>
  <r>
    <s v="B-26776"/>
    <n v="9726"/>
    <n v="1275"/>
    <n v="5"/>
    <x v="0"/>
    <s v="Electronic Games"/>
    <s v="UPI"/>
    <d v="2023-06-27T00:00:00"/>
    <s v="David Padilla"/>
    <x v="3"/>
    <x v="7"/>
    <d v="2023-06-01T00:00:00"/>
    <x v="2"/>
  </r>
  <r>
    <s v="B-26776"/>
    <n v="4975"/>
    <n v="1330"/>
    <n v="14"/>
    <x v="0"/>
    <s v="Printers"/>
    <s v="UPI"/>
    <d v="2023-06-27T00:00:00"/>
    <s v="David Padilla"/>
    <x v="3"/>
    <x v="7"/>
    <d v="2023-06-01T00:00:00"/>
    <x v="2"/>
  </r>
  <r>
    <s v="B-25890"/>
    <n v="2516"/>
    <n v="734"/>
    <n v="19"/>
    <x v="1"/>
    <s v="Chairs"/>
    <s v="UPI"/>
    <d v="2023-11-12T00:00:00"/>
    <s v="Jacqueline Hubbard"/>
    <x v="4"/>
    <x v="16"/>
    <d v="2023-11-01T00:00:00"/>
    <x v="2"/>
  </r>
  <r>
    <s v="B-25238"/>
    <n v="7600"/>
    <n v="1098"/>
    <n v="10"/>
    <x v="2"/>
    <s v="Pens"/>
    <s v="UPI"/>
    <d v="2023-11-09T00:00:00"/>
    <s v="Walter Crawford"/>
    <x v="5"/>
    <x v="10"/>
    <d v="2023-11-01T00:00:00"/>
    <x v="2"/>
  </r>
  <r>
    <s v="B-25238"/>
    <n v="7501"/>
    <n v="262"/>
    <n v="18"/>
    <x v="2"/>
    <s v="Paper"/>
    <s v="COD"/>
    <d v="2023-11-09T00:00:00"/>
    <s v="Walter Crawford"/>
    <x v="5"/>
    <x v="10"/>
    <d v="2023-11-01T00:00:00"/>
    <x v="2"/>
  </r>
  <r>
    <s v="B-26232"/>
    <n v="5219"/>
    <n v="1180"/>
    <n v="20"/>
    <x v="2"/>
    <s v="Binders"/>
    <s v="COD"/>
    <d v="2023-02-03T00:00:00"/>
    <s v="Jacqueline Harris"/>
    <x v="0"/>
    <x v="2"/>
    <d v="2023-02-01T00:00:00"/>
    <x v="2"/>
  </r>
  <r>
    <s v="B-26157"/>
    <n v="6045"/>
    <n v="1606"/>
    <n v="4"/>
    <x v="2"/>
    <s v="Paper"/>
    <s v="COD"/>
    <d v="2023-12-14T00:00:00"/>
    <s v="Sierra Rios"/>
    <x v="3"/>
    <x v="4"/>
    <d v="2023-12-01T00:00:00"/>
    <x v="2"/>
  </r>
  <r>
    <s v="B-26157"/>
    <n v="9337"/>
    <n v="554"/>
    <n v="11"/>
    <x v="2"/>
    <s v="Pens"/>
    <s v="COD"/>
    <d v="2023-12-14T00:00:00"/>
    <s v="Sierra Rios"/>
    <x v="3"/>
    <x v="4"/>
    <d v="2023-12-01T00:00:00"/>
    <x v="2"/>
  </r>
  <r>
    <s v="B-25555"/>
    <n v="4051"/>
    <n v="1848"/>
    <n v="12"/>
    <x v="0"/>
    <s v="Phones"/>
    <s v="Credit Card"/>
    <d v="2023-07-03T00:00:00"/>
    <s v="Jessica Richardson"/>
    <x v="0"/>
    <x v="17"/>
    <d v="2023-07-01T00:00:00"/>
    <x v="2"/>
  </r>
  <r>
    <s v="B-25555"/>
    <n v="5011"/>
    <n v="866"/>
    <n v="11"/>
    <x v="1"/>
    <s v="Bookcases"/>
    <s v="Credit Card"/>
    <d v="2023-07-03T00:00:00"/>
    <s v="Jessica Richardson"/>
    <x v="0"/>
    <x v="17"/>
    <d v="2023-07-01T00:00:00"/>
    <x v="2"/>
  </r>
  <r>
    <s v="B-25730"/>
    <n v="8293"/>
    <n v="2632"/>
    <n v="8"/>
    <x v="2"/>
    <s v="Binders"/>
    <s v="COD"/>
    <d v="2023-08-21T00:00:00"/>
    <s v="Austin White"/>
    <x v="0"/>
    <x v="0"/>
    <d v="2023-08-01T00:00:00"/>
    <x v="2"/>
  </r>
  <r>
    <s v="B-25730"/>
    <n v="2863"/>
    <n v="205"/>
    <n v="17"/>
    <x v="0"/>
    <s v="Phones"/>
    <s v="UPI"/>
    <d v="2023-08-21T00:00:00"/>
    <s v="Austin White"/>
    <x v="0"/>
    <x v="0"/>
    <d v="2023-08-01T00:00:00"/>
    <x v="2"/>
  </r>
  <r>
    <s v="B-26470"/>
    <n v="3090"/>
    <n v="573"/>
    <n v="6"/>
    <x v="1"/>
    <s v="Tables"/>
    <s v="EMI"/>
    <d v="2023-05-27T00:00:00"/>
    <s v="Ashley Rodriguez"/>
    <x v="1"/>
    <x v="1"/>
    <d v="2023-05-01T00:00:00"/>
    <x v="2"/>
  </r>
  <r>
    <s v="B-26470"/>
    <n v="9683"/>
    <n v="1014"/>
    <n v="5"/>
    <x v="0"/>
    <s v="Printers"/>
    <s v="UPI"/>
    <d v="2023-05-27T00:00:00"/>
    <s v="Ashley Rodriguez"/>
    <x v="1"/>
    <x v="1"/>
    <d v="2023-05-01T00:00:00"/>
    <x v="2"/>
  </r>
  <r>
    <s v="B-26026"/>
    <n v="953"/>
    <n v="93"/>
    <n v="2"/>
    <x v="2"/>
    <s v="Paper"/>
    <s v="Debit Card"/>
    <d v="2023-04-06T00:00:00"/>
    <s v="Katherine Harris"/>
    <x v="0"/>
    <x v="0"/>
    <d v="2023-04-01T00:00:00"/>
    <x v="2"/>
  </r>
  <r>
    <s v="B-26026"/>
    <n v="7355"/>
    <n v="1034"/>
    <n v="3"/>
    <x v="1"/>
    <s v="Sofas"/>
    <s v="COD"/>
    <d v="2023-04-06T00:00:00"/>
    <s v="Katherine Harris"/>
    <x v="0"/>
    <x v="0"/>
    <d v="2023-04-01T00:00:00"/>
    <x v="2"/>
  </r>
  <r>
    <s v="B-26026"/>
    <n v="1843"/>
    <n v="248"/>
    <n v="3"/>
    <x v="0"/>
    <s v="Phones"/>
    <s v="Credit Card"/>
    <d v="2023-04-06T00:00:00"/>
    <s v="Katherine Harris"/>
    <x v="0"/>
    <x v="0"/>
    <d v="2023-04-01T00:00:00"/>
    <x v="2"/>
  </r>
  <r>
    <s v="B-26026"/>
    <n v="1603"/>
    <n v="361"/>
    <n v="10"/>
    <x v="2"/>
    <s v="Pens"/>
    <s v="Debit Card"/>
    <d v="2023-04-06T00:00:00"/>
    <s v="Katherine Harris"/>
    <x v="0"/>
    <x v="0"/>
    <d v="2023-04-01T00:00:00"/>
    <x v="2"/>
  </r>
  <r>
    <s v="B-25560"/>
    <n v="7533"/>
    <n v="3508"/>
    <n v="12"/>
    <x v="1"/>
    <s v="Tables"/>
    <s v="UPI"/>
    <d v="2023-07-13T00:00:00"/>
    <s v="Andrew Allen"/>
    <x v="0"/>
    <x v="17"/>
    <d v="2023-07-01T00:00:00"/>
    <x v="2"/>
  </r>
  <r>
    <s v="B-25560"/>
    <n v="4734"/>
    <n v="1178"/>
    <n v="16"/>
    <x v="2"/>
    <s v="Binders"/>
    <s v="Credit Card"/>
    <d v="2023-07-13T00:00:00"/>
    <s v="Andrew Allen"/>
    <x v="0"/>
    <x v="17"/>
    <d v="2023-07-01T00:00:00"/>
    <x v="2"/>
  </r>
  <r>
    <s v="B-25560"/>
    <n v="4074"/>
    <n v="1175"/>
    <n v="6"/>
    <x v="0"/>
    <s v="Electronic Games"/>
    <s v="Debit Card"/>
    <d v="2023-07-13T00:00:00"/>
    <s v="Andrew Allen"/>
    <x v="0"/>
    <x v="17"/>
    <d v="2023-07-01T00:00:00"/>
    <x v="2"/>
  </r>
  <r>
    <s v="B-25560"/>
    <n v="2334"/>
    <n v="484"/>
    <n v="3"/>
    <x v="1"/>
    <s v="Sofas"/>
    <s v="Credit Card"/>
    <d v="2023-07-13T00:00:00"/>
    <s v="Andrew Allen"/>
    <x v="0"/>
    <x v="17"/>
    <d v="2023-07-01T00:00:00"/>
    <x v="2"/>
  </r>
  <r>
    <s v="B-26795"/>
    <n v="5224"/>
    <n v="1958"/>
    <n v="16"/>
    <x v="1"/>
    <s v="Chairs"/>
    <s v="Credit Card"/>
    <d v="2023-07-16T00:00:00"/>
    <s v="Karen Townsend"/>
    <x v="1"/>
    <x v="15"/>
    <d v="2023-07-01T00:00:00"/>
    <x v="2"/>
  </r>
  <r>
    <s v="B-26795"/>
    <n v="5002"/>
    <n v="1801"/>
    <n v="11"/>
    <x v="2"/>
    <s v="Markers"/>
    <s v="Credit Card"/>
    <d v="2023-07-16T00:00:00"/>
    <s v="Karen Townsend"/>
    <x v="1"/>
    <x v="15"/>
    <d v="2023-07-01T00:00:00"/>
    <x v="2"/>
  </r>
  <r>
    <s v="B-26795"/>
    <n v="7380"/>
    <n v="1673"/>
    <n v="18"/>
    <x v="2"/>
    <s v="Markers"/>
    <s v="COD"/>
    <d v="2023-07-16T00:00:00"/>
    <s v="Karen Townsend"/>
    <x v="1"/>
    <x v="15"/>
    <d v="2023-07-01T00:00:00"/>
    <x v="2"/>
  </r>
  <r>
    <s v="B-25510"/>
    <n v="2478"/>
    <n v="92"/>
    <n v="12"/>
    <x v="1"/>
    <s v="Bookcases"/>
    <s v="COD"/>
    <d v="2023-05-08T00:00:00"/>
    <s v="Jason Randolph"/>
    <x v="0"/>
    <x v="2"/>
    <d v="2023-05-01T00:00:00"/>
    <x v="2"/>
  </r>
  <r>
    <s v="B-25510"/>
    <n v="2478"/>
    <n v="92"/>
    <n v="12"/>
    <x v="1"/>
    <s v="Bookcases"/>
    <s v="COD"/>
    <d v="2023-04-24T00:00:00"/>
    <s v="Anthony Evans"/>
    <x v="2"/>
    <x v="5"/>
    <d v="2023-04-01T00:00:00"/>
    <x v="2"/>
  </r>
  <r>
    <s v="B-25856"/>
    <n v="3428"/>
    <n v="350"/>
    <n v="1"/>
    <x v="1"/>
    <s v="Chairs"/>
    <s v="Credit Card"/>
    <d v="2023-02-28T00:00:00"/>
    <s v="Monica Gibson"/>
    <x v="5"/>
    <x v="10"/>
    <d v="2023-02-01T00:00:00"/>
    <x v="2"/>
  </r>
  <r>
    <s v="B-25856"/>
    <n v="7223"/>
    <n v="2433"/>
    <n v="12"/>
    <x v="2"/>
    <s v="Binders"/>
    <s v="Credit Card"/>
    <d v="2023-02-28T00:00:00"/>
    <s v="Monica Gibson"/>
    <x v="5"/>
    <x v="10"/>
    <d v="2023-02-01T00:00:00"/>
    <x v="2"/>
  </r>
  <r>
    <s v="B-25856"/>
    <n v="3731"/>
    <n v="647"/>
    <n v="1"/>
    <x v="2"/>
    <s v="Pens"/>
    <s v="Credit Card"/>
    <d v="2023-02-28T00:00:00"/>
    <s v="Monica Gibson"/>
    <x v="5"/>
    <x v="10"/>
    <d v="2023-02-01T00:00:00"/>
    <x v="2"/>
  </r>
  <r>
    <s v="B-25303"/>
    <n v="770"/>
    <n v="241"/>
    <n v="11"/>
    <x v="1"/>
    <s v="Sofas"/>
    <s v="COD"/>
    <d v="2023-03-04T00:00:00"/>
    <s v="Michelle Hunter"/>
    <x v="2"/>
    <x v="6"/>
    <d v="2023-03-01T00:00:00"/>
    <x v="2"/>
  </r>
  <r>
    <s v="B-26507"/>
    <n v="9895"/>
    <n v="1598"/>
    <n v="20"/>
    <x v="1"/>
    <s v="Bookcases"/>
    <s v="COD"/>
    <d v="2023-12-16T00:00:00"/>
    <s v="Janet Guerrero"/>
    <x v="4"/>
    <x v="12"/>
    <d v="2023-12-01T00:00:00"/>
    <x v="2"/>
  </r>
  <r>
    <s v="B-26698"/>
    <n v="1860"/>
    <n v="457"/>
    <n v="13"/>
    <x v="0"/>
    <s v="Printers"/>
    <s v="EMI"/>
    <d v="2023-09-20T00:00:00"/>
    <s v="Susan Ramirez"/>
    <x v="2"/>
    <x v="5"/>
    <d v="2023-09-01T00:00:00"/>
    <x v="2"/>
  </r>
  <r>
    <s v="B-26032"/>
    <n v="8346"/>
    <n v="1176"/>
    <n v="1"/>
    <x v="0"/>
    <s v="Phones"/>
    <s v="COD"/>
    <d v="2023-04-17T00:00:00"/>
    <s v="Eric Griffith"/>
    <x v="5"/>
    <x v="14"/>
    <d v="2023-04-01T00:00:00"/>
    <x v="2"/>
  </r>
  <r>
    <s v="B-26032"/>
    <n v="8346"/>
    <n v="1176"/>
    <n v="1"/>
    <x v="0"/>
    <s v="Phones"/>
    <s v="COD"/>
    <d v="2023-12-24T00:00:00"/>
    <s v="Anna Ferguson"/>
    <x v="0"/>
    <x v="2"/>
    <d v="2023-12-01T00:00:00"/>
    <x v="2"/>
  </r>
  <r>
    <s v="B-26032"/>
    <n v="6218"/>
    <n v="1125"/>
    <n v="5"/>
    <x v="1"/>
    <s v="Tables"/>
    <s v="Debit Card"/>
    <d v="2023-04-17T00:00:00"/>
    <s v="Eric Griffith"/>
    <x v="5"/>
    <x v="14"/>
    <d v="2023-04-01T00:00:00"/>
    <x v="2"/>
  </r>
  <r>
    <s v="B-26032"/>
    <n v="6218"/>
    <n v="1125"/>
    <n v="5"/>
    <x v="1"/>
    <s v="Tables"/>
    <s v="Debit Card"/>
    <d v="2023-12-24T00:00:00"/>
    <s v="Anna Ferguson"/>
    <x v="0"/>
    <x v="2"/>
    <d v="2023-12-01T00:00:00"/>
    <x v="2"/>
  </r>
  <r>
    <s v="B-26032"/>
    <n v="5167"/>
    <n v="253"/>
    <n v="14"/>
    <x v="0"/>
    <s v="Printers"/>
    <s v="Credit Card"/>
    <d v="2023-04-17T00:00:00"/>
    <s v="Eric Griffith"/>
    <x v="5"/>
    <x v="14"/>
    <d v="2023-04-01T00:00:00"/>
    <x v="2"/>
  </r>
  <r>
    <s v="B-26032"/>
    <n v="5167"/>
    <n v="253"/>
    <n v="14"/>
    <x v="0"/>
    <s v="Printers"/>
    <s v="Credit Card"/>
    <d v="2023-12-24T00:00:00"/>
    <s v="Anna Ferguson"/>
    <x v="0"/>
    <x v="2"/>
    <d v="2023-12-01T00:00:00"/>
    <x v="2"/>
  </r>
  <r>
    <s v="B-26032"/>
    <n v="2799"/>
    <n v="1239"/>
    <n v="5"/>
    <x v="1"/>
    <s v="Sofas"/>
    <s v="Debit Card"/>
    <d v="2023-04-17T00:00:00"/>
    <s v="Eric Griffith"/>
    <x v="5"/>
    <x v="14"/>
    <d v="2023-04-01T00:00:00"/>
    <x v="2"/>
  </r>
  <r>
    <s v="B-26032"/>
    <n v="2799"/>
    <n v="1239"/>
    <n v="5"/>
    <x v="1"/>
    <s v="Sofas"/>
    <s v="Debit Card"/>
    <d v="2023-12-24T00:00:00"/>
    <s v="Anna Ferguson"/>
    <x v="0"/>
    <x v="2"/>
    <d v="2023-12-01T00:00:00"/>
    <x v="2"/>
  </r>
  <r>
    <s v="B-26347"/>
    <n v="8586"/>
    <n v="3826"/>
    <n v="7"/>
    <x v="1"/>
    <s v="Bookcases"/>
    <s v="UPI"/>
    <d v="2023-07-07T00:00:00"/>
    <s v="Lance Cain"/>
    <x v="3"/>
    <x v="8"/>
    <d v="2023-07-01T00:00:00"/>
    <x v="2"/>
  </r>
  <r>
    <s v="B-25388"/>
    <n v="5047"/>
    <n v="2211"/>
    <n v="13"/>
    <x v="1"/>
    <s v="Sofas"/>
    <s v="EMI"/>
    <d v="2023-08-13T00:00:00"/>
    <s v="Alexandra Moran"/>
    <x v="0"/>
    <x v="2"/>
    <d v="2023-08-01T00:00:00"/>
    <x v="2"/>
  </r>
  <r>
    <s v="B-25004"/>
    <n v="9965"/>
    <n v="3033"/>
    <n v="16"/>
    <x v="2"/>
    <s v="Markers"/>
    <s v="COD"/>
    <d v="2023-09-01T00:00:00"/>
    <s v="Frank Garcia"/>
    <x v="4"/>
    <x v="9"/>
    <d v="2023-09-01T00:00:00"/>
    <x v="2"/>
  </r>
  <r>
    <s v="B-26213"/>
    <n v="1523"/>
    <n v="234"/>
    <n v="3"/>
    <x v="1"/>
    <s v="Sofas"/>
    <s v="UPI"/>
    <d v="2023-06-08T00:00:00"/>
    <s v="Terri Madden"/>
    <x v="4"/>
    <x v="12"/>
    <d v="2023-06-01T00:00:00"/>
    <x v="2"/>
  </r>
  <r>
    <s v="B-26213"/>
    <n v="9073"/>
    <n v="424"/>
    <n v="7"/>
    <x v="0"/>
    <s v="Electronic Games"/>
    <s v="Debit Card"/>
    <d v="2023-06-08T00:00:00"/>
    <s v="Terri Madden"/>
    <x v="4"/>
    <x v="12"/>
    <d v="2023-06-01T00:00:00"/>
    <x v="2"/>
  </r>
  <r>
    <s v="B-25861"/>
    <n v="9851"/>
    <n v="2669"/>
    <n v="19"/>
    <x v="0"/>
    <s v="Electronic Games"/>
    <s v="Debit Card"/>
    <d v="2023-07-15T00:00:00"/>
    <s v="Jennifer Chase"/>
    <x v="4"/>
    <x v="9"/>
    <d v="2023-07-01T00:00:00"/>
    <x v="2"/>
  </r>
  <r>
    <s v="B-25861"/>
    <n v="9989"/>
    <n v="3930"/>
    <n v="14"/>
    <x v="1"/>
    <s v="Tables"/>
    <s v="Debit Card"/>
    <d v="2023-07-15T00:00:00"/>
    <s v="Jennifer Chase"/>
    <x v="4"/>
    <x v="9"/>
    <d v="2023-07-01T00:00:00"/>
    <x v="2"/>
  </r>
  <r>
    <s v="B-25112"/>
    <n v="7421"/>
    <n v="958"/>
    <n v="10"/>
    <x v="1"/>
    <s v="Tables"/>
    <s v="COD"/>
    <d v="2023-01-29T00:00:00"/>
    <s v="Tyler Thompson"/>
    <x v="1"/>
    <x v="13"/>
    <d v="2023-01-01T00:00:00"/>
    <x v="2"/>
  </r>
  <r>
    <s v="B-25038"/>
    <n v="738"/>
    <n v="342"/>
    <n v="2"/>
    <x v="1"/>
    <s v="Chairs"/>
    <s v="Debit Card"/>
    <d v="2023-04-28T00:00:00"/>
    <s v="Terry Mcdaniel"/>
    <x v="2"/>
    <x v="6"/>
    <d v="2023-04-01T00:00:00"/>
    <x v="2"/>
  </r>
  <r>
    <s v="B-26672"/>
    <n v="1366"/>
    <n v="242"/>
    <n v="17"/>
    <x v="0"/>
    <s v="Electronic Games"/>
    <s v="EMI"/>
    <d v="2023-09-18T00:00:00"/>
    <s v="Renee Robinson"/>
    <x v="2"/>
    <x v="3"/>
    <d v="2023-09-01T00:00:00"/>
    <x v="2"/>
  </r>
  <r>
    <s v="B-26672"/>
    <n v="1518"/>
    <n v="155"/>
    <n v="13"/>
    <x v="2"/>
    <s v="Markers"/>
    <s v="Credit Card"/>
    <d v="2023-09-18T00:00:00"/>
    <s v="Renee Robinson"/>
    <x v="2"/>
    <x v="3"/>
    <d v="2023-09-01T00:00:00"/>
    <x v="2"/>
  </r>
  <r>
    <s v="B-25747"/>
    <n v="2962"/>
    <n v="1470"/>
    <n v="1"/>
    <x v="0"/>
    <s v="Phones"/>
    <s v="COD"/>
    <d v="2023-09-17T00:00:00"/>
    <s v="Nicholas Martin"/>
    <x v="3"/>
    <x v="8"/>
    <d v="2023-09-01T00:00:00"/>
    <x v="2"/>
  </r>
  <r>
    <s v="B-25747"/>
    <n v="7131"/>
    <n v="718"/>
    <n v="12"/>
    <x v="0"/>
    <s v="Printers"/>
    <s v="UPI"/>
    <d v="2023-09-17T00:00:00"/>
    <s v="Nicholas Martin"/>
    <x v="3"/>
    <x v="8"/>
    <d v="2023-09-01T00:00:00"/>
    <x v="2"/>
  </r>
  <r>
    <s v="B-25747"/>
    <n v="4200"/>
    <n v="855"/>
    <n v="10"/>
    <x v="2"/>
    <s v="Markers"/>
    <s v="EMI"/>
    <d v="2023-09-17T00:00:00"/>
    <s v="Nicholas Martin"/>
    <x v="3"/>
    <x v="8"/>
    <d v="2023-09-01T00:00:00"/>
    <x v="2"/>
  </r>
  <r>
    <s v="B-25894"/>
    <n v="8200"/>
    <n v="257"/>
    <n v="19"/>
    <x v="0"/>
    <s v="Laptops"/>
    <s v="COD"/>
    <d v="2023-03-21T00:00:00"/>
    <s v="Tammy Bell"/>
    <x v="2"/>
    <x v="6"/>
    <d v="2023-03-01T00:00:00"/>
    <x v="2"/>
  </r>
  <r>
    <s v="B-25894"/>
    <n v="9316"/>
    <n v="3003"/>
    <n v="13"/>
    <x v="1"/>
    <s v="Sofas"/>
    <s v="Credit Card"/>
    <d v="2023-03-21T00:00:00"/>
    <s v="Tammy Bell"/>
    <x v="2"/>
    <x v="6"/>
    <d v="2023-03-01T00:00:00"/>
    <x v="2"/>
  </r>
  <r>
    <s v="B-25894"/>
    <n v="6379"/>
    <n v="3128"/>
    <n v="15"/>
    <x v="0"/>
    <s v="Electronic Games"/>
    <s v="COD"/>
    <d v="2023-03-21T00:00:00"/>
    <s v="Tammy Bell"/>
    <x v="2"/>
    <x v="6"/>
    <d v="2023-03-01T00:00:00"/>
    <x v="2"/>
  </r>
  <r>
    <s v="B-26312"/>
    <n v="1760"/>
    <n v="619"/>
    <n v="16"/>
    <x v="1"/>
    <s v="Sofas"/>
    <s v="Debit Card"/>
    <d v="2023-01-28T00:00:00"/>
    <s v="Becky Hodges"/>
    <x v="1"/>
    <x v="15"/>
    <d v="2023-01-01T00:00:00"/>
    <x v="2"/>
  </r>
  <r>
    <s v="B-26312"/>
    <n v="6351"/>
    <n v="986"/>
    <n v="15"/>
    <x v="0"/>
    <s v="Printers"/>
    <s v="UPI"/>
    <d v="2023-01-28T00:00:00"/>
    <s v="Becky Hodges"/>
    <x v="1"/>
    <x v="15"/>
    <d v="2023-01-01T00:00:00"/>
    <x v="2"/>
  </r>
  <r>
    <s v="B-25701"/>
    <n v="1167"/>
    <n v="463"/>
    <n v="5"/>
    <x v="2"/>
    <s v="Pens"/>
    <s v="UPI"/>
    <d v="2023-09-13T00:00:00"/>
    <s v="Suzanne Cross"/>
    <x v="1"/>
    <x v="1"/>
    <d v="2023-09-01T00:00:00"/>
    <x v="2"/>
  </r>
  <r>
    <s v="B-25701"/>
    <n v="2841"/>
    <n v="803"/>
    <n v="20"/>
    <x v="0"/>
    <s v="Laptops"/>
    <s v="Credit Card"/>
    <d v="2023-09-13T00:00:00"/>
    <s v="Suzanne Cross"/>
    <x v="1"/>
    <x v="1"/>
    <d v="2023-09-01T00:00:00"/>
    <x v="2"/>
  </r>
  <r>
    <s v="B-25701"/>
    <n v="5680"/>
    <n v="2159"/>
    <n v="19"/>
    <x v="1"/>
    <s v="Tables"/>
    <s v="UPI"/>
    <d v="2023-09-13T00:00:00"/>
    <s v="Suzanne Cross"/>
    <x v="1"/>
    <x v="1"/>
    <d v="2023-09-01T00:00:00"/>
    <x v="2"/>
  </r>
  <r>
    <s v="B-25880"/>
    <n v="907"/>
    <n v="391"/>
    <n v="9"/>
    <x v="2"/>
    <s v="Pens"/>
    <s v="Credit Card"/>
    <d v="2023-08-04T00:00:00"/>
    <s v="Kaitlyn Graham MD"/>
    <x v="4"/>
    <x v="16"/>
    <d v="2023-08-01T00:00:00"/>
    <x v="2"/>
  </r>
  <r>
    <s v="B-26723"/>
    <n v="5322"/>
    <n v="1423"/>
    <n v="18"/>
    <x v="1"/>
    <s v="Sofas"/>
    <s v="COD"/>
    <d v="2023-12-09T00:00:00"/>
    <s v="James Jones"/>
    <x v="1"/>
    <x v="13"/>
    <d v="2023-12-01T00:00:00"/>
    <x v="2"/>
  </r>
  <r>
    <s v="B-26453"/>
    <n v="1231"/>
    <n v="214"/>
    <n v="20"/>
    <x v="0"/>
    <s v="Laptops"/>
    <s v="Debit Card"/>
    <d v="2023-01-17T00:00:00"/>
    <s v="Courtney Williams"/>
    <x v="2"/>
    <x v="3"/>
    <d v="2023-01-01T00:00:00"/>
    <x v="2"/>
  </r>
  <r>
    <s v="B-25843"/>
    <n v="7524"/>
    <n v="2308"/>
    <n v="15"/>
    <x v="0"/>
    <s v="Laptops"/>
    <s v="EMI"/>
    <d v="2023-12-07T00:00:00"/>
    <s v="Stephanie Hayes"/>
    <x v="1"/>
    <x v="1"/>
    <d v="2023-12-01T00:00:00"/>
    <x v="2"/>
  </r>
  <r>
    <s v="B-25843"/>
    <n v="6864"/>
    <n v="1824"/>
    <n v="14"/>
    <x v="0"/>
    <s v="Printers"/>
    <s v="Credit Card"/>
    <d v="2023-12-07T00:00:00"/>
    <s v="Stephanie Hayes"/>
    <x v="1"/>
    <x v="1"/>
    <d v="2023-12-01T00:00:00"/>
    <x v="2"/>
  </r>
  <r>
    <s v="B-26125"/>
    <n v="7690"/>
    <n v="1134"/>
    <n v="4"/>
    <x v="0"/>
    <s v="Electronic Games"/>
    <s v="COD"/>
    <d v="2023-10-13T00:00:00"/>
    <s v="Benjamin Higgins"/>
    <x v="4"/>
    <x v="12"/>
    <d v="2023-10-01T00:00:00"/>
    <x v="2"/>
  </r>
  <r>
    <s v="B-26125"/>
    <n v="912"/>
    <n v="246"/>
    <n v="2"/>
    <x v="1"/>
    <s v="Sofas"/>
    <s v="EMI"/>
    <d v="2023-10-13T00:00:00"/>
    <s v="Benjamin Higgins"/>
    <x v="4"/>
    <x v="12"/>
    <d v="2023-10-01T00:00:00"/>
    <x v="2"/>
  </r>
  <r>
    <s v="B-26489"/>
    <n v="2791"/>
    <n v="894"/>
    <n v="14"/>
    <x v="0"/>
    <s v="Laptops"/>
    <s v="COD"/>
    <d v="2023-10-27T00:00:00"/>
    <s v="Anna Blackburn"/>
    <x v="2"/>
    <x v="6"/>
    <d v="2023-10-01T00:00:00"/>
    <x v="2"/>
  </r>
  <r>
    <s v="B-26489"/>
    <n v="6223"/>
    <n v="1478"/>
    <n v="3"/>
    <x v="1"/>
    <s v="Sofas"/>
    <s v="Debit Card"/>
    <d v="2023-10-27T00:00:00"/>
    <s v="Anna Blackburn"/>
    <x v="2"/>
    <x v="6"/>
    <d v="2023-10-01T00:00:00"/>
    <x v="2"/>
  </r>
  <r>
    <s v="B-26489"/>
    <n v="8943"/>
    <n v="3121"/>
    <n v="17"/>
    <x v="1"/>
    <s v="Chairs"/>
    <s v="Debit Card"/>
    <d v="2023-10-27T00:00:00"/>
    <s v="Anna Blackburn"/>
    <x v="2"/>
    <x v="6"/>
    <d v="2023-10-01T00:00:00"/>
    <x v="2"/>
  </r>
  <r>
    <s v="B-26489"/>
    <n v="3297"/>
    <n v="102"/>
    <n v="12"/>
    <x v="0"/>
    <s v="Phones"/>
    <s v="Credit Card"/>
    <d v="2023-10-27T00:00:00"/>
    <s v="Anna Blackburn"/>
    <x v="2"/>
    <x v="6"/>
    <d v="2023-10-01T00:00:00"/>
    <x v="2"/>
  </r>
  <r>
    <s v="B-25545"/>
    <n v="3900"/>
    <n v="115"/>
    <n v="9"/>
    <x v="1"/>
    <s v="Chairs"/>
    <s v="COD"/>
    <d v="2023-10-07T00:00:00"/>
    <s v="Lawrence Oliver"/>
    <x v="5"/>
    <x v="10"/>
    <d v="2023-10-01T00:00:00"/>
    <x v="2"/>
  </r>
  <r>
    <s v="B-26299"/>
    <n v="1676"/>
    <n v="330"/>
    <n v="14"/>
    <x v="0"/>
    <s v="Laptops"/>
    <s v="EMI"/>
    <d v="2023-03-01T00:00:00"/>
    <s v="Lauren Harris"/>
    <x v="2"/>
    <x v="5"/>
    <d v="2023-03-01T00:00:00"/>
    <x v="2"/>
  </r>
  <r>
    <s v="B-26299"/>
    <n v="3927"/>
    <n v="1133"/>
    <n v="12"/>
    <x v="1"/>
    <s v="Bookcases"/>
    <s v="COD"/>
    <d v="2023-03-01T00:00:00"/>
    <s v="Lauren Harris"/>
    <x v="2"/>
    <x v="5"/>
    <d v="2023-03-01T00:00:00"/>
    <x v="2"/>
  </r>
  <r>
    <s v="B-26299"/>
    <n v="2776"/>
    <n v="887"/>
    <n v="9"/>
    <x v="0"/>
    <s v="Phones"/>
    <s v="Debit Card"/>
    <d v="2023-03-01T00:00:00"/>
    <s v="Lauren Harris"/>
    <x v="2"/>
    <x v="5"/>
    <d v="2023-03-01T00:00:00"/>
    <x v="2"/>
  </r>
  <r>
    <s v="B-26743"/>
    <n v="7684"/>
    <n v="1157"/>
    <n v="12"/>
    <x v="1"/>
    <s v="Sofas"/>
    <s v="COD"/>
    <d v="2023-08-21T00:00:00"/>
    <s v="Pamela Callahan DVM"/>
    <x v="2"/>
    <x v="3"/>
    <d v="2023-08-01T00:00:00"/>
    <x v="2"/>
  </r>
  <r>
    <s v="B-25849"/>
    <n v="2901"/>
    <n v="1411"/>
    <n v="2"/>
    <x v="2"/>
    <s v="Paper"/>
    <s v="Debit Card"/>
    <d v="2023-01-11T00:00:00"/>
    <s v="Sheri Berg"/>
    <x v="0"/>
    <x v="0"/>
    <d v="2023-01-01T00:00:00"/>
    <x v="2"/>
  </r>
  <r>
    <s v="B-25849"/>
    <n v="6934"/>
    <n v="1152"/>
    <n v="6"/>
    <x v="2"/>
    <s v="Pens"/>
    <s v="Credit Card"/>
    <d v="2023-01-11T00:00:00"/>
    <s v="Sheri Berg"/>
    <x v="0"/>
    <x v="0"/>
    <d v="2023-01-01T00:00:00"/>
    <x v="2"/>
  </r>
  <r>
    <s v="B-26065"/>
    <n v="7930"/>
    <n v="1981"/>
    <n v="13"/>
    <x v="1"/>
    <s v="Chairs"/>
    <s v="Credit Card"/>
    <d v="2023-05-04T00:00:00"/>
    <s v="Kaitlyn Flores"/>
    <x v="2"/>
    <x v="5"/>
    <d v="2023-05-01T00:00:00"/>
    <x v="2"/>
  </r>
  <r>
    <s v="B-26805"/>
    <n v="7664"/>
    <n v="1753"/>
    <n v="19"/>
    <x v="0"/>
    <s v="Phones"/>
    <s v="Debit Card"/>
    <d v="2023-06-15T00:00:00"/>
    <s v="Heather Gray"/>
    <x v="2"/>
    <x v="6"/>
    <d v="2023-06-01T00:00:00"/>
    <x v="2"/>
  </r>
  <r>
    <s v="B-25620"/>
    <n v="721"/>
    <n v="258"/>
    <n v="13"/>
    <x v="0"/>
    <s v="Laptops"/>
    <s v="Debit Card"/>
    <d v="2023-10-18T00:00:00"/>
    <s v="Benjamin Meadows"/>
    <x v="5"/>
    <x v="11"/>
    <d v="2023-10-01T00:00:00"/>
    <x v="2"/>
  </r>
  <r>
    <s v="B-25620"/>
    <n v="8364"/>
    <n v="3055"/>
    <n v="17"/>
    <x v="0"/>
    <s v="Laptops"/>
    <s v="Credit Card"/>
    <d v="2023-10-18T00:00:00"/>
    <s v="Benjamin Meadows"/>
    <x v="5"/>
    <x v="11"/>
    <d v="2023-10-01T00:00:00"/>
    <x v="2"/>
  </r>
  <r>
    <s v="B-25620"/>
    <n v="5234"/>
    <n v="2021"/>
    <n v="15"/>
    <x v="1"/>
    <s v="Bookcases"/>
    <s v="EMI"/>
    <d v="2023-10-18T00:00:00"/>
    <s v="Benjamin Meadows"/>
    <x v="5"/>
    <x v="11"/>
    <d v="2023-10-01T00:00:00"/>
    <x v="2"/>
  </r>
  <r>
    <s v="B-26195"/>
    <n v="874"/>
    <n v="235"/>
    <n v="15"/>
    <x v="2"/>
    <s v="Binders"/>
    <s v="Debit Card"/>
    <d v="2023-05-29T00:00:00"/>
    <s v="Bryan Brown"/>
    <x v="4"/>
    <x v="12"/>
    <d v="2023-05-01T00:00:00"/>
    <x v="2"/>
  </r>
  <r>
    <s v="B-26224"/>
    <n v="5564"/>
    <n v="175"/>
    <n v="11"/>
    <x v="0"/>
    <s v="Laptops"/>
    <s v="COD"/>
    <d v="2023-01-22T00:00:00"/>
    <s v="Mitchell Lester"/>
    <x v="5"/>
    <x v="14"/>
    <d v="2023-01-01T00:00:00"/>
    <x v="2"/>
  </r>
  <r>
    <s v="B-26224"/>
    <n v="5564"/>
    <n v="175"/>
    <n v="11"/>
    <x v="0"/>
    <s v="Laptops"/>
    <s v="COD"/>
    <d v="2023-12-13T00:00:00"/>
    <s v="Juan Kelly"/>
    <x v="3"/>
    <x v="7"/>
    <d v="2023-12-01T00:00:00"/>
    <x v="2"/>
  </r>
  <r>
    <s v="B-26224"/>
    <n v="3953"/>
    <n v="1776"/>
    <n v="15"/>
    <x v="0"/>
    <s v="Electronic Games"/>
    <s v="UPI"/>
    <d v="2023-01-22T00:00:00"/>
    <s v="Mitchell Lester"/>
    <x v="5"/>
    <x v="14"/>
    <d v="2023-01-01T00:00:00"/>
    <x v="2"/>
  </r>
  <r>
    <s v="B-26224"/>
    <n v="3953"/>
    <n v="1776"/>
    <n v="15"/>
    <x v="0"/>
    <s v="Electronic Games"/>
    <s v="UPI"/>
    <d v="2023-12-13T00:00:00"/>
    <s v="Juan Kelly"/>
    <x v="3"/>
    <x v="7"/>
    <d v="2023-12-01T00:00:00"/>
    <x v="2"/>
  </r>
  <r>
    <s v="B-26896"/>
    <n v="6488"/>
    <n v="1591"/>
    <n v="18"/>
    <x v="0"/>
    <s v="Printers"/>
    <s v="EMI"/>
    <d v="2023-05-24T00:00:00"/>
    <s v="Morgan Mccarthy"/>
    <x v="1"/>
    <x v="13"/>
    <d v="2023-05-01T00:00:00"/>
    <x v="2"/>
  </r>
  <r>
    <s v="B-26119"/>
    <n v="3956"/>
    <n v="142"/>
    <n v="12"/>
    <x v="2"/>
    <s v="Pens"/>
    <s v="Debit Card"/>
    <d v="2023-09-20T00:00:00"/>
    <s v="Jeffrey Henderson"/>
    <x v="3"/>
    <x v="8"/>
    <d v="2023-09-01T00:00:00"/>
    <x v="2"/>
  </r>
  <r>
    <s v="B-26119"/>
    <n v="6449"/>
    <n v="2628"/>
    <n v="11"/>
    <x v="1"/>
    <s v="Bookcases"/>
    <s v="EMI"/>
    <d v="2023-09-20T00:00:00"/>
    <s v="Jeffrey Henderson"/>
    <x v="3"/>
    <x v="8"/>
    <d v="2023-09-01T00:00:00"/>
    <x v="2"/>
  </r>
  <r>
    <s v="B-25423"/>
    <n v="6385"/>
    <n v="2656"/>
    <n v="11"/>
    <x v="0"/>
    <s v="Printers"/>
    <s v="Credit Card"/>
    <d v="2023-03-18T00:00:00"/>
    <s v="Matthew Kelley"/>
    <x v="3"/>
    <x v="4"/>
    <d v="2023-03-01T00:00:00"/>
    <x v="2"/>
  </r>
  <r>
    <s v="B-26324"/>
    <n v="6355"/>
    <n v="1335"/>
    <n v="15"/>
    <x v="0"/>
    <s v="Electronic Games"/>
    <s v="Debit Card"/>
    <d v="2023-08-31T00:00:00"/>
    <s v="Jacob Mann"/>
    <x v="1"/>
    <x v="1"/>
    <d v="2023-08-01T00:00:00"/>
    <x v="2"/>
  </r>
  <r>
    <s v="B-25962"/>
    <n v="4202"/>
    <n v="1171"/>
    <n v="3"/>
    <x v="2"/>
    <s v="Markers"/>
    <s v="COD"/>
    <d v="2023-11-06T00:00:00"/>
    <s v="William Wu"/>
    <x v="3"/>
    <x v="8"/>
    <d v="2023-11-01T00:00:00"/>
    <x v="2"/>
  </r>
  <r>
    <s v="B-25962"/>
    <n v="4202"/>
    <n v="1171"/>
    <n v="3"/>
    <x v="2"/>
    <s v="Markers"/>
    <s v="COD"/>
    <d v="2023-11-12T00:00:00"/>
    <s v="Jesus Zuniga"/>
    <x v="1"/>
    <x v="15"/>
    <d v="2023-11-01T00:00:00"/>
    <x v="2"/>
  </r>
  <r>
    <s v="B-26586"/>
    <n v="2239"/>
    <n v="828"/>
    <n v="1"/>
    <x v="0"/>
    <s v="Printers"/>
    <s v="UPI"/>
    <d v="2023-06-26T00:00:00"/>
    <s v="Michael Gallegos"/>
    <x v="0"/>
    <x v="0"/>
    <d v="2023-06-01T00:00:00"/>
    <x v="2"/>
  </r>
  <r>
    <s v="B-26586"/>
    <n v="2239"/>
    <n v="828"/>
    <n v="1"/>
    <x v="0"/>
    <s v="Printers"/>
    <s v="UPI"/>
    <d v="2023-09-30T00:00:00"/>
    <s v="Robert Daniels"/>
    <x v="5"/>
    <x v="14"/>
    <d v="2023-09-01T00:00:00"/>
    <x v="2"/>
  </r>
  <r>
    <s v="B-26586"/>
    <n v="2450"/>
    <n v="1002"/>
    <n v="4"/>
    <x v="0"/>
    <s v="Phones"/>
    <s v="Debit Card"/>
    <d v="2023-06-26T00:00:00"/>
    <s v="Michael Gallegos"/>
    <x v="0"/>
    <x v="0"/>
    <d v="2023-06-01T00:00:00"/>
    <x v="2"/>
  </r>
  <r>
    <s v="B-26586"/>
    <n v="2450"/>
    <n v="1002"/>
    <n v="4"/>
    <x v="0"/>
    <s v="Phones"/>
    <s v="Debit Card"/>
    <d v="2023-09-30T00:00:00"/>
    <s v="Robert Daniels"/>
    <x v="5"/>
    <x v="14"/>
    <d v="2023-09-01T00:00:00"/>
    <x v="2"/>
  </r>
  <r>
    <s v="B-26284"/>
    <n v="5152"/>
    <n v="2045"/>
    <n v="14"/>
    <x v="0"/>
    <s v="Phones"/>
    <s v="UPI"/>
    <d v="2023-08-23T00:00:00"/>
    <s v="Larry Casey"/>
    <x v="5"/>
    <x v="14"/>
    <d v="2023-08-01T00:00:00"/>
    <x v="2"/>
  </r>
  <r>
    <s v="B-26284"/>
    <n v="5152"/>
    <n v="2045"/>
    <n v="14"/>
    <x v="0"/>
    <s v="Phones"/>
    <s v="UPI"/>
    <d v="2023-10-11T00:00:00"/>
    <s v="Daniel Burns"/>
    <x v="4"/>
    <x v="12"/>
    <d v="2023-10-01T00:00:00"/>
    <x v="2"/>
  </r>
  <r>
    <s v="B-26679"/>
    <n v="8102"/>
    <n v="1800"/>
    <n v="5"/>
    <x v="2"/>
    <s v="Markers"/>
    <s v="UPI"/>
    <d v="2023-09-14T00:00:00"/>
    <s v="Leonard Gonzalez"/>
    <x v="0"/>
    <x v="2"/>
    <d v="2023-09-01T00:00:00"/>
    <x v="2"/>
  </r>
  <r>
    <s v="B-26679"/>
    <n v="3234"/>
    <n v="1274"/>
    <n v="10"/>
    <x v="1"/>
    <s v="Tables"/>
    <s v="EMI"/>
    <d v="2023-09-14T00:00:00"/>
    <s v="Leonard Gonzalez"/>
    <x v="0"/>
    <x v="2"/>
    <d v="2023-09-01T00:00:00"/>
    <x v="2"/>
  </r>
  <r>
    <s v="B-26251"/>
    <n v="883"/>
    <n v="127"/>
    <n v="7"/>
    <x v="1"/>
    <s v="Chairs"/>
    <s v="COD"/>
    <d v="2023-06-04T00:00:00"/>
    <s v="Brenda Murphy"/>
    <x v="0"/>
    <x v="2"/>
    <d v="2023-06-01T00:00:00"/>
    <x v="2"/>
  </r>
  <r>
    <s v="B-26251"/>
    <n v="4539"/>
    <n v="1155"/>
    <n v="8"/>
    <x v="1"/>
    <s v="Bookcases"/>
    <s v="Debit Card"/>
    <d v="2023-06-04T00:00:00"/>
    <s v="Brenda Murphy"/>
    <x v="0"/>
    <x v="2"/>
    <d v="2023-06-01T00:00:00"/>
    <x v="2"/>
  </r>
  <r>
    <s v="B-26251"/>
    <n v="9659"/>
    <n v="2226"/>
    <n v="16"/>
    <x v="2"/>
    <s v="Binders"/>
    <s v="Debit Card"/>
    <d v="2023-06-04T00:00:00"/>
    <s v="Brenda Murphy"/>
    <x v="0"/>
    <x v="2"/>
    <d v="2023-06-01T00:00:00"/>
    <x v="2"/>
  </r>
  <r>
    <s v="B-25437"/>
    <n v="4688"/>
    <n v="1841"/>
    <n v="3"/>
    <x v="0"/>
    <s v="Laptops"/>
    <s v="Credit Card"/>
    <d v="2023-01-23T00:00:00"/>
    <s v="Justin Thomas"/>
    <x v="0"/>
    <x v="2"/>
    <d v="2023-01-01T00:00:00"/>
    <x v="2"/>
  </r>
  <r>
    <s v="B-25222"/>
    <n v="4852"/>
    <n v="218"/>
    <n v="2"/>
    <x v="1"/>
    <s v="Tables"/>
    <s v="EMI"/>
    <d v="2023-09-07T00:00:00"/>
    <s v="Brandon Norton"/>
    <x v="5"/>
    <x v="10"/>
    <d v="2023-09-01T00:00:00"/>
    <x v="2"/>
  </r>
  <r>
    <s v="B-26114"/>
    <n v="6252"/>
    <n v="1377"/>
    <n v="2"/>
    <x v="0"/>
    <s v="Printers"/>
    <s v="EMI"/>
    <d v="2023-06-01T00:00:00"/>
    <s v="Sarah Montgomery"/>
    <x v="5"/>
    <x v="14"/>
    <d v="2023-06-01T00:00:00"/>
    <x v="2"/>
  </r>
  <r>
    <s v="B-26485"/>
    <n v="9084"/>
    <n v="3253"/>
    <n v="12"/>
    <x v="2"/>
    <s v="Pens"/>
    <s v="Debit Card"/>
    <d v="2023-11-05T00:00:00"/>
    <s v="Marisa Prince"/>
    <x v="4"/>
    <x v="9"/>
    <d v="2023-11-01T00:00:00"/>
    <x v="2"/>
  </r>
  <r>
    <s v="B-25166"/>
    <n v="1133"/>
    <n v="73"/>
    <n v="17"/>
    <x v="1"/>
    <s v="Chairs"/>
    <s v="UPI"/>
    <d v="2023-02-23T00:00:00"/>
    <s v="Richard Castaneda"/>
    <x v="2"/>
    <x v="5"/>
    <d v="2023-02-01T00:00:00"/>
    <x v="2"/>
  </r>
  <r>
    <s v="B-25166"/>
    <n v="6248"/>
    <n v="1168"/>
    <n v="19"/>
    <x v="1"/>
    <s v="Bookcases"/>
    <s v="COD"/>
    <d v="2023-02-23T00:00:00"/>
    <s v="Richard Castaneda"/>
    <x v="2"/>
    <x v="5"/>
    <d v="2023-02-01T00:00:00"/>
    <x v="2"/>
  </r>
  <r>
    <s v="B-26215"/>
    <n v="4171"/>
    <n v="1450"/>
    <n v="18"/>
    <x v="2"/>
    <s v="Markers"/>
    <s v="COD"/>
    <d v="2023-04-07T00:00:00"/>
    <s v="Richard Lyons"/>
    <x v="1"/>
    <x v="13"/>
    <d v="2023-04-01T00:00:00"/>
    <x v="2"/>
  </r>
  <r>
    <s v="B-26726"/>
    <n v="7213"/>
    <n v="508"/>
    <n v="19"/>
    <x v="0"/>
    <s v="Electronic Games"/>
    <s v="Debit Card"/>
    <d v="2023-08-17T00:00:00"/>
    <s v="Brandon Hughes"/>
    <x v="1"/>
    <x v="13"/>
    <d v="2023-08-01T00:00:00"/>
    <x v="2"/>
  </r>
  <r>
    <s v="B-26726"/>
    <n v="3176"/>
    <n v="586"/>
    <n v="9"/>
    <x v="1"/>
    <s v="Tables"/>
    <s v="EMI"/>
    <d v="2023-08-17T00:00:00"/>
    <s v="Brandon Hughes"/>
    <x v="1"/>
    <x v="13"/>
    <d v="2023-08-01T00:00:00"/>
    <x v="2"/>
  </r>
  <r>
    <s v="B-25266"/>
    <n v="4164"/>
    <n v="905"/>
    <n v="11"/>
    <x v="0"/>
    <s v="Phones"/>
    <s v="COD"/>
    <d v="2023-12-04T00:00:00"/>
    <s v="Lori Adkins"/>
    <x v="0"/>
    <x v="17"/>
    <d v="2023-12-01T00:00:00"/>
    <x v="2"/>
  </r>
  <r>
    <s v="B-25266"/>
    <n v="5389"/>
    <n v="2196"/>
    <n v="5"/>
    <x v="1"/>
    <s v="Tables"/>
    <s v="UPI"/>
    <d v="2023-12-04T00:00:00"/>
    <s v="Lori Adkins"/>
    <x v="0"/>
    <x v="17"/>
    <d v="2023-12-01T00:00:00"/>
    <x v="2"/>
  </r>
  <r>
    <s v="B-25669"/>
    <n v="5899"/>
    <n v="2264"/>
    <n v="6"/>
    <x v="2"/>
    <s v="Binders"/>
    <s v="EMI"/>
    <d v="2023-10-20T00:00:00"/>
    <s v="Adam Stevens"/>
    <x v="4"/>
    <x v="9"/>
    <d v="2023-10-01T00:00:00"/>
    <x v="2"/>
  </r>
  <r>
    <s v="B-25064"/>
    <n v="6109"/>
    <n v="3040"/>
    <n v="9"/>
    <x v="1"/>
    <s v="Chairs"/>
    <s v="EMI"/>
    <d v="2023-10-05T00:00:00"/>
    <s v="Kelly Jones"/>
    <x v="4"/>
    <x v="12"/>
    <d v="2023-10-01T00:00:00"/>
    <x v="2"/>
  </r>
  <r>
    <s v="B-25064"/>
    <n v="4628"/>
    <n v="1491"/>
    <n v="17"/>
    <x v="0"/>
    <s v="Electronic Games"/>
    <s v="UPI"/>
    <d v="2023-10-05T00:00:00"/>
    <s v="Kelly Jones"/>
    <x v="4"/>
    <x v="12"/>
    <d v="2023-10-01T00:00:00"/>
    <x v="2"/>
  </r>
  <r>
    <s v="B-26552"/>
    <n v="2804"/>
    <n v="936"/>
    <n v="10"/>
    <x v="0"/>
    <s v="Electronic Games"/>
    <s v="Credit Card"/>
    <d v="2023-05-03T00:00:00"/>
    <s v="Mrs. Rachel Cannon DDS"/>
    <x v="3"/>
    <x v="8"/>
    <d v="2023-05-01T00:00:00"/>
    <x v="2"/>
  </r>
  <r>
    <s v="B-25552"/>
    <n v="1732"/>
    <n v="766"/>
    <n v="7"/>
    <x v="2"/>
    <s v="Binders"/>
    <s v="UPI"/>
    <d v="2023-02-28T00:00:00"/>
    <s v="Danny Ramirez"/>
    <x v="4"/>
    <x v="16"/>
    <d v="2023-02-01T00:00:00"/>
    <x v="2"/>
  </r>
  <r>
    <s v="B-25552"/>
    <n v="8788"/>
    <n v="3944"/>
    <n v="19"/>
    <x v="2"/>
    <s v="Paper"/>
    <s v="EMI"/>
    <d v="2023-02-28T00:00:00"/>
    <s v="Danny Ramirez"/>
    <x v="4"/>
    <x v="16"/>
    <d v="2023-02-01T00:00:00"/>
    <x v="2"/>
  </r>
  <r>
    <s v="B-25120"/>
    <n v="7122"/>
    <n v="1836"/>
    <n v="6"/>
    <x v="0"/>
    <s v="Phones"/>
    <s v="Debit Card"/>
    <d v="2023-03-10T00:00:00"/>
    <s v="Julia Gallagher"/>
    <x v="1"/>
    <x v="15"/>
    <d v="2023-03-01T00:00:00"/>
    <x v="2"/>
  </r>
  <r>
    <s v="B-25120"/>
    <n v="7122"/>
    <n v="1836"/>
    <n v="6"/>
    <x v="0"/>
    <s v="Phones"/>
    <s v="Debit Card"/>
    <d v="2023-07-10T00:00:00"/>
    <s v="Ronald Frey Jr."/>
    <x v="4"/>
    <x v="16"/>
    <d v="2023-07-01T00:00:00"/>
    <x v="2"/>
  </r>
  <r>
    <s v="B-25120"/>
    <n v="7327"/>
    <n v="2596"/>
    <n v="15"/>
    <x v="2"/>
    <s v="Markers"/>
    <s v="Credit Card"/>
    <d v="2023-03-10T00:00:00"/>
    <s v="Julia Gallagher"/>
    <x v="1"/>
    <x v="15"/>
    <d v="2023-03-01T00:00:00"/>
    <x v="2"/>
  </r>
  <r>
    <s v="B-25120"/>
    <n v="7327"/>
    <n v="2596"/>
    <n v="15"/>
    <x v="2"/>
    <s v="Markers"/>
    <s v="Credit Card"/>
    <d v="2023-07-10T00:00:00"/>
    <s v="Ronald Frey Jr."/>
    <x v="4"/>
    <x v="16"/>
    <d v="2023-07-01T00:00:00"/>
    <x v="2"/>
  </r>
  <r>
    <s v="B-25549"/>
    <n v="4609"/>
    <n v="1084"/>
    <n v="8"/>
    <x v="0"/>
    <s v="Printers"/>
    <s v="UPI"/>
    <d v="2023-07-30T00:00:00"/>
    <s v="Amy Duran MD"/>
    <x v="3"/>
    <x v="4"/>
    <d v="2023-07-01T00:00:00"/>
    <x v="2"/>
  </r>
  <r>
    <s v="B-25549"/>
    <n v="2328"/>
    <n v="788"/>
    <n v="4"/>
    <x v="2"/>
    <s v="Paper"/>
    <s v="UPI"/>
    <d v="2023-07-30T00:00:00"/>
    <s v="Amy Duran MD"/>
    <x v="3"/>
    <x v="4"/>
    <d v="2023-07-01T00:00:00"/>
    <x v="2"/>
  </r>
  <r>
    <s v="B-25549"/>
    <n v="4734"/>
    <n v="958"/>
    <n v="7"/>
    <x v="0"/>
    <s v="Printers"/>
    <s v="Debit Card"/>
    <d v="2023-07-30T00:00:00"/>
    <s v="Amy Duran MD"/>
    <x v="3"/>
    <x v="4"/>
    <d v="2023-07-01T00:00:00"/>
    <x v="2"/>
  </r>
  <r>
    <s v="B-25703"/>
    <n v="9438"/>
    <n v="1801"/>
    <n v="4"/>
    <x v="0"/>
    <s v="Electronic Games"/>
    <s v="COD"/>
    <d v="2023-04-19T00:00:00"/>
    <s v="Steven Acosta"/>
    <x v="3"/>
    <x v="4"/>
    <d v="2023-04-01T00:00:00"/>
    <x v="2"/>
  </r>
  <r>
    <s v="B-25703"/>
    <n v="9438"/>
    <n v="1801"/>
    <n v="4"/>
    <x v="0"/>
    <s v="Electronic Games"/>
    <s v="COD"/>
    <d v="2023-10-29T00:00:00"/>
    <s v="Lindsay Jackson"/>
    <x v="1"/>
    <x v="1"/>
    <d v="2023-10-01T00:00:00"/>
    <x v="2"/>
  </r>
  <r>
    <s v="B-26580"/>
    <n v="4007"/>
    <n v="201"/>
    <n v="13"/>
    <x v="1"/>
    <s v="Bookcases"/>
    <s v="COD"/>
    <d v="2023-04-17T00:00:00"/>
    <s v="Kyle Dickson"/>
    <x v="1"/>
    <x v="13"/>
    <d v="2023-04-01T00:00:00"/>
    <x v="2"/>
  </r>
  <r>
    <s v="B-26034"/>
    <n v="9789"/>
    <n v="2071"/>
    <n v="18"/>
    <x v="1"/>
    <s v="Bookcases"/>
    <s v="Debit Card"/>
    <d v="2023-12-28T00:00:00"/>
    <s v="Aaron Johnson"/>
    <x v="4"/>
    <x v="12"/>
    <d v="2023-12-01T00:00:00"/>
    <x v="2"/>
  </r>
  <r>
    <s v="B-26034"/>
    <n v="9229"/>
    <n v="4090"/>
    <n v="8"/>
    <x v="0"/>
    <s v="Electronic Games"/>
    <s v="COD"/>
    <d v="2023-12-28T00:00:00"/>
    <s v="Aaron Johnson"/>
    <x v="4"/>
    <x v="12"/>
    <d v="2023-12-01T00:00:00"/>
    <x v="2"/>
  </r>
  <r>
    <s v="B-25830"/>
    <n v="3839"/>
    <n v="1415"/>
    <n v="10"/>
    <x v="2"/>
    <s v="Binders"/>
    <s v="UPI"/>
    <d v="2023-10-17T00:00:00"/>
    <s v="Vincent Roth"/>
    <x v="0"/>
    <x v="0"/>
    <d v="2023-10-01T00:00:00"/>
    <x v="2"/>
  </r>
  <r>
    <s v="B-25507"/>
    <n v="6392"/>
    <n v="444"/>
    <n v="18"/>
    <x v="0"/>
    <s v="Electronic Games"/>
    <s v="Credit Card"/>
    <d v="2023-11-28T00:00:00"/>
    <s v="Debra Rodriguez"/>
    <x v="3"/>
    <x v="8"/>
    <d v="2023-11-01T00:00:00"/>
    <x v="2"/>
  </r>
  <r>
    <s v="B-25465"/>
    <n v="717"/>
    <n v="158"/>
    <n v="16"/>
    <x v="1"/>
    <s v="Tables"/>
    <s v="Credit Card"/>
    <d v="2023-10-24T00:00:00"/>
    <s v="Sylvia Barron"/>
    <x v="4"/>
    <x v="12"/>
    <d v="2023-10-01T00:00:00"/>
    <x v="2"/>
  </r>
  <r>
    <s v="B-25465"/>
    <n v="508"/>
    <n v="177"/>
    <n v="17"/>
    <x v="1"/>
    <s v="Sofas"/>
    <s v="UPI"/>
    <d v="2023-10-24T00:00:00"/>
    <s v="Sylvia Barron"/>
    <x v="4"/>
    <x v="12"/>
    <d v="2023-10-01T00:00:00"/>
    <x v="2"/>
  </r>
  <r>
    <s v="B-26352"/>
    <n v="9382"/>
    <n v="1085"/>
    <n v="3"/>
    <x v="0"/>
    <s v="Printers"/>
    <s v="Debit Card"/>
    <d v="2023-07-18T00:00:00"/>
    <s v="Marcus Brown"/>
    <x v="5"/>
    <x v="14"/>
    <d v="2023-07-01T00:00:00"/>
    <x v="2"/>
  </r>
  <r>
    <s v="B-26352"/>
    <n v="4936"/>
    <n v="576"/>
    <n v="19"/>
    <x v="1"/>
    <s v="Tables"/>
    <s v="COD"/>
    <d v="2023-07-18T00:00:00"/>
    <s v="Marcus Brown"/>
    <x v="5"/>
    <x v="14"/>
    <d v="2023-07-01T00:00:00"/>
    <x v="2"/>
  </r>
  <r>
    <s v="B-25331"/>
    <n v="2514"/>
    <n v="95"/>
    <n v="8"/>
    <x v="2"/>
    <s v="Pens"/>
    <s v="UPI"/>
    <d v="2023-07-17T00:00:00"/>
    <s v="Miguel Alvarez"/>
    <x v="4"/>
    <x v="12"/>
    <d v="2023-07-01T00:00:00"/>
    <x v="2"/>
  </r>
  <r>
    <s v="B-25065"/>
    <n v="6596"/>
    <n v="1439"/>
    <n v="9"/>
    <x v="2"/>
    <s v="Paper"/>
    <s v="Debit Card"/>
    <d v="2023-05-03T00:00:00"/>
    <s v="Craig Ortega"/>
    <x v="2"/>
    <x v="6"/>
    <d v="2023-05-01T00:00:00"/>
    <x v="2"/>
  </r>
  <r>
    <s v="B-25949"/>
    <n v="4510"/>
    <n v="1896"/>
    <n v="5"/>
    <x v="2"/>
    <s v="Paper"/>
    <s v="EMI"/>
    <d v="2023-10-25T00:00:00"/>
    <s v="Johnny Simon"/>
    <x v="0"/>
    <x v="0"/>
    <d v="2023-10-01T00:00:00"/>
    <x v="2"/>
  </r>
  <r>
    <s v="B-26926"/>
    <n v="4629"/>
    <n v="1660"/>
    <n v="16"/>
    <x v="2"/>
    <s v="Markers"/>
    <s v="EMI"/>
    <d v="2023-04-02T00:00:00"/>
    <s v="Steven Herrera"/>
    <x v="0"/>
    <x v="17"/>
    <d v="2023-04-01T00:00:00"/>
    <x v="2"/>
  </r>
  <r>
    <s v="B-26894"/>
    <n v="8769"/>
    <n v="3178"/>
    <n v="16"/>
    <x v="2"/>
    <s v="Markers"/>
    <s v="Debit Card"/>
    <d v="2023-01-20T00:00:00"/>
    <s v="Adam James"/>
    <x v="5"/>
    <x v="14"/>
    <d v="2023-01-01T00:00:00"/>
    <x v="2"/>
  </r>
  <r>
    <s v="B-25153"/>
    <n v="8526"/>
    <n v="1704"/>
    <n v="4"/>
    <x v="2"/>
    <s v="Binders"/>
    <s v="Debit Card"/>
    <d v="2023-03-21T00:00:00"/>
    <s v="Patricia Sanford"/>
    <x v="1"/>
    <x v="1"/>
    <d v="2023-03-01T00:00:00"/>
    <x v="2"/>
  </r>
  <r>
    <s v="B-26576"/>
    <n v="8218"/>
    <n v="1430"/>
    <n v="19"/>
    <x v="1"/>
    <s v="Bookcases"/>
    <s v="Credit Card"/>
    <d v="2023-06-08T00:00:00"/>
    <s v="William Walters"/>
    <x v="0"/>
    <x v="2"/>
    <d v="2023-06-01T00:00:00"/>
    <x v="2"/>
  </r>
  <r>
    <s v="B-25819"/>
    <n v="2589"/>
    <n v="605"/>
    <n v="11"/>
    <x v="2"/>
    <s v="Pens"/>
    <s v="EMI"/>
    <d v="2023-11-02T00:00:00"/>
    <s v="Robert Rojas"/>
    <x v="0"/>
    <x v="2"/>
    <d v="2023-11-01T00:00:00"/>
    <x v="2"/>
  </r>
  <r>
    <s v="B-26537"/>
    <n v="3260"/>
    <n v="207"/>
    <n v="17"/>
    <x v="1"/>
    <s v="Tables"/>
    <s v="UPI"/>
    <d v="2023-12-21T00:00:00"/>
    <s v="Tanya Walker"/>
    <x v="0"/>
    <x v="17"/>
    <d v="2023-12-01T00:00:00"/>
    <x v="2"/>
  </r>
  <r>
    <s v="B-25237"/>
    <n v="5250"/>
    <n v="187"/>
    <n v="1"/>
    <x v="2"/>
    <s v="Binders"/>
    <s v="COD"/>
    <d v="2023-05-14T00:00:00"/>
    <s v="David Hamilton"/>
    <x v="1"/>
    <x v="15"/>
    <d v="2023-05-01T00:00:00"/>
    <x v="2"/>
  </r>
  <r>
    <s v="B-25006"/>
    <n v="5831"/>
    <n v="1574"/>
    <n v="17"/>
    <x v="2"/>
    <s v="Pens"/>
    <s v="Debit Card"/>
    <d v="2023-07-16T00:00:00"/>
    <s v="Tiffany Robinson"/>
    <x v="3"/>
    <x v="7"/>
    <d v="2023-07-01T00:00:00"/>
    <x v="2"/>
  </r>
  <r>
    <s v="B-26863"/>
    <n v="4037"/>
    <n v="1494"/>
    <n v="15"/>
    <x v="1"/>
    <s v="Chairs"/>
    <s v="EMI"/>
    <d v="2023-04-01T00:00:00"/>
    <s v="Brenda Davis"/>
    <x v="0"/>
    <x v="2"/>
    <d v="2023-04-01T00:00:00"/>
    <x v="2"/>
  </r>
  <r>
    <s v="B-26357"/>
    <n v="9879"/>
    <n v="4930"/>
    <n v="15"/>
    <x v="0"/>
    <s v="Laptops"/>
    <s v="Debit Card"/>
    <d v="2023-06-08T00:00:00"/>
    <s v="Brandi Vasquez"/>
    <x v="4"/>
    <x v="12"/>
    <d v="2023-06-01T00:00:00"/>
    <x v="2"/>
  </r>
  <r>
    <s v="B-26842"/>
    <n v="6402"/>
    <n v="2770"/>
    <n v="19"/>
    <x v="2"/>
    <s v="Markers"/>
    <s v="Debit Card"/>
    <d v="2023-10-05T00:00:00"/>
    <s v="Ashley Adams MD"/>
    <x v="3"/>
    <x v="4"/>
    <d v="2023-10-01T00:00:00"/>
    <x v="2"/>
  </r>
  <r>
    <s v="B-26842"/>
    <n v="5916"/>
    <n v="1594"/>
    <n v="19"/>
    <x v="0"/>
    <s v="Printers"/>
    <s v="Debit Card"/>
    <d v="2023-10-05T00:00:00"/>
    <s v="Ashley Adams MD"/>
    <x v="3"/>
    <x v="4"/>
    <d v="2023-10-01T00:00:00"/>
    <x v="2"/>
  </r>
  <r>
    <s v="B-26443"/>
    <n v="9869"/>
    <n v="4299"/>
    <n v="12"/>
    <x v="0"/>
    <s v="Printers"/>
    <s v="Debit Card"/>
    <d v="2023-03-21T00:00:00"/>
    <s v="Dale Craig"/>
    <x v="0"/>
    <x v="17"/>
    <d v="2023-03-01T00:00:00"/>
    <x v="2"/>
  </r>
  <r>
    <s v="B-26443"/>
    <n v="9869"/>
    <n v="4299"/>
    <n v="12"/>
    <x v="0"/>
    <s v="Printers"/>
    <s v="Debit Card"/>
    <d v="2023-12-28T00:00:00"/>
    <s v="Joseph Hooper"/>
    <x v="4"/>
    <x v="9"/>
    <d v="2023-12-01T00:00:00"/>
    <x v="2"/>
  </r>
  <r>
    <s v="B-25955"/>
    <n v="655"/>
    <n v="297"/>
    <n v="4"/>
    <x v="2"/>
    <s v="Markers"/>
    <s v="Debit Card"/>
    <d v="2023-11-30T00:00:00"/>
    <s v="Ashlee Mills"/>
    <x v="3"/>
    <x v="4"/>
    <d v="2023-11-01T00:00:00"/>
    <x v="2"/>
  </r>
  <r>
    <s v="B-26383"/>
    <n v="798"/>
    <n v="308"/>
    <n v="10"/>
    <x v="0"/>
    <s v="Phones"/>
    <s v="Debit Card"/>
    <d v="2023-01-12T00:00:00"/>
    <s v="Brittany Jenkins"/>
    <x v="4"/>
    <x v="9"/>
    <d v="2023-01-01T00:00:00"/>
    <x v="2"/>
  </r>
  <r>
    <s v="B-26383"/>
    <n v="798"/>
    <n v="308"/>
    <n v="10"/>
    <x v="0"/>
    <s v="Phones"/>
    <s v="Debit Card"/>
    <d v="2023-05-19T00:00:00"/>
    <s v="Eddie Gonzales"/>
    <x v="2"/>
    <x v="5"/>
    <d v="2023-05-01T00:00:00"/>
    <x v="2"/>
  </r>
  <r>
    <s v="B-26383"/>
    <n v="7967"/>
    <n v="2504"/>
    <n v="13"/>
    <x v="0"/>
    <s v="Printers"/>
    <s v="EMI"/>
    <d v="2023-01-12T00:00:00"/>
    <s v="Brittany Jenkins"/>
    <x v="4"/>
    <x v="9"/>
    <d v="2023-01-01T00:00:00"/>
    <x v="2"/>
  </r>
  <r>
    <s v="B-26383"/>
    <n v="7967"/>
    <n v="2504"/>
    <n v="13"/>
    <x v="0"/>
    <s v="Printers"/>
    <s v="EMI"/>
    <d v="2023-05-19T00:00:00"/>
    <s v="Eddie Gonzales"/>
    <x v="2"/>
    <x v="5"/>
    <d v="2023-05-01T00:00:00"/>
    <x v="2"/>
  </r>
  <r>
    <s v="B-25996"/>
    <n v="714"/>
    <n v="232"/>
    <n v="14"/>
    <x v="1"/>
    <s v="Tables"/>
    <s v="UPI"/>
    <d v="2023-01-18T00:00:00"/>
    <s v="Brandon Alvarado"/>
    <x v="2"/>
    <x v="3"/>
    <d v="2023-01-01T00:00:00"/>
    <x v="2"/>
  </r>
  <r>
    <s v="B-25541"/>
    <n v="2401"/>
    <n v="1163"/>
    <n v="10"/>
    <x v="1"/>
    <s v="Bookcases"/>
    <s v="UPI"/>
    <d v="2023-05-04T00:00:00"/>
    <s v="April Marquez"/>
    <x v="2"/>
    <x v="5"/>
    <d v="2023-05-01T00:00:00"/>
    <x v="2"/>
  </r>
  <r>
    <s v="B-25541"/>
    <n v="1045"/>
    <n v="267"/>
    <n v="11"/>
    <x v="0"/>
    <s v="Phones"/>
    <s v="Debit Card"/>
    <d v="2023-05-04T00:00:00"/>
    <s v="April Marquez"/>
    <x v="2"/>
    <x v="5"/>
    <d v="2023-05-01T00:00:00"/>
    <x v="2"/>
  </r>
  <r>
    <s v="B-25196"/>
    <n v="7806"/>
    <n v="1127"/>
    <n v="1"/>
    <x v="2"/>
    <s v="Markers"/>
    <s v="Credit Card"/>
    <d v="2023-07-20T00:00:00"/>
    <s v="William Hill"/>
    <x v="1"/>
    <x v="13"/>
    <d v="2023-07-01T00:00:00"/>
    <x v="2"/>
  </r>
  <r>
    <s v="B-25071"/>
    <n v="6147"/>
    <n v="2526"/>
    <n v="6"/>
    <x v="2"/>
    <s v="Pens"/>
    <s v="Debit Card"/>
    <d v="2023-03-14T00:00:00"/>
    <s v="Hailey Chandler"/>
    <x v="1"/>
    <x v="13"/>
    <d v="2023-03-01T00:00:00"/>
    <x v="2"/>
  </r>
  <r>
    <s v="B-26159"/>
    <n v="7484"/>
    <n v="2871"/>
    <n v="15"/>
    <x v="0"/>
    <s v="Phones"/>
    <s v="UPI"/>
    <d v="2023-11-07T00:00:00"/>
    <s v="Cheyenne Rose"/>
    <x v="3"/>
    <x v="4"/>
    <d v="2023-11-01T00:00:00"/>
    <x v="2"/>
  </r>
  <r>
    <s v="B-26159"/>
    <n v="7700"/>
    <n v="2712"/>
    <n v="1"/>
    <x v="1"/>
    <s v="Sofas"/>
    <s v="Credit Card"/>
    <d v="2023-11-07T00:00:00"/>
    <s v="Cheyenne Rose"/>
    <x v="3"/>
    <x v="4"/>
    <d v="2023-11-01T00:00:00"/>
    <x v="2"/>
  </r>
  <r>
    <s v="B-26938"/>
    <n v="3281"/>
    <n v="471"/>
    <n v="7"/>
    <x v="1"/>
    <s v="Sofas"/>
    <s v="EMI"/>
    <d v="2023-12-27T00:00:00"/>
    <s v="Erin Hernandez"/>
    <x v="0"/>
    <x v="0"/>
    <d v="2023-12-01T00:00:00"/>
    <x v="2"/>
  </r>
  <r>
    <s v="B-26938"/>
    <n v="3281"/>
    <n v="471"/>
    <n v="7"/>
    <x v="1"/>
    <s v="Sofas"/>
    <s v="EMI"/>
    <d v="2023-06-25T00:00:00"/>
    <s v="Jacob Guzman"/>
    <x v="5"/>
    <x v="11"/>
    <d v="2023-06-01T00:00:00"/>
    <x v="2"/>
  </r>
  <r>
    <s v="B-25566"/>
    <n v="3877"/>
    <n v="481"/>
    <n v="16"/>
    <x v="1"/>
    <s v="Chairs"/>
    <s v="Debit Card"/>
    <d v="2023-07-22T00:00:00"/>
    <s v="Kenneth Matthews"/>
    <x v="4"/>
    <x v="12"/>
    <d v="2023-07-01T00:00:00"/>
    <x v="2"/>
  </r>
  <r>
    <s v="B-26740"/>
    <n v="9369"/>
    <n v="3297"/>
    <n v="6"/>
    <x v="0"/>
    <s v="Printers"/>
    <s v="Debit Card"/>
    <d v="2023-09-27T00:00:00"/>
    <s v="Stephanie Manning"/>
    <x v="3"/>
    <x v="4"/>
    <d v="2023-09-01T00:00:00"/>
    <x v="2"/>
  </r>
  <r>
    <s v="B-26740"/>
    <n v="8680"/>
    <n v="4068"/>
    <n v="20"/>
    <x v="0"/>
    <s v="Printers"/>
    <s v="Credit Card"/>
    <d v="2023-09-27T00:00:00"/>
    <s v="Stephanie Manning"/>
    <x v="3"/>
    <x v="4"/>
    <d v="2023-09-01T00:00:00"/>
    <x v="2"/>
  </r>
  <r>
    <s v="B-26740"/>
    <n v="3067"/>
    <n v="1475"/>
    <n v="8"/>
    <x v="0"/>
    <s v="Laptops"/>
    <s v="UPI"/>
    <d v="2023-09-27T00:00:00"/>
    <s v="Stephanie Manning"/>
    <x v="3"/>
    <x v="4"/>
    <d v="2023-09-01T00:00:00"/>
    <x v="2"/>
  </r>
  <r>
    <s v="B-26353"/>
    <n v="5317"/>
    <n v="1345"/>
    <n v="18"/>
    <x v="1"/>
    <s v="Chairs"/>
    <s v="Debit Card"/>
    <d v="2023-02-03T00:00:00"/>
    <s v="Samuel Moore"/>
    <x v="2"/>
    <x v="3"/>
    <d v="2023-02-01T00:00:00"/>
    <x v="2"/>
  </r>
  <r>
    <s v="B-26353"/>
    <n v="5317"/>
    <n v="1345"/>
    <n v="18"/>
    <x v="1"/>
    <s v="Chairs"/>
    <s v="Debit Card"/>
    <d v="2023-04-28T00:00:00"/>
    <s v="Robert Stokes"/>
    <x v="3"/>
    <x v="4"/>
    <d v="2023-04-01T00:00:00"/>
    <x v="2"/>
  </r>
  <r>
    <s v="B-26353"/>
    <n v="6304"/>
    <n v="766"/>
    <n v="14"/>
    <x v="1"/>
    <s v="Tables"/>
    <s v="EMI"/>
    <d v="2023-02-03T00:00:00"/>
    <s v="Samuel Moore"/>
    <x v="2"/>
    <x v="3"/>
    <d v="2023-02-01T00:00:00"/>
    <x v="2"/>
  </r>
  <r>
    <s v="B-26353"/>
    <n v="6304"/>
    <n v="766"/>
    <n v="14"/>
    <x v="1"/>
    <s v="Tables"/>
    <s v="EMI"/>
    <d v="2023-04-28T00:00:00"/>
    <s v="Robert Stokes"/>
    <x v="3"/>
    <x v="4"/>
    <d v="2023-04-01T00:00:00"/>
    <x v="2"/>
  </r>
  <r>
    <s v="B-25970"/>
    <n v="9132"/>
    <n v="3096"/>
    <n v="14"/>
    <x v="1"/>
    <s v="Chairs"/>
    <s v="Debit Card"/>
    <d v="2023-12-14T00:00:00"/>
    <s v="Kevin Cooper"/>
    <x v="3"/>
    <x v="8"/>
    <d v="2023-12-01T00:00:00"/>
    <x v="2"/>
  </r>
  <r>
    <s v="B-25328"/>
    <n v="8780"/>
    <n v="3430"/>
    <n v="4"/>
    <x v="0"/>
    <s v="Electronic Games"/>
    <s v="Credit Card"/>
    <d v="2023-07-25T00:00:00"/>
    <s v="Jasmine James"/>
    <x v="1"/>
    <x v="1"/>
    <d v="2023-07-01T00:00:00"/>
    <x v="2"/>
  </r>
  <r>
    <s v="B-25101"/>
    <n v="1638"/>
    <n v="661"/>
    <n v="13"/>
    <x v="1"/>
    <s v="Chairs"/>
    <s v="EMI"/>
    <d v="2023-11-25T00:00:00"/>
    <s v="Steven Steele"/>
    <x v="5"/>
    <x v="10"/>
    <d v="2023-11-01T00:00:00"/>
    <x v="2"/>
  </r>
  <r>
    <s v="B-25792"/>
    <n v="4751"/>
    <n v="781"/>
    <n v="9"/>
    <x v="2"/>
    <s v="Paper"/>
    <s v="EMI"/>
    <d v="2023-07-02T00:00:00"/>
    <s v="Kyle Jackson"/>
    <x v="4"/>
    <x v="9"/>
    <d v="2023-07-01T00:00:00"/>
    <x v="2"/>
  </r>
  <r>
    <s v="B-25992"/>
    <n v="8572"/>
    <n v="2041"/>
    <n v="8"/>
    <x v="1"/>
    <s v="Tables"/>
    <s v="EMI"/>
    <d v="2023-07-05T00:00:00"/>
    <s v="Rebecca Huff"/>
    <x v="5"/>
    <x v="10"/>
    <d v="2023-07-01T00:00:00"/>
    <x v="2"/>
  </r>
  <r>
    <s v="B-25992"/>
    <n v="8059"/>
    <n v="1834"/>
    <n v="10"/>
    <x v="0"/>
    <s v="Printers"/>
    <s v="Credit Card"/>
    <d v="2023-07-05T00:00:00"/>
    <s v="Rebecca Huff"/>
    <x v="5"/>
    <x v="10"/>
    <d v="2023-07-01T00:00:00"/>
    <x v="2"/>
  </r>
  <r>
    <s v="B-25532"/>
    <n v="3661"/>
    <n v="436"/>
    <n v="13"/>
    <x v="1"/>
    <s v="Sofas"/>
    <s v="EMI"/>
    <d v="2023-01-26T00:00:00"/>
    <s v="Brian Young"/>
    <x v="1"/>
    <x v="1"/>
    <d v="2023-01-01T00:00:00"/>
    <x v="2"/>
  </r>
  <r>
    <s v="B-25363"/>
    <n v="3918"/>
    <n v="749"/>
    <n v="8"/>
    <x v="0"/>
    <s v="Laptops"/>
    <s v="Credit Card"/>
    <d v="2023-05-10T00:00:00"/>
    <s v="Jamie Bradley"/>
    <x v="0"/>
    <x v="17"/>
    <d v="2023-05-01T00:00:00"/>
    <x v="2"/>
  </r>
  <r>
    <s v="B-26724"/>
    <n v="9694"/>
    <n v="4361"/>
    <n v="1"/>
    <x v="1"/>
    <s v="Chairs"/>
    <s v="EMI"/>
    <d v="2023-11-04T00:00:00"/>
    <s v="Roberto Parrish"/>
    <x v="5"/>
    <x v="10"/>
    <d v="2023-11-01T00:00:00"/>
    <x v="2"/>
  </r>
  <r>
    <s v="B-26904"/>
    <n v="594"/>
    <n v="67"/>
    <n v="19"/>
    <x v="2"/>
    <s v="Paper"/>
    <s v="Debit Card"/>
    <d v="2023-09-10T00:00:00"/>
    <s v="Maria Davis"/>
    <x v="4"/>
    <x v="9"/>
    <d v="2023-09-01T00:00:00"/>
    <x v="2"/>
  </r>
  <r>
    <s v="B-26279"/>
    <n v="3747"/>
    <n v="410"/>
    <n v="5"/>
    <x v="2"/>
    <s v="Markers"/>
    <s v="Credit Card"/>
    <d v="2023-02-17T00:00:00"/>
    <s v="Jason Brown"/>
    <x v="5"/>
    <x v="14"/>
    <d v="2023-02-01T00:00:00"/>
    <x v="2"/>
  </r>
  <r>
    <s v="B-26279"/>
    <n v="3194"/>
    <n v="534"/>
    <n v="4"/>
    <x v="2"/>
    <s v="Binders"/>
    <s v="UPI"/>
    <d v="2023-02-17T00:00:00"/>
    <s v="Jason Brown"/>
    <x v="5"/>
    <x v="14"/>
    <d v="2023-02-01T00:00:00"/>
    <x v="2"/>
  </r>
  <r>
    <s v="B-25715"/>
    <n v="6089"/>
    <n v="139"/>
    <n v="19"/>
    <x v="1"/>
    <s v="Tables"/>
    <s v="Debit Card"/>
    <d v="2023-04-05T00:00:00"/>
    <s v="Shelby Browning"/>
    <x v="5"/>
    <x v="14"/>
    <d v="2023-04-01T00:00:00"/>
    <x v="2"/>
  </r>
  <r>
    <s v="B-25715"/>
    <n v="2586"/>
    <n v="800"/>
    <n v="16"/>
    <x v="1"/>
    <s v="Tables"/>
    <s v="UPI"/>
    <d v="2023-04-05T00:00:00"/>
    <s v="Shelby Browning"/>
    <x v="5"/>
    <x v="14"/>
    <d v="2023-04-01T00:00:00"/>
    <x v="2"/>
  </r>
  <r>
    <s v="B-25715"/>
    <n v="3757"/>
    <n v="1626"/>
    <n v="9"/>
    <x v="2"/>
    <s v="Paper"/>
    <s v="UPI"/>
    <d v="2023-04-05T00:00:00"/>
    <s v="Shelby Browning"/>
    <x v="5"/>
    <x v="14"/>
    <d v="2023-04-01T00:00:00"/>
    <x v="2"/>
  </r>
  <r>
    <s v="B-25612"/>
    <n v="7163"/>
    <n v="1536"/>
    <n v="1"/>
    <x v="0"/>
    <s v="Phones"/>
    <s v="EMI"/>
    <d v="2023-10-17T00:00:00"/>
    <s v="Carlos Wells"/>
    <x v="0"/>
    <x v="17"/>
    <d v="2023-10-01T00:00:00"/>
    <x v="2"/>
  </r>
  <r>
    <s v="B-25605"/>
    <n v="4026"/>
    <n v="163"/>
    <n v="6"/>
    <x v="0"/>
    <s v="Phones"/>
    <s v="COD"/>
    <d v="2023-07-28T00:00:00"/>
    <s v="Randall Bell"/>
    <x v="4"/>
    <x v="16"/>
    <d v="2023-07-01T00:00:00"/>
    <x v="2"/>
  </r>
  <r>
    <s v="B-25594"/>
    <n v="2931"/>
    <n v="212"/>
    <n v="7"/>
    <x v="0"/>
    <s v="Electronic Games"/>
    <s v="Credit Card"/>
    <d v="2023-12-08T00:00:00"/>
    <s v="Kevin Johnson"/>
    <x v="3"/>
    <x v="8"/>
    <d v="2023-12-01T00:00:00"/>
    <x v="2"/>
  </r>
  <r>
    <s v="B-25999"/>
    <n v="7895"/>
    <n v="1005"/>
    <n v="1"/>
    <x v="1"/>
    <s v="Chairs"/>
    <s v="Credit Card"/>
    <d v="2023-10-28T00:00:00"/>
    <s v="Nancy Boyd"/>
    <x v="2"/>
    <x v="6"/>
    <d v="2023-10-01T00:00:00"/>
    <x v="2"/>
  </r>
  <r>
    <s v="B-25999"/>
    <n v="2740"/>
    <n v="558"/>
    <n v="8"/>
    <x v="2"/>
    <s v="Pens"/>
    <s v="UPI"/>
    <d v="2023-10-28T00:00:00"/>
    <s v="Nancy Boyd"/>
    <x v="2"/>
    <x v="6"/>
    <d v="2023-10-01T00:00:00"/>
    <x v="2"/>
  </r>
  <r>
    <s v="B-25159"/>
    <n v="5338"/>
    <n v="1354"/>
    <n v="16"/>
    <x v="2"/>
    <s v="Markers"/>
    <s v="UPI"/>
    <d v="2023-06-07T00:00:00"/>
    <s v="Evelyn Harris"/>
    <x v="4"/>
    <x v="9"/>
    <d v="2023-06-01T00:00:00"/>
    <x v="2"/>
  </r>
  <r>
    <s v="B-25401"/>
    <n v="6017"/>
    <n v="2230"/>
    <n v="13"/>
    <x v="0"/>
    <s v="Printers"/>
    <s v="Debit Card"/>
    <d v="2023-08-04T00:00:00"/>
    <s v="Scott Craig"/>
    <x v="5"/>
    <x v="11"/>
    <d v="2023-08-01T00:00:00"/>
    <x v="2"/>
  </r>
  <r>
    <s v="B-25640"/>
    <n v="670"/>
    <n v="85"/>
    <n v="9"/>
    <x v="2"/>
    <s v="Pens"/>
    <s v="EMI"/>
    <d v="2023-08-21T00:00:00"/>
    <s v="Claire Cole"/>
    <x v="1"/>
    <x v="15"/>
    <d v="2023-08-01T00:00:00"/>
    <x v="2"/>
  </r>
  <r>
    <s v="B-25504"/>
    <n v="8178"/>
    <n v="2462"/>
    <n v="10"/>
    <x v="2"/>
    <s v="Pens"/>
    <s v="UPI"/>
    <d v="2023-08-20T00:00:00"/>
    <s v="David Bell"/>
    <x v="0"/>
    <x v="0"/>
    <d v="2023-08-01T00:00:00"/>
    <x v="2"/>
  </r>
  <r>
    <s v="B-26912"/>
    <n v="8752"/>
    <n v="1686"/>
    <n v="9"/>
    <x v="1"/>
    <s v="Tables"/>
    <s v="Debit Card"/>
    <d v="2023-09-04T00:00:00"/>
    <s v="John Cox"/>
    <x v="5"/>
    <x v="11"/>
    <d v="2023-09-01T00:00:00"/>
    <x v="2"/>
  </r>
  <r>
    <s v="B-25193"/>
    <n v="8974"/>
    <n v="4441"/>
    <n v="16"/>
    <x v="0"/>
    <s v="Printers"/>
    <s v="EMI"/>
    <d v="2023-06-05T00:00:00"/>
    <s v="Angela Todd"/>
    <x v="4"/>
    <x v="16"/>
    <d v="2023-06-01T00:00:00"/>
    <x v="2"/>
  </r>
  <r>
    <s v="B-26835"/>
    <n v="5427"/>
    <n v="728"/>
    <n v="3"/>
    <x v="0"/>
    <s v="Phones"/>
    <s v="UPI"/>
    <d v="2023-03-09T00:00:00"/>
    <s v="Keith Smith"/>
    <x v="3"/>
    <x v="7"/>
    <d v="2023-03-01T00:00:00"/>
    <x v="2"/>
  </r>
  <r>
    <s v="B-26765"/>
    <n v="762"/>
    <n v="92"/>
    <n v="11"/>
    <x v="0"/>
    <s v="Printers"/>
    <s v="COD"/>
    <d v="2023-01-06T00:00:00"/>
    <s v="Jonathan Young"/>
    <x v="5"/>
    <x v="10"/>
    <d v="2023-01-01T00:00:00"/>
    <x v="2"/>
  </r>
  <r>
    <s v="B-26522"/>
    <n v="5994"/>
    <n v="2826"/>
    <n v="9"/>
    <x v="1"/>
    <s v="Bookcases"/>
    <s v="EMI"/>
    <d v="2023-05-24T00:00:00"/>
    <s v="John Thomas"/>
    <x v="0"/>
    <x v="2"/>
    <d v="2023-05-01T00:00:00"/>
    <x v="2"/>
  </r>
  <r>
    <s v="B-26029"/>
    <n v="4918"/>
    <n v="1485"/>
    <n v="7"/>
    <x v="0"/>
    <s v="Phones"/>
    <s v="UPI"/>
    <d v="2023-02-02T00:00:00"/>
    <s v="Anthony May"/>
    <x v="3"/>
    <x v="8"/>
    <d v="2023-02-01T00:00:00"/>
    <x v="2"/>
  </r>
  <r>
    <s v="B-26796"/>
    <n v="6669"/>
    <n v="3063"/>
    <n v="19"/>
    <x v="0"/>
    <s v="Printers"/>
    <s v="UPI"/>
    <d v="2023-08-12T00:00:00"/>
    <s v="Mary Crawford"/>
    <x v="2"/>
    <x v="6"/>
    <d v="2023-08-01T00:00:00"/>
    <x v="2"/>
  </r>
  <r>
    <s v="B-26734"/>
    <n v="847"/>
    <n v="355"/>
    <n v="17"/>
    <x v="1"/>
    <s v="Tables"/>
    <s v="COD"/>
    <d v="2023-11-28T00:00:00"/>
    <s v="Emily Frederick"/>
    <x v="1"/>
    <x v="1"/>
    <d v="2023-11-01T00:00:00"/>
    <x v="2"/>
  </r>
  <r>
    <s v="B-26734"/>
    <n v="847"/>
    <n v="355"/>
    <n v="17"/>
    <x v="1"/>
    <s v="Tables"/>
    <s v="COD"/>
    <d v="2023-01-18T00:00:00"/>
    <s v="Shawn Wise"/>
    <x v="0"/>
    <x v="2"/>
    <d v="2023-01-01T00:00:00"/>
    <x v="2"/>
  </r>
  <r>
    <s v="B-25931"/>
    <n v="6485"/>
    <n v="3178"/>
    <n v="18"/>
    <x v="1"/>
    <s v="Sofas"/>
    <s v="UPI"/>
    <d v="2023-07-18T00:00:00"/>
    <s v="Amanda Williams"/>
    <x v="2"/>
    <x v="3"/>
    <d v="2023-07-01T00:00:00"/>
    <x v="2"/>
  </r>
  <r>
    <s v="B-25352"/>
    <n v="3333"/>
    <n v="700"/>
    <n v="18"/>
    <x v="0"/>
    <s v="Printers"/>
    <s v="COD"/>
    <d v="2023-04-17T00:00:00"/>
    <s v="Jacob Stewart"/>
    <x v="3"/>
    <x v="7"/>
    <d v="2023-04-01T00:00:00"/>
    <x v="2"/>
  </r>
  <r>
    <s v="B-26112"/>
    <n v="1476"/>
    <n v="247"/>
    <n v="5"/>
    <x v="1"/>
    <s v="Bookcases"/>
    <s v="COD"/>
    <d v="2023-11-18T00:00:00"/>
    <s v="Jacob Martinez"/>
    <x v="0"/>
    <x v="0"/>
    <d v="2023-11-01T00:00:00"/>
    <x v="2"/>
  </r>
  <r>
    <s v="B-25198"/>
    <n v="9840"/>
    <n v="3870"/>
    <n v="11"/>
    <x v="0"/>
    <s v="Printers"/>
    <s v="Debit Card"/>
    <d v="2023-04-25T00:00:00"/>
    <s v="Cynthia Ferguson"/>
    <x v="1"/>
    <x v="1"/>
    <d v="2023-04-01T00:00:00"/>
    <x v="2"/>
  </r>
  <r>
    <s v="B-25965"/>
    <n v="544"/>
    <n v="272"/>
    <n v="2"/>
    <x v="0"/>
    <s v="Laptops"/>
    <s v="Debit Card"/>
    <d v="2023-06-25T00:00:00"/>
    <s v="Michael Nash"/>
    <x v="4"/>
    <x v="9"/>
    <d v="2023-06-01T00:00:00"/>
    <x v="2"/>
  </r>
  <r>
    <s v="B-25945"/>
    <n v="9952"/>
    <n v="3301"/>
    <n v="15"/>
    <x v="0"/>
    <s v="Electronic Games"/>
    <s v="Debit Card"/>
    <d v="2023-03-10T00:00:00"/>
    <s v="Tanya Thomas MD"/>
    <x v="1"/>
    <x v="13"/>
    <d v="2023-03-01T00:00:00"/>
    <x v="2"/>
  </r>
  <r>
    <s v="B-25684"/>
    <n v="3560"/>
    <n v="1335"/>
    <n v="15"/>
    <x v="0"/>
    <s v="Electronic Games"/>
    <s v="COD"/>
    <d v="2023-03-16T00:00:00"/>
    <s v="Frank Reynolds"/>
    <x v="5"/>
    <x v="10"/>
    <d v="2023-03-01T00:00:00"/>
    <x v="2"/>
  </r>
  <r>
    <s v="B-26120"/>
    <n v="2101"/>
    <n v="287"/>
    <n v="8"/>
    <x v="2"/>
    <s v="Pens"/>
    <s v="COD"/>
    <d v="2023-04-09T00:00:00"/>
    <s v="Erica Scott"/>
    <x v="5"/>
    <x v="14"/>
    <d v="2023-04-01T00:00:00"/>
    <x v="2"/>
  </r>
  <r>
    <s v="B-26426"/>
    <n v="8644"/>
    <n v="1968"/>
    <n v="9"/>
    <x v="2"/>
    <s v="Paper"/>
    <s v="Debit Card"/>
    <d v="2023-11-24T00:00:00"/>
    <s v="Melissa Mitchell"/>
    <x v="5"/>
    <x v="14"/>
    <d v="2023-11-01T00:00:00"/>
    <x v="2"/>
  </r>
  <r>
    <s v="B-26309"/>
    <n v="6672"/>
    <n v="3319"/>
    <n v="4"/>
    <x v="1"/>
    <s v="Tables"/>
    <s v="UPI"/>
    <d v="2023-11-29T00:00:00"/>
    <s v="Joshua Murray"/>
    <x v="1"/>
    <x v="13"/>
    <d v="2023-11-01T00:00:00"/>
    <x v="2"/>
  </r>
  <r>
    <s v="B-25010"/>
    <n v="7870"/>
    <n v="1057"/>
    <n v="15"/>
    <x v="2"/>
    <s v="Pens"/>
    <s v="Credit Card"/>
    <d v="2023-10-18T00:00:00"/>
    <s v="Howard Esparza"/>
    <x v="1"/>
    <x v="15"/>
    <d v="2023-10-01T00:00:00"/>
    <x v="2"/>
  </r>
  <r>
    <s v="B-25889"/>
    <n v="7992"/>
    <n v="893"/>
    <n v="12"/>
    <x v="0"/>
    <s v="Laptops"/>
    <s v="Credit Card"/>
    <d v="2023-05-04T00:00:00"/>
    <s v="Shannon Warren"/>
    <x v="4"/>
    <x v="16"/>
    <d v="2023-05-01T00:00:00"/>
    <x v="2"/>
  </r>
  <r>
    <s v="B-25889"/>
    <n v="7992"/>
    <n v="893"/>
    <n v="12"/>
    <x v="0"/>
    <s v="Laptops"/>
    <s v="Credit Card"/>
    <d v="2023-05-31T00:00:00"/>
    <s v="Ashley Aguilar"/>
    <x v="5"/>
    <x v="14"/>
    <d v="2023-05-01T00:00:00"/>
    <x v="2"/>
  </r>
  <r>
    <s v="B-25022"/>
    <n v="6646"/>
    <n v="848"/>
    <n v="15"/>
    <x v="1"/>
    <s v="Sofas"/>
    <s v="Debit Card"/>
    <d v="2023-08-19T00:00:00"/>
    <s v="Nicole Dudley"/>
    <x v="4"/>
    <x v="16"/>
    <d v="2023-08-01T00:00:00"/>
    <x v="2"/>
  </r>
  <r>
    <s v="B-25022"/>
    <n v="6646"/>
    <n v="848"/>
    <n v="15"/>
    <x v="1"/>
    <s v="Sofas"/>
    <s v="Debit Card"/>
    <d v="2023-07-14T00:00:00"/>
    <s v="Lori Colon"/>
    <x v="4"/>
    <x v="9"/>
    <d v="2023-07-01T00:00:00"/>
    <x v="2"/>
  </r>
  <r>
    <s v="B-26928"/>
    <n v="2553"/>
    <n v="907"/>
    <n v="6"/>
    <x v="0"/>
    <s v="Laptops"/>
    <s v="Credit Card"/>
    <d v="2023-06-22T00:00:00"/>
    <s v="William Carr"/>
    <x v="1"/>
    <x v="13"/>
    <d v="2023-06-01T00:00:00"/>
    <x v="2"/>
  </r>
  <r>
    <s v="B-25905"/>
    <n v="8490"/>
    <n v="3485"/>
    <n v="3"/>
    <x v="0"/>
    <s v="Phones"/>
    <s v="Credit Card"/>
    <d v="2023-03-21T00:00:00"/>
    <s v="Jeffrey Dixon"/>
    <x v="4"/>
    <x v="16"/>
    <d v="2023-03-01T00:00:00"/>
    <x v="2"/>
  </r>
  <r>
    <s v="B-25350"/>
    <n v="7699"/>
    <n v="246"/>
    <n v="5"/>
    <x v="0"/>
    <s v="Electronic Games"/>
    <s v="Debit Card"/>
    <d v="2023-09-23T00:00:00"/>
    <s v="Mark Fry"/>
    <x v="1"/>
    <x v="1"/>
    <d v="2023-09-01T00:00:00"/>
    <x v="2"/>
  </r>
  <r>
    <s v="B-26776"/>
    <n v="9726"/>
    <n v="1275"/>
    <n v="5"/>
    <x v="0"/>
    <s v="Electronic Games"/>
    <s v="UPI"/>
    <d v="2021-07-25T00:00:00"/>
    <s v="Robert Stone"/>
    <x v="4"/>
    <x v="9"/>
    <d v="2021-07-01T00:00:00"/>
    <x v="3"/>
  </r>
  <r>
    <s v="B-26776"/>
    <n v="4975"/>
    <n v="1330"/>
    <n v="14"/>
    <x v="0"/>
    <s v="Printers"/>
    <s v="UPI"/>
    <d v="2021-07-25T00:00:00"/>
    <s v="Robert Stone"/>
    <x v="4"/>
    <x v="9"/>
    <d v="2021-07-01T00:00:00"/>
    <x v="3"/>
  </r>
  <r>
    <s v="B-26942"/>
    <n v="1525"/>
    <n v="185"/>
    <n v="12"/>
    <x v="2"/>
    <s v="Pens"/>
    <s v="Debit Card"/>
    <d v="2021-10-09T00:00:00"/>
    <s v="Clayton Smith"/>
    <x v="3"/>
    <x v="7"/>
    <d v="2021-10-01T00:00:00"/>
    <x v="3"/>
  </r>
  <r>
    <s v="B-26232"/>
    <n v="5219"/>
    <n v="1180"/>
    <n v="20"/>
    <x v="2"/>
    <s v="Binders"/>
    <s v="COD"/>
    <d v="2021-12-17T00:00:00"/>
    <s v="Alexander Reed"/>
    <x v="4"/>
    <x v="16"/>
    <d v="2021-12-01T00:00:00"/>
    <x v="3"/>
  </r>
  <r>
    <s v="B-25555"/>
    <n v="4051"/>
    <n v="1848"/>
    <n v="12"/>
    <x v="0"/>
    <s v="Phones"/>
    <s v="Credit Card"/>
    <d v="2021-05-08T00:00:00"/>
    <s v="Kimberly Warren"/>
    <x v="2"/>
    <x v="6"/>
    <d v="2021-05-01T00:00:00"/>
    <x v="3"/>
  </r>
  <r>
    <s v="B-25555"/>
    <n v="5011"/>
    <n v="866"/>
    <n v="11"/>
    <x v="1"/>
    <s v="Bookcases"/>
    <s v="Credit Card"/>
    <d v="2021-05-08T00:00:00"/>
    <s v="Kimberly Warren"/>
    <x v="2"/>
    <x v="6"/>
    <d v="2021-05-01T00:00:00"/>
    <x v="3"/>
  </r>
  <r>
    <s v="B-26470"/>
    <n v="3090"/>
    <n v="573"/>
    <n v="6"/>
    <x v="1"/>
    <s v="Tables"/>
    <s v="EMI"/>
    <d v="2021-06-18T00:00:00"/>
    <s v="Christine Mosley"/>
    <x v="2"/>
    <x v="6"/>
    <d v="2021-06-01T00:00:00"/>
    <x v="3"/>
  </r>
  <r>
    <s v="B-26470"/>
    <n v="3090"/>
    <n v="573"/>
    <n v="6"/>
    <x v="1"/>
    <s v="Tables"/>
    <s v="EMI"/>
    <d v="2021-10-12T00:00:00"/>
    <s v="Elizabeth King"/>
    <x v="1"/>
    <x v="13"/>
    <d v="2021-10-01T00:00:00"/>
    <x v="3"/>
  </r>
  <r>
    <s v="B-26470"/>
    <n v="9683"/>
    <n v="1014"/>
    <n v="5"/>
    <x v="0"/>
    <s v="Printers"/>
    <s v="UPI"/>
    <d v="2021-06-18T00:00:00"/>
    <s v="Christine Mosley"/>
    <x v="2"/>
    <x v="6"/>
    <d v="2021-06-01T00:00:00"/>
    <x v="3"/>
  </r>
  <r>
    <s v="B-26470"/>
    <n v="9683"/>
    <n v="1014"/>
    <n v="5"/>
    <x v="0"/>
    <s v="Printers"/>
    <s v="UPI"/>
    <d v="2021-10-12T00:00:00"/>
    <s v="Elizabeth King"/>
    <x v="1"/>
    <x v="13"/>
    <d v="2021-10-01T00:00:00"/>
    <x v="3"/>
  </r>
  <r>
    <s v="B-26730"/>
    <n v="6139"/>
    <n v="451"/>
    <n v="10"/>
    <x v="1"/>
    <s v="Tables"/>
    <s v="Debit Card"/>
    <d v="2021-04-05T00:00:00"/>
    <s v="Jacqueline Harris"/>
    <x v="1"/>
    <x v="15"/>
    <d v="2021-04-01T00:00:00"/>
    <x v="3"/>
  </r>
  <r>
    <s v="B-26730"/>
    <n v="8636"/>
    <n v="3192"/>
    <n v="3"/>
    <x v="1"/>
    <s v="Chairs"/>
    <s v="COD"/>
    <d v="2021-04-05T00:00:00"/>
    <s v="Jacqueline Harris"/>
    <x v="1"/>
    <x v="15"/>
    <d v="2021-04-01T00:00:00"/>
    <x v="3"/>
  </r>
  <r>
    <s v="B-26730"/>
    <n v="4439"/>
    <n v="1712"/>
    <n v="19"/>
    <x v="1"/>
    <s v="Sofas"/>
    <s v="Credit Card"/>
    <d v="2021-04-05T00:00:00"/>
    <s v="Jacqueline Harris"/>
    <x v="1"/>
    <x v="15"/>
    <d v="2021-04-01T00:00:00"/>
    <x v="3"/>
  </r>
  <r>
    <s v="B-26185"/>
    <n v="1591"/>
    <n v="727"/>
    <n v="5"/>
    <x v="0"/>
    <s v="Electronic Games"/>
    <s v="Credit Card"/>
    <d v="2021-03-14T00:00:00"/>
    <s v="Brian Patrick"/>
    <x v="3"/>
    <x v="8"/>
    <d v="2021-03-01T00:00:00"/>
    <x v="3"/>
  </r>
  <r>
    <s v="B-25142"/>
    <n v="6940"/>
    <n v="253"/>
    <n v="15"/>
    <x v="1"/>
    <s v="Bookcases"/>
    <s v="Debit Card"/>
    <d v="2021-11-12T00:00:00"/>
    <s v="Marc Strickland"/>
    <x v="3"/>
    <x v="4"/>
    <d v="2021-11-01T00:00:00"/>
    <x v="3"/>
  </r>
  <r>
    <s v="B-25142"/>
    <n v="5105"/>
    <n v="465"/>
    <n v="5"/>
    <x v="0"/>
    <s v="Printers"/>
    <s v="UPI"/>
    <d v="2021-11-12T00:00:00"/>
    <s v="Marc Strickland"/>
    <x v="3"/>
    <x v="4"/>
    <d v="2021-11-01T00:00:00"/>
    <x v="3"/>
  </r>
  <r>
    <s v="B-25326"/>
    <n v="5578"/>
    <n v="277"/>
    <n v="16"/>
    <x v="1"/>
    <s v="Tables"/>
    <s v="COD"/>
    <d v="2021-08-17T00:00:00"/>
    <s v="Charlene Brown"/>
    <x v="3"/>
    <x v="7"/>
    <d v="2021-08-01T00:00:00"/>
    <x v="3"/>
  </r>
  <r>
    <s v="B-26464"/>
    <n v="5704"/>
    <n v="714"/>
    <n v="13"/>
    <x v="0"/>
    <s v="Laptops"/>
    <s v="EMI"/>
    <d v="2021-12-12T00:00:00"/>
    <s v="Brian Green"/>
    <x v="0"/>
    <x v="17"/>
    <d v="2021-12-01T00:00:00"/>
    <x v="3"/>
  </r>
  <r>
    <s v="B-26464"/>
    <n v="8797"/>
    <n v="1010"/>
    <n v="8"/>
    <x v="1"/>
    <s v="Tables"/>
    <s v="UPI"/>
    <d v="2021-12-12T00:00:00"/>
    <s v="Brian Green"/>
    <x v="0"/>
    <x v="17"/>
    <d v="2021-12-01T00:00:00"/>
    <x v="3"/>
  </r>
  <r>
    <s v="B-26464"/>
    <n v="9236"/>
    <n v="2899"/>
    <n v="5"/>
    <x v="0"/>
    <s v="Laptops"/>
    <s v="Debit Card"/>
    <d v="2021-12-12T00:00:00"/>
    <s v="Brian Green"/>
    <x v="0"/>
    <x v="17"/>
    <d v="2021-12-01T00:00:00"/>
    <x v="3"/>
  </r>
  <r>
    <s v="B-25510"/>
    <n v="2478"/>
    <n v="92"/>
    <n v="12"/>
    <x v="1"/>
    <s v="Bookcases"/>
    <s v="COD"/>
    <d v="2021-03-03T00:00:00"/>
    <s v="Laura Andrews"/>
    <x v="4"/>
    <x v="16"/>
    <d v="2021-03-01T00:00:00"/>
    <x v="3"/>
  </r>
  <r>
    <s v="B-25510"/>
    <n v="2478"/>
    <n v="92"/>
    <n v="12"/>
    <x v="1"/>
    <s v="Bookcases"/>
    <s v="COD"/>
    <d v="2021-03-18T00:00:00"/>
    <s v="Mrs. Stephanie Hooper"/>
    <x v="0"/>
    <x v="2"/>
    <d v="2021-03-01T00:00:00"/>
    <x v="3"/>
  </r>
  <r>
    <s v="B-25936"/>
    <n v="9992"/>
    <n v="3696"/>
    <n v="20"/>
    <x v="2"/>
    <s v="Pens"/>
    <s v="Debit Card"/>
    <d v="2021-10-09T00:00:00"/>
    <s v="Patrick Williams"/>
    <x v="4"/>
    <x v="12"/>
    <d v="2021-10-01T00:00:00"/>
    <x v="3"/>
  </r>
  <r>
    <s v="B-25936"/>
    <n v="9619"/>
    <n v="3420"/>
    <n v="7"/>
    <x v="2"/>
    <s v="Binders"/>
    <s v="UPI"/>
    <d v="2021-10-09T00:00:00"/>
    <s v="Patrick Williams"/>
    <x v="4"/>
    <x v="12"/>
    <d v="2021-10-01T00:00:00"/>
    <x v="3"/>
  </r>
  <r>
    <s v="B-25884"/>
    <n v="9538"/>
    <n v="3158"/>
    <n v="20"/>
    <x v="0"/>
    <s v="Printers"/>
    <s v="Credit Card"/>
    <d v="2021-05-18T00:00:00"/>
    <s v="Wanda West"/>
    <x v="2"/>
    <x v="5"/>
    <d v="2021-05-01T00:00:00"/>
    <x v="3"/>
  </r>
  <r>
    <s v="B-25884"/>
    <n v="9035"/>
    <n v="1227"/>
    <n v="14"/>
    <x v="1"/>
    <s v="Chairs"/>
    <s v="EMI"/>
    <d v="2021-05-18T00:00:00"/>
    <s v="Wanda West"/>
    <x v="2"/>
    <x v="5"/>
    <d v="2021-05-01T00:00:00"/>
    <x v="3"/>
  </r>
  <r>
    <s v="B-26293"/>
    <n v="9768"/>
    <n v="4518"/>
    <n v="8"/>
    <x v="1"/>
    <s v="Tables"/>
    <s v="Credit Card"/>
    <d v="2021-11-26T00:00:00"/>
    <s v="Michael Hunt"/>
    <x v="1"/>
    <x v="13"/>
    <d v="2021-11-01T00:00:00"/>
    <x v="3"/>
  </r>
  <r>
    <s v="B-26293"/>
    <n v="4968"/>
    <n v="934"/>
    <n v="5"/>
    <x v="1"/>
    <s v="Sofas"/>
    <s v="Debit Card"/>
    <d v="2021-11-26T00:00:00"/>
    <s v="Michael Hunt"/>
    <x v="1"/>
    <x v="13"/>
    <d v="2021-11-01T00:00:00"/>
    <x v="3"/>
  </r>
  <r>
    <s v="B-26293"/>
    <n v="1731"/>
    <n v="149"/>
    <n v="4"/>
    <x v="0"/>
    <s v="Laptops"/>
    <s v="EMI"/>
    <d v="2021-11-26T00:00:00"/>
    <s v="Michael Hunt"/>
    <x v="1"/>
    <x v="13"/>
    <d v="2021-11-01T00:00:00"/>
    <x v="3"/>
  </r>
  <r>
    <s v="B-25915"/>
    <n v="3433"/>
    <n v="1169"/>
    <n v="10"/>
    <x v="2"/>
    <s v="Binders"/>
    <s v="COD"/>
    <d v="2021-09-09T00:00:00"/>
    <s v="Amy Olsen"/>
    <x v="5"/>
    <x v="10"/>
    <d v="2021-09-01T00:00:00"/>
    <x v="3"/>
  </r>
  <r>
    <s v="B-25915"/>
    <n v="3433"/>
    <n v="1169"/>
    <n v="10"/>
    <x v="2"/>
    <s v="Binders"/>
    <s v="COD"/>
    <d v="2021-09-08T00:00:00"/>
    <s v="Stacey Miller"/>
    <x v="0"/>
    <x v="17"/>
    <d v="2021-09-01T00:00:00"/>
    <x v="3"/>
  </r>
  <r>
    <s v="B-25915"/>
    <n v="3887"/>
    <n v="1490"/>
    <n v="1"/>
    <x v="2"/>
    <s v="Binders"/>
    <s v="Debit Card"/>
    <d v="2021-09-09T00:00:00"/>
    <s v="Amy Olsen"/>
    <x v="5"/>
    <x v="10"/>
    <d v="2021-09-01T00:00:00"/>
    <x v="3"/>
  </r>
  <r>
    <s v="B-25915"/>
    <n v="3887"/>
    <n v="1490"/>
    <n v="1"/>
    <x v="2"/>
    <s v="Binders"/>
    <s v="Debit Card"/>
    <d v="2021-09-08T00:00:00"/>
    <s v="Stacey Miller"/>
    <x v="0"/>
    <x v="17"/>
    <d v="2021-09-01T00:00:00"/>
    <x v="3"/>
  </r>
  <r>
    <s v="B-26332"/>
    <n v="9835"/>
    <n v="2571"/>
    <n v="16"/>
    <x v="1"/>
    <s v="Tables"/>
    <s v="COD"/>
    <d v="2021-11-16T00:00:00"/>
    <s v="Nicholas Anderson"/>
    <x v="3"/>
    <x v="4"/>
    <d v="2021-11-01T00:00:00"/>
    <x v="3"/>
  </r>
  <r>
    <s v="B-26332"/>
    <n v="9691"/>
    <n v="3056"/>
    <n v="13"/>
    <x v="2"/>
    <s v="Markers"/>
    <s v="Credit Card"/>
    <d v="2021-11-16T00:00:00"/>
    <s v="Nicholas Anderson"/>
    <x v="3"/>
    <x v="4"/>
    <d v="2021-11-01T00:00:00"/>
    <x v="3"/>
  </r>
  <r>
    <s v="B-26332"/>
    <n v="7826"/>
    <n v="1221"/>
    <n v="14"/>
    <x v="1"/>
    <s v="Bookcases"/>
    <s v="UPI"/>
    <d v="2021-11-16T00:00:00"/>
    <s v="Nicholas Anderson"/>
    <x v="3"/>
    <x v="4"/>
    <d v="2021-11-01T00:00:00"/>
    <x v="3"/>
  </r>
  <r>
    <s v="B-25303"/>
    <n v="770"/>
    <n v="241"/>
    <n v="11"/>
    <x v="1"/>
    <s v="Sofas"/>
    <s v="COD"/>
    <d v="2021-11-23T00:00:00"/>
    <s v="Darren Perez"/>
    <x v="1"/>
    <x v="1"/>
    <d v="2021-11-01T00:00:00"/>
    <x v="3"/>
  </r>
  <r>
    <s v="B-25156"/>
    <n v="9820"/>
    <n v="793"/>
    <n v="16"/>
    <x v="1"/>
    <s v="Chairs"/>
    <s v="Credit Card"/>
    <d v="2021-08-29T00:00:00"/>
    <s v="Tom Lawson"/>
    <x v="4"/>
    <x v="9"/>
    <d v="2021-08-01T00:00:00"/>
    <x v="3"/>
  </r>
  <r>
    <s v="B-26244"/>
    <n v="7340"/>
    <n v="2271"/>
    <n v="8"/>
    <x v="2"/>
    <s v="Paper"/>
    <s v="EMI"/>
    <d v="2021-12-05T00:00:00"/>
    <s v="William Welch"/>
    <x v="3"/>
    <x v="4"/>
    <d v="2021-12-01T00:00:00"/>
    <x v="3"/>
  </r>
  <r>
    <s v="B-26244"/>
    <n v="5442"/>
    <n v="1610"/>
    <n v="1"/>
    <x v="0"/>
    <s v="Phones"/>
    <s v="EMI"/>
    <d v="2021-12-05T00:00:00"/>
    <s v="William Welch"/>
    <x v="3"/>
    <x v="4"/>
    <d v="2021-12-01T00:00:00"/>
    <x v="3"/>
  </r>
  <r>
    <s v="B-25901"/>
    <n v="9883"/>
    <n v="4812"/>
    <n v="16"/>
    <x v="2"/>
    <s v="Paper"/>
    <s v="UPI"/>
    <d v="2021-10-17T00:00:00"/>
    <s v="Leslie Bean"/>
    <x v="5"/>
    <x v="10"/>
    <d v="2021-10-01T00:00:00"/>
    <x v="3"/>
  </r>
  <r>
    <s v="B-25901"/>
    <n v="5210"/>
    <n v="1185"/>
    <n v="7"/>
    <x v="2"/>
    <s v="Paper"/>
    <s v="UPI"/>
    <d v="2021-10-17T00:00:00"/>
    <s v="Leslie Bean"/>
    <x v="5"/>
    <x v="10"/>
    <d v="2021-10-01T00:00:00"/>
    <x v="3"/>
  </r>
  <r>
    <s v="B-25841"/>
    <n v="782"/>
    <n v="374"/>
    <n v="8"/>
    <x v="2"/>
    <s v="Pens"/>
    <s v="EMI"/>
    <d v="2021-01-19T00:00:00"/>
    <s v="Jacob Meyer"/>
    <x v="5"/>
    <x v="11"/>
    <d v="2021-01-01T00:00:00"/>
    <x v="3"/>
  </r>
  <r>
    <s v="B-25841"/>
    <n v="4371"/>
    <n v="1852"/>
    <n v="1"/>
    <x v="0"/>
    <s v="Laptops"/>
    <s v="UPI"/>
    <d v="2021-01-19T00:00:00"/>
    <s v="Jacob Meyer"/>
    <x v="5"/>
    <x v="11"/>
    <d v="2021-01-01T00:00:00"/>
    <x v="3"/>
  </r>
  <r>
    <s v="B-26939"/>
    <n v="4920"/>
    <n v="775"/>
    <n v="12"/>
    <x v="1"/>
    <s v="Tables"/>
    <s v="Debit Card"/>
    <d v="2021-08-12T00:00:00"/>
    <s v="Theresa Medina"/>
    <x v="5"/>
    <x v="10"/>
    <d v="2021-08-01T00:00:00"/>
    <x v="3"/>
  </r>
  <r>
    <s v="B-26939"/>
    <n v="9078"/>
    <n v="2213"/>
    <n v="15"/>
    <x v="1"/>
    <s v="Bookcases"/>
    <s v="EMI"/>
    <d v="2021-08-12T00:00:00"/>
    <s v="Theresa Medina"/>
    <x v="5"/>
    <x v="10"/>
    <d v="2021-08-01T00:00:00"/>
    <x v="3"/>
  </r>
  <r>
    <s v="B-25388"/>
    <n v="5047"/>
    <n v="2211"/>
    <n v="13"/>
    <x v="1"/>
    <s v="Sofas"/>
    <s v="EMI"/>
    <d v="2021-02-04T00:00:00"/>
    <s v="Sara Castro"/>
    <x v="5"/>
    <x v="14"/>
    <d v="2021-02-01T00:00:00"/>
    <x v="3"/>
  </r>
  <r>
    <s v="B-26419"/>
    <n v="3657"/>
    <n v="163"/>
    <n v="1"/>
    <x v="1"/>
    <s v="Sofas"/>
    <s v="UPI"/>
    <d v="2021-05-28T00:00:00"/>
    <s v="John Stevens"/>
    <x v="0"/>
    <x v="2"/>
    <d v="2021-05-01T00:00:00"/>
    <x v="3"/>
  </r>
  <r>
    <s v="B-25400"/>
    <n v="7759"/>
    <n v="3741"/>
    <n v="17"/>
    <x v="0"/>
    <s v="Printers"/>
    <s v="UPI"/>
    <d v="2021-03-24T00:00:00"/>
    <s v="Maria Thomas"/>
    <x v="3"/>
    <x v="7"/>
    <d v="2021-03-01T00:00:00"/>
    <x v="3"/>
  </r>
  <r>
    <s v="B-25400"/>
    <n v="7521"/>
    <n v="3457"/>
    <n v="16"/>
    <x v="2"/>
    <s v="Markers"/>
    <s v="Debit Card"/>
    <d v="2021-03-24T00:00:00"/>
    <s v="Maria Thomas"/>
    <x v="3"/>
    <x v="7"/>
    <d v="2021-03-01T00:00:00"/>
    <x v="3"/>
  </r>
  <r>
    <s v="B-25885"/>
    <n v="9704"/>
    <n v="4339"/>
    <n v="12"/>
    <x v="2"/>
    <s v="Pens"/>
    <s v="COD"/>
    <d v="2021-03-06T00:00:00"/>
    <s v="Dawn Howard"/>
    <x v="1"/>
    <x v="15"/>
    <d v="2021-03-01T00:00:00"/>
    <x v="3"/>
  </r>
  <r>
    <s v="B-25885"/>
    <n v="4948"/>
    <n v="2356"/>
    <n v="18"/>
    <x v="0"/>
    <s v="Printers"/>
    <s v="Debit Card"/>
    <d v="2021-03-06T00:00:00"/>
    <s v="Dawn Howard"/>
    <x v="1"/>
    <x v="15"/>
    <d v="2021-03-01T00:00:00"/>
    <x v="3"/>
  </r>
  <r>
    <s v="B-25885"/>
    <n v="6435"/>
    <n v="334"/>
    <n v="10"/>
    <x v="0"/>
    <s v="Electronic Games"/>
    <s v="Debit Card"/>
    <d v="2021-03-06T00:00:00"/>
    <s v="Dawn Howard"/>
    <x v="1"/>
    <x v="15"/>
    <d v="2021-03-01T00:00:00"/>
    <x v="3"/>
  </r>
  <r>
    <s v="B-25025"/>
    <n v="6447"/>
    <n v="3079"/>
    <n v="20"/>
    <x v="0"/>
    <s v="Laptops"/>
    <s v="COD"/>
    <d v="2021-03-25T00:00:00"/>
    <s v="James Gutierrez"/>
    <x v="4"/>
    <x v="12"/>
    <d v="2021-03-01T00:00:00"/>
    <x v="3"/>
  </r>
  <r>
    <s v="B-25025"/>
    <n v="8947"/>
    <n v="2807"/>
    <n v="6"/>
    <x v="0"/>
    <s v="Electronic Games"/>
    <s v="Credit Card"/>
    <d v="2021-03-25T00:00:00"/>
    <s v="James Gutierrez"/>
    <x v="4"/>
    <x v="12"/>
    <d v="2021-03-01T00:00:00"/>
    <x v="3"/>
  </r>
  <r>
    <s v="B-26804"/>
    <n v="914"/>
    <n v="400"/>
    <n v="8"/>
    <x v="2"/>
    <s v="Pens"/>
    <s v="Debit Card"/>
    <d v="2021-01-03T00:00:00"/>
    <s v="Morgan Sellers"/>
    <x v="0"/>
    <x v="0"/>
    <d v="2021-01-01T00:00:00"/>
    <x v="3"/>
  </r>
  <r>
    <s v="B-26804"/>
    <n v="1548"/>
    <n v="666"/>
    <n v="3"/>
    <x v="2"/>
    <s v="Paper"/>
    <s v="Credit Card"/>
    <d v="2021-01-03T00:00:00"/>
    <s v="Morgan Sellers"/>
    <x v="0"/>
    <x v="0"/>
    <d v="2021-01-01T00:00:00"/>
    <x v="3"/>
  </r>
  <r>
    <s v="B-25747"/>
    <n v="2962"/>
    <n v="1470"/>
    <n v="1"/>
    <x v="0"/>
    <s v="Phones"/>
    <s v="COD"/>
    <d v="2021-05-12T00:00:00"/>
    <s v="Jessica Kidd"/>
    <x v="4"/>
    <x v="9"/>
    <d v="2021-05-01T00:00:00"/>
    <x v="3"/>
  </r>
  <r>
    <s v="B-25747"/>
    <n v="7131"/>
    <n v="718"/>
    <n v="12"/>
    <x v="0"/>
    <s v="Printers"/>
    <s v="UPI"/>
    <d v="2021-05-12T00:00:00"/>
    <s v="Jessica Kidd"/>
    <x v="4"/>
    <x v="9"/>
    <d v="2021-05-01T00:00:00"/>
    <x v="3"/>
  </r>
  <r>
    <s v="B-25747"/>
    <n v="4200"/>
    <n v="855"/>
    <n v="10"/>
    <x v="2"/>
    <s v="Markers"/>
    <s v="EMI"/>
    <d v="2021-05-12T00:00:00"/>
    <s v="Jessica Kidd"/>
    <x v="4"/>
    <x v="9"/>
    <d v="2021-05-01T00:00:00"/>
    <x v="3"/>
  </r>
  <r>
    <s v="B-26969"/>
    <n v="3348"/>
    <n v="568"/>
    <n v="5"/>
    <x v="2"/>
    <s v="Markers"/>
    <s v="Credit Card"/>
    <d v="2021-04-30T00:00:00"/>
    <s v="Peter Ward"/>
    <x v="4"/>
    <x v="12"/>
    <d v="2021-04-01T00:00:00"/>
    <x v="3"/>
  </r>
  <r>
    <s v="B-26969"/>
    <n v="8856"/>
    <n v="2020"/>
    <n v="9"/>
    <x v="2"/>
    <s v="Pens"/>
    <s v="Debit Card"/>
    <d v="2021-04-30T00:00:00"/>
    <s v="Peter Ward"/>
    <x v="4"/>
    <x v="12"/>
    <d v="2021-04-01T00:00:00"/>
    <x v="3"/>
  </r>
  <r>
    <s v="B-26312"/>
    <n v="1760"/>
    <n v="619"/>
    <n v="16"/>
    <x v="1"/>
    <s v="Sofas"/>
    <s v="Debit Card"/>
    <d v="2021-09-15T00:00:00"/>
    <s v="Jonathan Alvarez"/>
    <x v="2"/>
    <x v="3"/>
    <d v="2021-09-01T00:00:00"/>
    <x v="3"/>
  </r>
  <r>
    <s v="B-26312"/>
    <n v="6351"/>
    <n v="986"/>
    <n v="15"/>
    <x v="0"/>
    <s v="Printers"/>
    <s v="UPI"/>
    <d v="2021-09-15T00:00:00"/>
    <s v="Jonathan Alvarez"/>
    <x v="2"/>
    <x v="3"/>
    <d v="2021-09-01T00:00:00"/>
    <x v="3"/>
  </r>
  <r>
    <s v="B-26837"/>
    <n v="869"/>
    <n v="373"/>
    <n v="14"/>
    <x v="2"/>
    <s v="Paper"/>
    <s v="Credit Card"/>
    <d v="2021-07-08T00:00:00"/>
    <s v="Larry Hill"/>
    <x v="4"/>
    <x v="16"/>
    <d v="2021-07-01T00:00:00"/>
    <x v="3"/>
  </r>
  <r>
    <s v="B-26837"/>
    <n v="1486"/>
    <n v="114"/>
    <n v="7"/>
    <x v="1"/>
    <s v="Bookcases"/>
    <s v="UPI"/>
    <d v="2021-07-08T00:00:00"/>
    <s v="Larry Hill"/>
    <x v="4"/>
    <x v="16"/>
    <d v="2021-07-01T00:00:00"/>
    <x v="3"/>
  </r>
  <r>
    <s v="B-26035"/>
    <n v="1281"/>
    <n v="340"/>
    <n v="3"/>
    <x v="0"/>
    <s v="Electronic Games"/>
    <s v="Debit Card"/>
    <d v="2021-12-31T00:00:00"/>
    <s v="Megan Mack"/>
    <x v="1"/>
    <x v="1"/>
    <d v="2021-12-01T00:00:00"/>
    <x v="3"/>
  </r>
  <r>
    <s v="B-26035"/>
    <n v="2404"/>
    <n v="253"/>
    <n v="15"/>
    <x v="0"/>
    <s v="Laptops"/>
    <s v="COD"/>
    <d v="2021-12-31T00:00:00"/>
    <s v="Megan Mack"/>
    <x v="1"/>
    <x v="1"/>
    <d v="2021-12-01T00:00:00"/>
    <x v="3"/>
  </r>
  <r>
    <s v="B-26508"/>
    <n v="9204"/>
    <n v="3289"/>
    <n v="16"/>
    <x v="0"/>
    <s v="Laptops"/>
    <s v="Credit Card"/>
    <d v="2021-06-15T00:00:00"/>
    <s v="Eric Stevens"/>
    <x v="3"/>
    <x v="7"/>
    <d v="2021-06-01T00:00:00"/>
    <x v="3"/>
  </r>
  <r>
    <s v="B-26508"/>
    <n v="9894"/>
    <n v="3698"/>
    <n v="20"/>
    <x v="2"/>
    <s v="Paper"/>
    <s v="EMI"/>
    <d v="2021-06-15T00:00:00"/>
    <s v="Eric Stevens"/>
    <x v="3"/>
    <x v="7"/>
    <d v="2021-06-01T00:00:00"/>
    <x v="3"/>
  </r>
  <r>
    <s v="B-25757"/>
    <n v="7560"/>
    <n v="821"/>
    <n v="4"/>
    <x v="2"/>
    <s v="Paper"/>
    <s v="EMI"/>
    <d v="2021-10-04T00:00:00"/>
    <s v="Ms. Kim Jordan"/>
    <x v="5"/>
    <x v="14"/>
    <d v="2021-10-01T00:00:00"/>
    <x v="3"/>
  </r>
  <r>
    <s v="B-26716"/>
    <n v="1314"/>
    <n v="490"/>
    <n v="16"/>
    <x v="1"/>
    <s v="Sofas"/>
    <s v="UPI"/>
    <d v="2021-11-20T00:00:00"/>
    <s v="Marcus Santiago"/>
    <x v="4"/>
    <x v="9"/>
    <d v="2021-11-01T00:00:00"/>
    <x v="3"/>
  </r>
  <r>
    <s v="B-26716"/>
    <n v="4390"/>
    <n v="179"/>
    <n v="1"/>
    <x v="1"/>
    <s v="Tables"/>
    <s v="Debit Card"/>
    <d v="2021-11-20T00:00:00"/>
    <s v="Marcus Santiago"/>
    <x v="4"/>
    <x v="9"/>
    <d v="2021-11-01T00:00:00"/>
    <x v="3"/>
  </r>
  <r>
    <s v="B-26716"/>
    <n v="1150"/>
    <n v="58"/>
    <n v="7"/>
    <x v="2"/>
    <s v="Binders"/>
    <s v="Debit Card"/>
    <d v="2021-11-20T00:00:00"/>
    <s v="Marcus Santiago"/>
    <x v="4"/>
    <x v="9"/>
    <d v="2021-11-01T00:00:00"/>
    <x v="3"/>
  </r>
  <r>
    <s v="B-26489"/>
    <n v="2791"/>
    <n v="894"/>
    <n v="14"/>
    <x v="0"/>
    <s v="Laptops"/>
    <s v="COD"/>
    <d v="2021-02-09T00:00:00"/>
    <s v="Michelle Bailey"/>
    <x v="1"/>
    <x v="13"/>
    <d v="2021-02-01T00:00:00"/>
    <x v="3"/>
  </r>
  <r>
    <s v="B-26489"/>
    <n v="6223"/>
    <n v="1478"/>
    <n v="3"/>
    <x v="1"/>
    <s v="Sofas"/>
    <s v="Debit Card"/>
    <d v="2021-02-09T00:00:00"/>
    <s v="Michelle Bailey"/>
    <x v="1"/>
    <x v="13"/>
    <d v="2021-02-01T00:00:00"/>
    <x v="3"/>
  </r>
  <r>
    <s v="B-26489"/>
    <n v="8943"/>
    <n v="3121"/>
    <n v="17"/>
    <x v="1"/>
    <s v="Chairs"/>
    <s v="Debit Card"/>
    <d v="2021-02-09T00:00:00"/>
    <s v="Michelle Bailey"/>
    <x v="1"/>
    <x v="13"/>
    <d v="2021-02-01T00:00:00"/>
    <x v="3"/>
  </r>
  <r>
    <s v="B-26489"/>
    <n v="3297"/>
    <n v="102"/>
    <n v="12"/>
    <x v="0"/>
    <s v="Phones"/>
    <s v="Credit Card"/>
    <d v="2021-02-09T00:00:00"/>
    <s v="Michelle Bailey"/>
    <x v="1"/>
    <x v="13"/>
    <d v="2021-02-01T00:00:00"/>
    <x v="3"/>
  </r>
  <r>
    <s v="B-25241"/>
    <n v="9905"/>
    <n v="633"/>
    <n v="17"/>
    <x v="2"/>
    <s v="Pens"/>
    <s v="EMI"/>
    <d v="2021-07-18T00:00:00"/>
    <s v="John Munoz"/>
    <x v="1"/>
    <x v="13"/>
    <d v="2021-07-01T00:00:00"/>
    <x v="3"/>
  </r>
  <r>
    <s v="B-25241"/>
    <n v="9905"/>
    <n v="633"/>
    <n v="17"/>
    <x v="2"/>
    <s v="Pens"/>
    <s v="EMI"/>
    <d v="2021-10-02T00:00:00"/>
    <s v="David Clark"/>
    <x v="3"/>
    <x v="8"/>
    <d v="2021-10-01T00:00:00"/>
    <x v="3"/>
  </r>
  <r>
    <s v="B-26137"/>
    <n v="3423"/>
    <n v="804"/>
    <n v="4"/>
    <x v="0"/>
    <s v="Printers"/>
    <s v="Credit Card"/>
    <d v="2021-11-13T00:00:00"/>
    <s v="Richard Maynard"/>
    <x v="2"/>
    <x v="6"/>
    <d v="2021-11-01T00:00:00"/>
    <x v="3"/>
  </r>
  <r>
    <s v="B-26800"/>
    <n v="8568"/>
    <n v="2419"/>
    <n v="11"/>
    <x v="0"/>
    <s v="Electronic Games"/>
    <s v="UPI"/>
    <d v="2021-10-23T00:00:00"/>
    <s v="Anthony Williams"/>
    <x v="4"/>
    <x v="12"/>
    <d v="2021-10-01T00:00:00"/>
    <x v="3"/>
  </r>
  <r>
    <s v="B-26800"/>
    <n v="3283"/>
    <n v="71"/>
    <n v="6"/>
    <x v="2"/>
    <s v="Pens"/>
    <s v="EMI"/>
    <d v="2021-10-23T00:00:00"/>
    <s v="Anthony Williams"/>
    <x v="4"/>
    <x v="12"/>
    <d v="2021-10-01T00:00:00"/>
    <x v="3"/>
  </r>
  <r>
    <s v="B-26864"/>
    <n v="2539"/>
    <n v="324"/>
    <n v="5"/>
    <x v="0"/>
    <s v="Electronic Games"/>
    <s v="UPI"/>
    <d v="2021-01-30T00:00:00"/>
    <s v="Collin Cameron"/>
    <x v="0"/>
    <x v="2"/>
    <d v="2021-01-01T00:00:00"/>
    <x v="3"/>
  </r>
  <r>
    <s v="B-25849"/>
    <n v="2901"/>
    <n v="1411"/>
    <n v="2"/>
    <x v="2"/>
    <s v="Paper"/>
    <s v="Debit Card"/>
    <d v="2021-10-26T00:00:00"/>
    <s v="William Russell"/>
    <x v="1"/>
    <x v="1"/>
    <d v="2021-10-01T00:00:00"/>
    <x v="3"/>
  </r>
  <r>
    <s v="B-25849"/>
    <n v="6934"/>
    <n v="1152"/>
    <n v="6"/>
    <x v="2"/>
    <s v="Pens"/>
    <s v="Credit Card"/>
    <d v="2021-10-26T00:00:00"/>
    <s v="William Russell"/>
    <x v="1"/>
    <x v="1"/>
    <d v="2021-10-01T00:00:00"/>
    <x v="3"/>
  </r>
  <r>
    <s v="B-25829"/>
    <n v="9640"/>
    <n v="2606"/>
    <n v="2"/>
    <x v="1"/>
    <s v="Bookcases"/>
    <s v="Credit Card"/>
    <d v="2021-10-31T00:00:00"/>
    <s v="Anthony Barnett"/>
    <x v="5"/>
    <x v="11"/>
    <d v="2021-10-01T00:00:00"/>
    <x v="3"/>
  </r>
  <r>
    <s v="B-26654"/>
    <n v="7838"/>
    <n v="1142"/>
    <n v="13"/>
    <x v="0"/>
    <s v="Phones"/>
    <s v="UPI"/>
    <d v="2021-02-18T00:00:00"/>
    <s v="Mrs. Jennifer Lewis"/>
    <x v="0"/>
    <x v="2"/>
    <d v="2021-02-01T00:00:00"/>
    <x v="3"/>
  </r>
  <r>
    <s v="B-26654"/>
    <n v="9300"/>
    <n v="3146"/>
    <n v="6"/>
    <x v="0"/>
    <s v="Phones"/>
    <s v="Credit Card"/>
    <d v="2021-02-18T00:00:00"/>
    <s v="Mrs. Jennifer Lewis"/>
    <x v="0"/>
    <x v="2"/>
    <d v="2021-02-01T00:00:00"/>
    <x v="3"/>
  </r>
  <r>
    <s v="B-26654"/>
    <n v="1733"/>
    <n v="133"/>
    <n v="17"/>
    <x v="2"/>
    <s v="Paper"/>
    <s v="Debit Card"/>
    <d v="2021-02-18T00:00:00"/>
    <s v="Mrs. Jennifer Lewis"/>
    <x v="0"/>
    <x v="2"/>
    <d v="2021-02-01T00:00:00"/>
    <x v="3"/>
  </r>
  <r>
    <s v="B-26195"/>
    <n v="874"/>
    <n v="235"/>
    <n v="15"/>
    <x v="2"/>
    <s v="Binders"/>
    <s v="Debit Card"/>
    <d v="2021-06-04T00:00:00"/>
    <s v="Christopher Johnson"/>
    <x v="3"/>
    <x v="7"/>
    <d v="2021-06-01T00:00:00"/>
    <x v="3"/>
  </r>
  <r>
    <s v="B-26469"/>
    <n v="7856"/>
    <n v="3699"/>
    <n v="17"/>
    <x v="0"/>
    <s v="Electronic Games"/>
    <s v="UPI"/>
    <d v="2021-03-24T00:00:00"/>
    <s v="Eric Clark"/>
    <x v="3"/>
    <x v="4"/>
    <d v="2021-03-01T00:00:00"/>
    <x v="3"/>
  </r>
  <r>
    <s v="B-26469"/>
    <n v="1165"/>
    <n v="51"/>
    <n v="3"/>
    <x v="2"/>
    <s v="Pens"/>
    <s v="EMI"/>
    <d v="2021-03-24T00:00:00"/>
    <s v="Eric Clark"/>
    <x v="3"/>
    <x v="4"/>
    <d v="2021-03-01T00:00:00"/>
    <x v="3"/>
  </r>
  <r>
    <s v="B-26988"/>
    <n v="6255"/>
    <n v="437"/>
    <n v="18"/>
    <x v="2"/>
    <s v="Markers"/>
    <s v="COD"/>
    <d v="2021-12-03T00:00:00"/>
    <s v="Ms. Barbara Cervantes"/>
    <x v="4"/>
    <x v="12"/>
    <d v="2021-12-01T00:00:00"/>
    <x v="3"/>
  </r>
  <r>
    <s v="B-26988"/>
    <n v="2109"/>
    <n v="681"/>
    <n v="20"/>
    <x v="0"/>
    <s v="Electronic Games"/>
    <s v="UPI"/>
    <d v="2021-12-03T00:00:00"/>
    <s v="Ms. Barbara Cervantes"/>
    <x v="4"/>
    <x v="12"/>
    <d v="2021-12-01T00:00:00"/>
    <x v="3"/>
  </r>
  <r>
    <s v="B-25596"/>
    <n v="6707"/>
    <n v="1041"/>
    <n v="20"/>
    <x v="0"/>
    <s v="Phones"/>
    <s v="Credit Card"/>
    <d v="2021-09-14T00:00:00"/>
    <s v="Steven Proctor"/>
    <x v="1"/>
    <x v="1"/>
    <d v="2021-09-01T00:00:00"/>
    <x v="3"/>
  </r>
  <r>
    <s v="B-26845"/>
    <n v="7633"/>
    <n v="184"/>
    <n v="13"/>
    <x v="2"/>
    <s v="Pens"/>
    <s v="COD"/>
    <d v="2021-09-30T00:00:00"/>
    <s v="Shannon Patterson"/>
    <x v="5"/>
    <x v="10"/>
    <d v="2021-09-01T00:00:00"/>
    <x v="3"/>
  </r>
  <r>
    <s v="B-25099"/>
    <n v="975"/>
    <n v="224"/>
    <n v="18"/>
    <x v="2"/>
    <s v="Pens"/>
    <s v="COD"/>
    <d v="2021-12-22T00:00:00"/>
    <s v="William Valdez"/>
    <x v="0"/>
    <x v="17"/>
    <d v="2021-12-01T00:00:00"/>
    <x v="3"/>
  </r>
  <r>
    <s v="B-25099"/>
    <n v="4492"/>
    <n v="1450"/>
    <n v="7"/>
    <x v="1"/>
    <s v="Tables"/>
    <s v="EMI"/>
    <d v="2021-12-22T00:00:00"/>
    <s v="William Valdez"/>
    <x v="0"/>
    <x v="17"/>
    <d v="2021-12-01T00:00:00"/>
    <x v="3"/>
  </r>
  <r>
    <s v="B-25099"/>
    <n v="7957"/>
    <n v="2834"/>
    <n v="12"/>
    <x v="1"/>
    <s v="Chairs"/>
    <s v="UPI"/>
    <d v="2021-12-22T00:00:00"/>
    <s v="William Valdez"/>
    <x v="0"/>
    <x v="17"/>
    <d v="2021-12-01T00:00:00"/>
    <x v="3"/>
  </r>
  <r>
    <s v="B-26324"/>
    <n v="6355"/>
    <n v="1335"/>
    <n v="15"/>
    <x v="0"/>
    <s v="Electronic Games"/>
    <s v="Debit Card"/>
    <d v="2021-06-06T00:00:00"/>
    <s v="Keith Reese"/>
    <x v="1"/>
    <x v="1"/>
    <d v="2021-06-01T00:00:00"/>
    <x v="3"/>
  </r>
  <r>
    <s v="B-25746"/>
    <n v="8243"/>
    <n v="1346"/>
    <n v="15"/>
    <x v="2"/>
    <s v="Binders"/>
    <s v="Debit Card"/>
    <d v="2021-04-04T00:00:00"/>
    <s v="Manuel Walls"/>
    <x v="1"/>
    <x v="15"/>
    <d v="2021-04-01T00:00:00"/>
    <x v="3"/>
  </r>
  <r>
    <s v="B-25232"/>
    <n v="7792"/>
    <n v="1403"/>
    <n v="13"/>
    <x v="2"/>
    <s v="Paper"/>
    <s v="UPI"/>
    <d v="2021-02-12T00:00:00"/>
    <s v="Darren Moore"/>
    <x v="5"/>
    <x v="11"/>
    <d v="2021-02-01T00:00:00"/>
    <x v="3"/>
  </r>
  <r>
    <s v="B-25232"/>
    <n v="2346"/>
    <n v="388"/>
    <n v="14"/>
    <x v="1"/>
    <s v="Chairs"/>
    <s v="Debit Card"/>
    <d v="2021-02-12T00:00:00"/>
    <s v="Darren Moore"/>
    <x v="5"/>
    <x v="11"/>
    <d v="2021-02-01T00:00:00"/>
    <x v="3"/>
  </r>
  <r>
    <s v="B-26678"/>
    <n v="6934"/>
    <n v="1226"/>
    <n v="1"/>
    <x v="0"/>
    <s v="Electronic Games"/>
    <s v="Debit Card"/>
    <d v="2021-06-11T00:00:00"/>
    <s v="Mr. Jack Mercado"/>
    <x v="2"/>
    <x v="6"/>
    <d v="2021-06-01T00:00:00"/>
    <x v="3"/>
  </r>
  <r>
    <s v="B-26678"/>
    <n v="6934"/>
    <n v="1226"/>
    <n v="1"/>
    <x v="0"/>
    <s v="Electronic Games"/>
    <s v="Debit Card"/>
    <d v="2021-09-08T00:00:00"/>
    <s v="Christian Jones"/>
    <x v="4"/>
    <x v="12"/>
    <d v="2021-09-01T00:00:00"/>
    <x v="3"/>
  </r>
  <r>
    <s v="B-25925"/>
    <n v="3022"/>
    <n v="384"/>
    <n v="1"/>
    <x v="2"/>
    <s v="Pens"/>
    <s v="Credit Card"/>
    <d v="2021-02-17T00:00:00"/>
    <s v="James Hart"/>
    <x v="5"/>
    <x v="14"/>
    <d v="2021-02-01T00:00:00"/>
    <x v="3"/>
  </r>
  <r>
    <s v="B-25925"/>
    <n v="5266"/>
    <n v="1111"/>
    <n v="13"/>
    <x v="0"/>
    <s v="Electronic Games"/>
    <s v="Debit Card"/>
    <d v="2021-02-17T00:00:00"/>
    <s v="James Hart"/>
    <x v="5"/>
    <x v="14"/>
    <d v="2021-02-01T00:00:00"/>
    <x v="3"/>
  </r>
  <r>
    <s v="B-25602"/>
    <n v="4853"/>
    <n v="1764"/>
    <n v="9"/>
    <x v="2"/>
    <s v="Pens"/>
    <s v="Debit Card"/>
    <d v="2021-11-06T00:00:00"/>
    <s v="Rhonda Harris"/>
    <x v="3"/>
    <x v="4"/>
    <d v="2021-11-01T00:00:00"/>
    <x v="3"/>
  </r>
  <r>
    <s v="B-25437"/>
    <n v="4688"/>
    <n v="1841"/>
    <n v="3"/>
    <x v="0"/>
    <s v="Laptops"/>
    <s v="Credit Card"/>
    <d v="2021-07-25T00:00:00"/>
    <s v="Jillian Johnson MD"/>
    <x v="0"/>
    <x v="17"/>
    <d v="2021-07-01T00:00:00"/>
    <x v="3"/>
  </r>
  <r>
    <s v="B-25222"/>
    <n v="4852"/>
    <n v="218"/>
    <n v="2"/>
    <x v="1"/>
    <s v="Tables"/>
    <s v="EMI"/>
    <d v="2021-12-24T00:00:00"/>
    <s v="Cynthia Meyer"/>
    <x v="3"/>
    <x v="8"/>
    <d v="2021-12-01T00:00:00"/>
    <x v="3"/>
  </r>
  <r>
    <s v="B-26402"/>
    <n v="4314"/>
    <n v="1453"/>
    <n v="6"/>
    <x v="1"/>
    <s v="Sofas"/>
    <s v="COD"/>
    <d v="2021-08-10T00:00:00"/>
    <s v="Christina Scott"/>
    <x v="3"/>
    <x v="8"/>
    <d v="2021-08-01T00:00:00"/>
    <x v="3"/>
  </r>
  <r>
    <s v="B-25953"/>
    <n v="6690"/>
    <n v="1001"/>
    <n v="19"/>
    <x v="2"/>
    <s v="Binders"/>
    <s v="UPI"/>
    <d v="2021-11-13T00:00:00"/>
    <s v="Sydney Walls"/>
    <x v="5"/>
    <x v="14"/>
    <d v="2021-11-01T00:00:00"/>
    <x v="3"/>
  </r>
  <r>
    <s v="B-25953"/>
    <n v="4985"/>
    <n v="1920"/>
    <n v="10"/>
    <x v="1"/>
    <s v="Bookcases"/>
    <s v="Credit Card"/>
    <d v="2021-11-13T00:00:00"/>
    <s v="Sydney Walls"/>
    <x v="5"/>
    <x v="14"/>
    <d v="2021-11-01T00:00:00"/>
    <x v="3"/>
  </r>
  <r>
    <s v="B-26516"/>
    <n v="8590"/>
    <n v="3565"/>
    <n v="15"/>
    <x v="0"/>
    <s v="Electronic Games"/>
    <s v="EMI"/>
    <d v="2021-11-11T00:00:00"/>
    <s v="Deborah Hoffman"/>
    <x v="3"/>
    <x v="7"/>
    <d v="2021-11-01T00:00:00"/>
    <x v="3"/>
  </r>
  <r>
    <s v="B-26516"/>
    <n v="6973"/>
    <n v="3038"/>
    <n v="10"/>
    <x v="1"/>
    <s v="Tables"/>
    <s v="COD"/>
    <d v="2021-11-11T00:00:00"/>
    <s v="Deborah Hoffman"/>
    <x v="3"/>
    <x v="7"/>
    <d v="2021-11-01T00:00:00"/>
    <x v="3"/>
  </r>
  <r>
    <s v="B-26843"/>
    <n v="4591"/>
    <n v="1941"/>
    <n v="19"/>
    <x v="0"/>
    <s v="Printers"/>
    <s v="EMI"/>
    <d v="2021-07-31T00:00:00"/>
    <s v="Megan Williams"/>
    <x v="1"/>
    <x v="13"/>
    <d v="2021-07-01T00:00:00"/>
    <x v="3"/>
  </r>
  <r>
    <s v="B-26843"/>
    <n v="9612"/>
    <n v="2572"/>
    <n v="17"/>
    <x v="2"/>
    <s v="Pens"/>
    <s v="Credit Card"/>
    <d v="2021-07-31T00:00:00"/>
    <s v="Megan Williams"/>
    <x v="1"/>
    <x v="13"/>
    <d v="2021-07-01T00:00:00"/>
    <x v="3"/>
  </r>
  <r>
    <s v="B-26587"/>
    <n v="8982"/>
    <n v="448"/>
    <n v="17"/>
    <x v="1"/>
    <s v="Sofas"/>
    <s v="UPI"/>
    <d v="2021-05-07T00:00:00"/>
    <s v="Angela Lyons"/>
    <x v="4"/>
    <x v="16"/>
    <d v="2021-05-01T00:00:00"/>
    <x v="3"/>
  </r>
  <r>
    <s v="B-26587"/>
    <n v="4826"/>
    <n v="562"/>
    <n v="5"/>
    <x v="2"/>
    <s v="Paper"/>
    <s v="Debit Card"/>
    <d v="2021-05-07T00:00:00"/>
    <s v="Angela Lyons"/>
    <x v="4"/>
    <x v="16"/>
    <d v="2021-05-01T00:00:00"/>
    <x v="3"/>
  </r>
  <r>
    <s v="B-26906"/>
    <n v="3665"/>
    <n v="802"/>
    <n v="4"/>
    <x v="2"/>
    <s v="Markers"/>
    <s v="Credit Card"/>
    <d v="2021-08-09T00:00:00"/>
    <s v="Brianna Hunt"/>
    <x v="3"/>
    <x v="7"/>
    <d v="2021-08-01T00:00:00"/>
    <x v="3"/>
  </r>
  <r>
    <s v="B-26409"/>
    <n v="3024"/>
    <n v="1353"/>
    <n v="1"/>
    <x v="1"/>
    <s v="Sofas"/>
    <s v="Credit Card"/>
    <d v="2021-12-28T00:00:00"/>
    <s v="John James"/>
    <x v="2"/>
    <x v="3"/>
    <d v="2021-12-01T00:00:00"/>
    <x v="3"/>
  </r>
  <r>
    <s v="B-26726"/>
    <n v="7213"/>
    <n v="508"/>
    <n v="19"/>
    <x v="0"/>
    <s v="Electronic Games"/>
    <s v="Debit Card"/>
    <d v="2021-11-29T00:00:00"/>
    <s v="Lynn Reynolds"/>
    <x v="2"/>
    <x v="6"/>
    <d v="2021-11-01T00:00:00"/>
    <x v="3"/>
  </r>
  <r>
    <s v="B-26726"/>
    <n v="3176"/>
    <n v="586"/>
    <n v="9"/>
    <x v="1"/>
    <s v="Tables"/>
    <s v="EMI"/>
    <d v="2021-11-29T00:00:00"/>
    <s v="Lynn Reynolds"/>
    <x v="2"/>
    <x v="6"/>
    <d v="2021-11-01T00:00:00"/>
    <x v="3"/>
  </r>
  <r>
    <s v="B-26136"/>
    <n v="9144"/>
    <n v="2220"/>
    <n v="18"/>
    <x v="2"/>
    <s v="Binders"/>
    <s v="Credit Card"/>
    <d v="2021-06-13T00:00:00"/>
    <s v="Ronald Good"/>
    <x v="3"/>
    <x v="7"/>
    <d v="2021-06-01T00:00:00"/>
    <x v="3"/>
  </r>
  <r>
    <s v="B-25430"/>
    <n v="7169"/>
    <n v="2385"/>
    <n v="11"/>
    <x v="1"/>
    <s v="Sofas"/>
    <s v="COD"/>
    <d v="2021-06-27T00:00:00"/>
    <s v="Michael Rivera"/>
    <x v="0"/>
    <x v="0"/>
    <d v="2021-06-01T00:00:00"/>
    <x v="3"/>
  </r>
  <r>
    <s v="B-25430"/>
    <n v="4046"/>
    <n v="417"/>
    <n v="18"/>
    <x v="1"/>
    <s v="Chairs"/>
    <s v="Credit Card"/>
    <d v="2021-06-27T00:00:00"/>
    <s v="Michael Rivera"/>
    <x v="0"/>
    <x v="0"/>
    <d v="2021-06-01T00:00:00"/>
    <x v="3"/>
  </r>
  <r>
    <s v="B-26268"/>
    <n v="4369"/>
    <n v="584"/>
    <n v="13"/>
    <x v="2"/>
    <s v="Pens"/>
    <s v="Credit Card"/>
    <d v="2021-04-03T00:00:00"/>
    <s v="Crystal Ross"/>
    <x v="1"/>
    <x v="1"/>
    <d v="2021-04-01T00:00:00"/>
    <x v="3"/>
  </r>
  <r>
    <s v="B-25456"/>
    <n v="5632"/>
    <n v="2358"/>
    <n v="20"/>
    <x v="1"/>
    <s v="Sofas"/>
    <s v="Credit Card"/>
    <d v="2021-05-03T00:00:00"/>
    <s v="Alexis Duffy"/>
    <x v="0"/>
    <x v="0"/>
    <d v="2021-05-01T00:00:00"/>
    <x v="3"/>
  </r>
  <r>
    <s v="B-26145"/>
    <n v="7441"/>
    <n v="867"/>
    <n v="12"/>
    <x v="1"/>
    <s v="Sofas"/>
    <s v="COD"/>
    <d v="2021-11-20T00:00:00"/>
    <s v="Deborah Williams"/>
    <x v="5"/>
    <x v="14"/>
    <d v="2021-11-01T00:00:00"/>
    <x v="3"/>
  </r>
  <r>
    <s v="B-26069"/>
    <n v="838"/>
    <n v="271"/>
    <n v="11"/>
    <x v="2"/>
    <s v="Markers"/>
    <s v="EMI"/>
    <d v="2021-01-21T00:00:00"/>
    <s v="Stephen Baker"/>
    <x v="2"/>
    <x v="3"/>
    <d v="2021-01-01T00:00:00"/>
    <x v="3"/>
  </r>
  <r>
    <s v="B-26069"/>
    <n v="3577"/>
    <n v="699"/>
    <n v="2"/>
    <x v="1"/>
    <s v="Tables"/>
    <s v="UPI"/>
    <d v="2021-01-21T00:00:00"/>
    <s v="Stephen Baker"/>
    <x v="2"/>
    <x v="3"/>
    <d v="2021-01-01T00:00:00"/>
    <x v="3"/>
  </r>
  <r>
    <s v="B-25182"/>
    <n v="1397"/>
    <n v="686"/>
    <n v="11"/>
    <x v="1"/>
    <s v="Chairs"/>
    <s v="Credit Card"/>
    <d v="2021-12-07T00:00:00"/>
    <s v="Natalie Maxwell"/>
    <x v="4"/>
    <x v="16"/>
    <d v="2021-12-01T00:00:00"/>
    <x v="3"/>
  </r>
  <r>
    <s v="B-25492"/>
    <n v="9279"/>
    <n v="552"/>
    <n v="14"/>
    <x v="1"/>
    <s v="Chairs"/>
    <s v="EMI"/>
    <d v="2021-12-14T00:00:00"/>
    <s v="Tina Blake"/>
    <x v="4"/>
    <x v="9"/>
    <d v="2021-12-01T00:00:00"/>
    <x v="3"/>
  </r>
  <r>
    <s v="B-25492"/>
    <n v="2596"/>
    <n v="1003"/>
    <n v="19"/>
    <x v="2"/>
    <s v="Paper"/>
    <s v="Credit Card"/>
    <d v="2021-12-14T00:00:00"/>
    <s v="Tina Blake"/>
    <x v="4"/>
    <x v="9"/>
    <d v="2021-12-01T00:00:00"/>
    <x v="3"/>
  </r>
  <r>
    <s v="B-25517"/>
    <n v="6732"/>
    <n v="911"/>
    <n v="19"/>
    <x v="1"/>
    <s v="Bookcases"/>
    <s v="EMI"/>
    <d v="2021-12-29T00:00:00"/>
    <s v="Tamara Guzman"/>
    <x v="4"/>
    <x v="9"/>
    <d v="2021-12-01T00:00:00"/>
    <x v="3"/>
  </r>
  <r>
    <s v="B-25517"/>
    <n v="4495"/>
    <n v="1408"/>
    <n v="14"/>
    <x v="2"/>
    <s v="Pens"/>
    <s v="EMI"/>
    <d v="2021-12-29T00:00:00"/>
    <s v="Tamara Guzman"/>
    <x v="4"/>
    <x v="9"/>
    <d v="2021-12-01T00:00:00"/>
    <x v="3"/>
  </r>
  <r>
    <s v="B-26009"/>
    <n v="8945"/>
    <n v="1728"/>
    <n v="10"/>
    <x v="1"/>
    <s v="Tables"/>
    <s v="UPI"/>
    <d v="2021-02-10T00:00:00"/>
    <s v="Sara Garcia"/>
    <x v="5"/>
    <x v="11"/>
    <d v="2021-02-01T00:00:00"/>
    <x v="3"/>
  </r>
  <r>
    <s v="B-25011"/>
    <n v="3913"/>
    <n v="961"/>
    <n v="15"/>
    <x v="1"/>
    <s v="Sofas"/>
    <s v="UPI"/>
    <d v="2021-02-06T00:00:00"/>
    <s v="Steven Keith"/>
    <x v="0"/>
    <x v="2"/>
    <d v="2021-02-01T00:00:00"/>
    <x v="3"/>
  </r>
  <r>
    <s v="B-25369"/>
    <n v="1579"/>
    <n v="602"/>
    <n v="9"/>
    <x v="0"/>
    <s v="Laptops"/>
    <s v="Credit Card"/>
    <d v="2021-11-16T00:00:00"/>
    <s v="Mr. Daniel Wilson"/>
    <x v="2"/>
    <x v="6"/>
    <d v="2021-11-01T00:00:00"/>
    <x v="3"/>
  </r>
  <r>
    <s v="B-25369"/>
    <n v="3760"/>
    <n v="1849"/>
    <n v="19"/>
    <x v="1"/>
    <s v="Chairs"/>
    <s v="EMI"/>
    <d v="2021-11-16T00:00:00"/>
    <s v="Mr. Daniel Wilson"/>
    <x v="2"/>
    <x v="6"/>
    <d v="2021-11-01T00:00:00"/>
    <x v="3"/>
  </r>
  <r>
    <s v="B-26528"/>
    <n v="2663"/>
    <n v="64"/>
    <n v="19"/>
    <x v="1"/>
    <s v="Sofas"/>
    <s v="COD"/>
    <d v="2021-10-23T00:00:00"/>
    <s v="Megan Davis"/>
    <x v="2"/>
    <x v="5"/>
    <d v="2021-10-01T00:00:00"/>
    <x v="3"/>
  </r>
  <r>
    <s v="B-25897"/>
    <n v="5393"/>
    <n v="2642"/>
    <n v="8"/>
    <x v="1"/>
    <s v="Chairs"/>
    <s v="UPI"/>
    <d v="2021-03-07T00:00:00"/>
    <s v="Jessica Blankenship"/>
    <x v="2"/>
    <x v="6"/>
    <d v="2021-03-01T00:00:00"/>
    <x v="3"/>
  </r>
  <r>
    <s v="B-25713"/>
    <n v="2280"/>
    <n v="509"/>
    <n v="8"/>
    <x v="0"/>
    <s v="Phones"/>
    <s v="Credit Card"/>
    <d v="2021-01-03T00:00:00"/>
    <s v="Peggy Campos"/>
    <x v="4"/>
    <x v="9"/>
    <d v="2021-01-01T00:00:00"/>
    <x v="3"/>
  </r>
  <r>
    <s v="B-26240"/>
    <n v="8042"/>
    <n v="936"/>
    <n v="15"/>
    <x v="2"/>
    <s v="Markers"/>
    <s v="EMI"/>
    <d v="2021-07-09T00:00:00"/>
    <s v="Michael Williams"/>
    <x v="5"/>
    <x v="10"/>
    <d v="2021-07-01T00:00:00"/>
    <x v="3"/>
  </r>
  <r>
    <s v="B-25228"/>
    <n v="6061"/>
    <n v="2121"/>
    <n v="19"/>
    <x v="0"/>
    <s v="Laptops"/>
    <s v="EMI"/>
    <d v="2021-05-27T00:00:00"/>
    <s v="Jodi Wood"/>
    <x v="2"/>
    <x v="5"/>
    <d v="2021-05-01T00:00:00"/>
    <x v="3"/>
  </r>
  <r>
    <s v="B-25790"/>
    <n v="2792"/>
    <n v="1008"/>
    <n v="8"/>
    <x v="0"/>
    <s v="Printers"/>
    <s v="COD"/>
    <d v="2021-02-14T00:00:00"/>
    <s v="Justin Rosales"/>
    <x v="3"/>
    <x v="7"/>
    <d v="2021-02-01T00:00:00"/>
    <x v="3"/>
  </r>
  <r>
    <s v="B-25529"/>
    <n v="1626"/>
    <n v="258"/>
    <n v="15"/>
    <x v="2"/>
    <s v="Pens"/>
    <s v="EMI"/>
    <d v="2021-06-07T00:00:00"/>
    <s v="Edward Johnson"/>
    <x v="3"/>
    <x v="4"/>
    <d v="2021-06-01T00:00:00"/>
    <x v="3"/>
  </r>
  <r>
    <s v="B-25709"/>
    <n v="1109"/>
    <n v="418"/>
    <n v="15"/>
    <x v="2"/>
    <s v="Paper"/>
    <s v="UPI"/>
    <d v="2021-08-19T00:00:00"/>
    <s v="Denise Mcdaniel"/>
    <x v="0"/>
    <x v="0"/>
    <d v="2021-08-01T00:00:00"/>
    <x v="3"/>
  </r>
  <r>
    <s v="B-25813"/>
    <n v="702"/>
    <n v="238"/>
    <n v="9"/>
    <x v="0"/>
    <s v="Phones"/>
    <s v="COD"/>
    <d v="2021-03-13T00:00:00"/>
    <s v="Charles Henderson"/>
    <x v="3"/>
    <x v="8"/>
    <d v="2021-03-01T00:00:00"/>
    <x v="3"/>
  </r>
  <r>
    <s v="B-26819"/>
    <n v="8762"/>
    <n v="3502"/>
    <n v="1"/>
    <x v="0"/>
    <s v="Phones"/>
    <s v="Debit Card"/>
    <d v="2021-08-17T00:00:00"/>
    <s v="Debra Richards"/>
    <x v="3"/>
    <x v="8"/>
    <d v="2021-08-01T00:00:00"/>
    <x v="3"/>
  </r>
  <r>
    <s v="B-25258"/>
    <n v="6951"/>
    <n v="164"/>
    <n v="10"/>
    <x v="1"/>
    <s v="Sofas"/>
    <s v="UPI"/>
    <d v="2021-08-12T00:00:00"/>
    <s v="Sheila Clay"/>
    <x v="4"/>
    <x v="9"/>
    <d v="2021-08-01T00:00:00"/>
    <x v="3"/>
  </r>
  <r>
    <s v="B-25705"/>
    <n v="9335"/>
    <n v="557"/>
    <n v="11"/>
    <x v="0"/>
    <s v="Electronic Games"/>
    <s v="COD"/>
    <d v="2021-04-27T00:00:00"/>
    <s v="Ann Mooney"/>
    <x v="0"/>
    <x v="0"/>
    <d v="2021-04-01T00:00:00"/>
    <x v="3"/>
  </r>
  <r>
    <s v="B-26366"/>
    <n v="4706"/>
    <n v="594"/>
    <n v="11"/>
    <x v="2"/>
    <s v="Binders"/>
    <s v="COD"/>
    <d v="2021-08-21T00:00:00"/>
    <s v="James Mendoza"/>
    <x v="2"/>
    <x v="5"/>
    <d v="2021-08-01T00:00:00"/>
    <x v="3"/>
  </r>
  <r>
    <s v="B-26366"/>
    <n v="4706"/>
    <n v="594"/>
    <n v="11"/>
    <x v="2"/>
    <s v="Binders"/>
    <s v="COD"/>
    <d v="2021-05-16T00:00:00"/>
    <s v="Kaitlin Garrison"/>
    <x v="2"/>
    <x v="3"/>
    <d v="2021-05-01T00:00:00"/>
    <x v="3"/>
  </r>
  <r>
    <s v="B-26366"/>
    <n v="6584"/>
    <n v="371"/>
    <n v="6"/>
    <x v="2"/>
    <s v="Markers"/>
    <s v="UPI"/>
    <d v="2021-08-21T00:00:00"/>
    <s v="James Mendoza"/>
    <x v="2"/>
    <x v="5"/>
    <d v="2021-08-01T00:00:00"/>
    <x v="3"/>
  </r>
  <r>
    <s v="B-26366"/>
    <n v="6584"/>
    <n v="371"/>
    <n v="6"/>
    <x v="2"/>
    <s v="Markers"/>
    <s v="UPI"/>
    <d v="2021-05-16T00:00:00"/>
    <s v="Kaitlin Garrison"/>
    <x v="2"/>
    <x v="3"/>
    <d v="2021-05-01T00:00:00"/>
    <x v="3"/>
  </r>
  <r>
    <s v="B-26712"/>
    <n v="5196"/>
    <n v="2477"/>
    <n v="1"/>
    <x v="2"/>
    <s v="Markers"/>
    <s v="UPI"/>
    <d v="2021-12-01T00:00:00"/>
    <s v="Emma Bruce"/>
    <x v="1"/>
    <x v="1"/>
    <d v="2021-12-01T00:00:00"/>
    <x v="3"/>
  </r>
  <r>
    <s v="B-26712"/>
    <n v="6586"/>
    <n v="1794"/>
    <n v="19"/>
    <x v="1"/>
    <s v="Bookcases"/>
    <s v="Debit Card"/>
    <d v="2021-12-01T00:00:00"/>
    <s v="Emma Bruce"/>
    <x v="1"/>
    <x v="1"/>
    <d v="2021-12-01T00:00:00"/>
    <x v="3"/>
  </r>
  <r>
    <s v="B-26924"/>
    <n v="1083"/>
    <n v="501"/>
    <n v="6"/>
    <x v="2"/>
    <s v="Pens"/>
    <s v="COD"/>
    <d v="2021-02-28T00:00:00"/>
    <s v="David Johnson"/>
    <x v="1"/>
    <x v="1"/>
    <d v="2021-02-01T00:00:00"/>
    <x v="3"/>
  </r>
  <r>
    <s v="B-25541"/>
    <n v="2401"/>
    <n v="1163"/>
    <n v="10"/>
    <x v="1"/>
    <s v="Bookcases"/>
    <s v="UPI"/>
    <d v="2021-08-13T00:00:00"/>
    <s v="Michael Hanson"/>
    <x v="4"/>
    <x v="12"/>
    <d v="2021-08-01T00:00:00"/>
    <x v="3"/>
  </r>
  <r>
    <s v="B-25541"/>
    <n v="1045"/>
    <n v="267"/>
    <n v="11"/>
    <x v="0"/>
    <s v="Phones"/>
    <s v="Debit Card"/>
    <d v="2021-08-13T00:00:00"/>
    <s v="Michael Hanson"/>
    <x v="4"/>
    <x v="12"/>
    <d v="2021-08-01T00:00:00"/>
    <x v="3"/>
  </r>
  <r>
    <s v="B-25574"/>
    <n v="5313"/>
    <n v="2037"/>
    <n v="7"/>
    <x v="0"/>
    <s v="Printers"/>
    <s v="Debit Card"/>
    <d v="2021-10-29T00:00:00"/>
    <s v="Jacob Torres"/>
    <x v="1"/>
    <x v="15"/>
    <d v="2021-10-01T00:00:00"/>
    <x v="3"/>
  </r>
  <r>
    <s v="B-25024"/>
    <n v="9002"/>
    <n v="4197"/>
    <n v="2"/>
    <x v="2"/>
    <s v="Markers"/>
    <s v="EMI"/>
    <d v="2021-03-28T00:00:00"/>
    <s v="Megan Pitts"/>
    <x v="2"/>
    <x v="3"/>
    <d v="2021-03-01T00:00:00"/>
    <x v="3"/>
  </r>
  <r>
    <s v="B-26367"/>
    <n v="7105"/>
    <n v="2782"/>
    <n v="19"/>
    <x v="2"/>
    <s v="Pens"/>
    <s v="COD"/>
    <d v="2021-12-25T00:00:00"/>
    <s v="Richard Gardner"/>
    <x v="2"/>
    <x v="3"/>
    <d v="2021-12-01T00:00:00"/>
    <x v="3"/>
  </r>
  <r>
    <s v="B-25774"/>
    <n v="8861"/>
    <n v="3381"/>
    <n v="19"/>
    <x v="2"/>
    <s v="Markers"/>
    <s v="Credit Card"/>
    <d v="2021-05-27T00:00:00"/>
    <s v="Brandon Le"/>
    <x v="0"/>
    <x v="17"/>
    <d v="2021-05-01T00:00:00"/>
    <x v="3"/>
  </r>
  <r>
    <s v="B-26095"/>
    <n v="9406"/>
    <n v="1137"/>
    <n v="16"/>
    <x v="2"/>
    <s v="Markers"/>
    <s v="UPI"/>
    <d v="2021-10-20T00:00:00"/>
    <s v="Leroy Harris"/>
    <x v="1"/>
    <x v="15"/>
    <d v="2021-10-01T00:00:00"/>
    <x v="3"/>
  </r>
  <r>
    <s v="B-26095"/>
    <n v="1156"/>
    <n v="74"/>
    <n v="15"/>
    <x v="0"/>
    <s v="Printers"/>
    <s v="EMI"/>
    <d v="2021-10-20T00:00:00"/>
    <s v="Leroy Harris"/>
    <x v="1"/>
    <x v="15"/>
    <d v="2021-10-01T00:00:00"/>
    <x v="3"/>
  </r>
  <r>
    <s v="B-25768"/>
    <n v="5354"/>
    <n v="743"/>
    <n v="10"/>
    <x v="1"/>
    <s v="Bookcases"/>
    <s v="UPI"/>
    <d v="2021-10-19T00:00:00"/>
    <s v="Ricardo Dixon"/>
    <x v="5"/>
    <x v="10"/>
    <d v="2021-10-01T00:00:00"/>
    <x v="3"/>
  </r>
  <r>
    <s v="B-25827"/>
    <n v="1786"/>
    <n v="224"/>
    <n v="4"/>
    <x v="1"/>
    <s v="Tables"/>
    <s v="COD"/>
    <d v="2021-08-17T00:00:00"/>
    <s v="Amanda Ramirez"/>
    <x v="1"/>
    <x v="13"/>
    <d v="2021-08-01T00:00:00"/>
    <x v="3"/>
  </r>
  <r>
    <s v="B-25992"/>
    <n v="8572"/>
    <n v="2041"/>
    <n v="8"/>
    <x v="1"/>
    <s v="Tables"/>
    <s v="EMI"/>
    <d v="2021-05-27T00:00:00"/>
    <s v="Alicia Oneill"/>
    <x v="5"/>
    <x v="10"/>
    <d v="2021-05-01T00:00:00"/>
    <x v="3"/>
  </r>
  <r>
    <s v="B-25992"/>
    <n v="8059"/>
    <n v="1834"/>
    <n v="10"/>
    <x v="0"/>
    <s v="Printers"/>
    <s v="Credit Card"/>
    <d v="2021-05-27T00:00:00"/>
    <s v="Alicia Oneill"/>
    <x v="5"/>
    <x v="10"/>
    <d v="2021-05-01T00:00:00"/>
    <x v="3"/>
  </r>
  <r>
    <s v="B-25564"/>
    <n v="2451"/>
    <n v="342"/>
    <n v="8"/>
    <x v="2"/>
    <s v="Paper"/>
    <s v="EMI"/>
    <d v="2021-09-06T00:00:00"/>
    <s v="Susan Wright"/>
    <x v="0"/>
    <x v="0"/>
    <d v="2021-09-01T00:00:00"/>
    <x v="3"/>
  </r>
  <r>
    <s v="B-25564"/>
    <n v="2451"/>
    <n v="342"/>
    <n v="8"/>
    <x v="2"/>
    <s v="Paper"/>
    <s v="EMI"/>
    <d v="2021-11-12T00:00:00"/>
    <s v="Kayla Banks"/>
    <x v="2"/>
    <x v="6"/>
    <d v="2021-11-01T00:00:00"/>
    <x v="3"/>
  </r>
  <r>
    <s v="B-25036"/>
    <n v="2737"/>
    <n v="1253"/>
    <n v="3"/>
    <x v="0"/>
    <s v="Printers"/>
    <s v="EMI"/>
    <d v="2021-04-19T00:00:00"/>
    <s v="Joseph Bates"/>
    <x v="4"/>
    <x v="16"/>
    <d v="2021-04-01T00:00:00"/>
    <x v="3"/>
  </r>
  <r>
    <s v="B-25971"/>
    <n v="8194"/>
    <n v="2881"/>
    <n v="6"/>
    <x v="2"/>
    <s v="Paper"/>
    <s v="Debit Card"/>
    <d v="2021-07-18T00:00:00"/>
    <s v="Kelly Pacheco"/>
    <x v="1"/>
    <x v="15"/>
    <d v="2021-07-01T00:00:00"/>
    <x v="3"/>
  </r>
  <r>
    <s v="B-26445"/>
    <n v="9921"/>
    <n v="1451"/>
    <n v="15"/>
    <x v="1"/>
    <s v="Sofas"/>
    <s v="EMI"/>
    <d v="2021-04-12T00:00:00"/>
    <s v="Christopher Rogers"/>
    <x v="5"/>
    <x v="14"/>
    <d v="2021-04-01T00:00:00"/>
    <x v="3"/>
  </r>
  <r>
    <s v="B-26279"/>
    <n v="3747"/>
    <n v="410"/>
    <n v="5"/>
    <x v="2"/>
    <s v="Markers"/>
    <s v="Credit Card"/>
    <d v="2021-07-21T00:00:00"/>
    <s v="Jamie Santos"/>
    <x v="0"/>
    <x v="0"/>
    <d v="2021-07-01T00:00:00"/>
    <x v="3"/>
  </r>
  <r>
    <s v="B-26279"/>
    <n v="3194"/>
    <n v="534"/>
    <n v="4"/>
    <x v="2"/>
    <s v="Binders"/>
    <s v="UPI"/>
    <d v="2021-07-21T00:00:00"/>
    <s v="Jamie Santos"/>
    <x v="0"/>
    <x v="0"/>
    <d v="2021-07-01T00:00:00"/>
    <x v="3"/>
  </r>
  <r>
    <s v="B-26961"/>
    <n v="5193"/>
    <n v="2530"/>
    <n v="5"/>
    <x v="1"/>
    <s v="Sofas"/>
    <s v="Debit Card"/>
    <d v="2021-10-29T00:00:00"/>
    <s v="Johnny Hill"/>
    <x v="0"/>
    <x v="17"/>
    <d v="2021-10-01T00:00:00"/>
    <x v="3"/>
  </r>
  <r>
    <s v="B-25810"/>
    <n v="1894"/>
    <n v="275"/>
    <n v="5"/>
    <x v="1"/>
    <s v="Chairs"/>
    <s v="Credit Card"/>
    <d v="2021-11-27T00:00:00"/>
    <s v="Kendra Mckinney"/>
    <x v="3"/>
    <x v="7"/>
    <d v="2021-11-01T00:00:00"/>
    <x v="3"/>
  </r>
  <r>
    <s v="B-25810"/>
    <n v="7144"/>
    <n v="192"/>
    <n v="13"/>
    <x v="0"/>
    <s v="Electronic Games"/>
    <s v="Credit Card"/>
    <d v="2021-11-27T00:00:00"/>
    <s v="Kendra Mckinney"/>
    <x v="3"/>
    <x v="7"/>
    <d v="2021-11-01T00:00:00"/>
    <x v="3"/>
  </r>
  <r>
    <s v="B-26245"/>
    <n v="4172"/>
    <n v="235"/>
    <n v="5"/>
    <x v="2"/>
    <s v="Paper"/>
    <s v="EMI"/>
    <d v="2021-06-02T00:00:00"/>
    <s v="Megan Morgan"/>
    <x v="2"/>
    <x v="5"/>
    <d v="2021-06-01T00:00:00"/>
    <x v="3"/>
  </r>
  <r>
    <s v="B-25346"/>
    <n v="6265"/>
    <n v="155"/>
    <n v="8"/>
    <x v="1"/>
    <s v="Sofas"/>
    <s v="COD"/>
    <d v="2021-03-12T00:00:00"/>
    <s v="Jeremy Vazquez"/>
    <x v="2"/>
    <x v="5"/>
    <d v="2021-03-01T00:00:00"/>
    <x v="3"/>
  </r>
  <r>
    <s v="B-25398"/>
    <n v="9215"/>
    <n v="767"/>
    <n v="13"/>
    <x v="0"/>
    <s v="Printers"/>
    <s v="COD"/>
    <d v="2021-11-01T00:00:00"/>
    <s v="Heather Bell"/>
    <x v="0"/>
    <x v="2"/>
    <d v="2021-11-01T00:00:00"/>
    <x v="3"/>
  </r>
  <r>
    <s v="B-25159"/>
    <n v="5338"/>
    <n v="1354"/>
    <n v="16"/>
    <x v="2"/>
    <s v="Markers"/>
    <s v="UPI"/>
    <d v="2021-01-04T00:00:00"/>
    <s v="Marie James"/>
    <x v="4"/>
    <x v="9"/>
    <d v="2021-01-01T00:00:00"/>
    <x v="3"/>
  </r>
  <r>
    <s v="B-25106"/>
    <n v="9090"/>
    <n v="3098"/>
    <n v="16"/>
    <x v="0"/>
    <s v="Phones"/>
    <s v="Credit Card"/>
    <d v="2021-04-01T00:00:00"/>
    <s v="Luke Saunders"/>
    <x v="1"/>
    <x v="13"/>
    <d v="2021-04-01T00:00:00"/>
    <x v="3"/>
  </r>
  <r>
    <s v="B-25106"/>
    <n v="851"/>
    <n v="356"/>
    <n v="11"/>
    <x v="0"/>
    <s v="Electronic Games"/>
    <s v="Credit Card"/>
    <d v="2021-04-01T00:00:00"/>
    <s v="Luke Saunders"/>
    <x v="1"/>
    <x v="13"/>
    <d v="2021-04-01T00:00:00"/>
    <x v="3"/>
  </r>
  <r>
    <s v="B-25836"/>
    <n v="2695"/>
    <n v="914"/>
    <n v="15"/>
    <x v="1"/>
    <s v="Bookcases"/>
    <s v="Debit Card"/>
    <d v="2021-06-17T00:00:00"/>
    <s v="Jesus Hernandez"/>
    <x v="0"/>
    <x v="0"/>
    <d v="2021-06-01T00:00:00"/>
    <x v="3"/>
  </r>
  <r>
    <s v="B-26317"/>
    <n v="2284"/>
    <n v="149"/>
    <n v="20"/>
    <x v="2"/>
    <s v="Pens"/>
    <s v="Debit Card"/>
    <d v="2021-08-06T00:00:00"/>
    <s v="Laura Poole"/>
    <x v="4"/>
    <x v="12"/>
    <d v="2021-08-01T00:00:00"/>
    <x v="3"/>
  </r>
  <r>
    <s v="B-26844"/>
    <n v="4163"/>
    <n v="897"/>
    <n v="14"/>
    <x v="0"/>
    <s v="Electronic Games"/>
    <s v="COD"/>
    <d v="2021-06-05T00:00:00"/>
    <s v="Marie Jefferson"/>
    <x v="3"/>
    <x v="4"/>
    <d v="2021-06-01T00:00:00"/>
    <x v="3"/>
  </r>
  <r>
    <s v="B-25944"/>
    <n v="5954"/>
    <n v="2640"/>
    <n v="14"/>
    <x v="0"/>
    <s v="Laptops"/>
    <s v="Credit Card"/>
    <d v="2021-08-24T00:00:00"/>
    <s v="Angelica Lewis"/>
    <x v="4"/>
    <x v="16"/>
    <d v="2021-08-01T00:00:00"/>
    <x v="3"/>
  </r>
  <r>
    <s v="B-26767"/>
    <n v="6724"/>
    <n v="1539"/>
    <n v="19"/>
    <x v="1"/>
    <s v="Bookcases"/>
    <s v="COD"/>
    <d v="2021-12-13T00:00:00"/>
    <s v="Dennis Rivera"/>
    <x v="0"/>
    <x v="2"/>
    <d v="2021-12-01T00:00:00"/>
    <x v="3"/>
  </r>
  <r>
    <s v="B-26767"/>
    <n v="6724"/>
    <n v="1539"/>
    <n v="19"/>
    <x v="1"/>
    <s v="Bookcases"/>
    <s v="COD"/>
    <d v="2021-06-03T00:00:00"/>
    <s v="Nancy Keller"/>
    <x v="1"/>
    <x v="13"/>
    <d v="2021-06-01T00:00:00"/>
    <x v="3"/>
  </r>
  <r>
    <s v="B-25292"/>
    <n v="3189"/>
    <n v="1180"/>
    <n v="19"/>
    <x v="2"/>
    <s v="Paper"/>
    <s v="Credit Card"/>
    <d v="2021-12-31T00:00:00"/>
    <s v="Michelle Guerra"/>
    <x v="4"/>
    <x v="16"/>
    <d v="2021-12-01T00:00:00"/>
    <x v="3"/>
  </r>
  <r>
    <s v="B-25298"/>
    <n v="8104"/>
    <n v="1039"/>
    <n v="6"/>
    <x v="2"/>
    <s v="Markers"/>
    <s v="COD"/>
    <d v="2021-11-24T00:00:00"/>
    <s v="Lisa Mcintyre"/>
    <x v="3"/>
    <x v="4"/>
    <d v="2021-11-01T00:00:00"/>
    <x v="3"/>
  </r>
  <r>
    <s v="B-25298"/>
    <n v="8104"/>
    <n v="1039"/>
    <n v="6"/>
    <x v="2"/>
    <s v="Markers"/>
    <s v="COD"/>
    <d v="2021-10-06T00:00:00"/>
    <s v="Carolyn Gonzalez"/>
    <x v="3"/>
    <x v="7"/>
    <d v="2021-10-01T00:00:00"/>
    <x v="3"/>
  </r>
  <r>
    <s v="B-25483"/>
    <n v="3129"/>
    <n v="55"/>
    <n v="9"/>
    <x v="1"/>
    <s v="Bookcases"/>
    <s v="Debit Card"/>
    <d v="2021-09-06T00:00:00"/>
    <s v="Carrie Alvarez"/>
    <x v="5"/>
    <x v="11"/>
    <d v="2021-09-01T00:00:00"/>
    <x v="3"/>
  </r>
  <r>
    <s v="B-25483"/>
    <n v="7821"/>
    <n v="3821"/>
    <n v="13"/>
    <x v="0"/>
    <s v="Laptops"/>
    <s v="EMI"/>
    <d v="2021-09-06T00:00:00"/>
    <s v="Carrie Alvarez"/>
    <x v="5"/>
    <x v="11"/>
    <d v="2021-09-01T00:00:00"/>
    <x v="3"/>
  </r>
  <r>
    <s v="B-26041"/>
    <n v="9498"/>
    <n v="256"/>
    <n v="12"/>
    <x v="0"/>
    <s v="Phones"/>
    <s v="COD"/>
    <d v="2021-02-22T00:00:00"/>
    <s v="Matthew James"/>
    <x v="5"/>
    <x v="11"/>
    <d v="2021-02-01T00:00:00"/>
    <x v="3"/>
  </r>
  <r>
    <s v="B-26041"/>
    <n v="9498"/>
    <n v="256"/>
    <n v="12"/>
    <x v="0"/>
    <s v="Phones"/>
    <s v="COD"/>
    <d v="2021-10-06T00:00:00"/>
    <s v="Jerry Alvarado"/>
    <x v="4"/>
    <x v="16"/>
    <d v="2021-10-01T00:00:00"/>
    <x v="3"/>
  </r>
  <r>
    <s v="B-25738"/>
    <n v="9909"/>
    <n v="2999"/>
    <n v="18"/>
    <x v="2"/>
    <s v="Markers"/>
    <s v="COD"/>
    <d v="2021-05-15T00:00:00"/>
    <s v="Albert Alexander Jr."/>
    <x v="2"/>
    <x v="5"/>
    <d v="2021-05-01T00:00:00"/>
    <x v="3"/>
  </r>
  <r>
    <s v="B-25986"/>
    <n v="1314"/>
    <n v="457"/>
    <n v="8"/>
    <x v="1"/>
    <s v="Sofas"/>
    <s v="EMI"/>
    <d v="2021-06-11T00:00:00"/>
    <s v="Tyrone White"/>
    <x v="0"/>
    <x v="17"/>
    <d v="2021-06-01T00:00:00"/>
    <x v="3"/>
  </r>
  <r>
    <s v="B-25870"/>
    <n v="5557"/>
    <n v="2114"/>
    <n v="17"/>
    <x v="0"/>
    <s v="Laptops"/>
    <s v="EMI"/>
    <d v="2021-05-28T00:00:00"/>
    <s v="Angela Roberts"/>
    <x v="2"/>
    <x v="5"/>
    <d v="2021-05-01T00:00:00"/>
    <x v="3"/>
  </r>
  <r>
    <s v="B-25991"/>
    <n v="3436"/>
    <n v="933"/>
    <n v="3"/>
    <x v="0"/>
    <s v="Electronic Games"/>
    <s v="Credit Card"/>
    <d v="2021-06-13T00:00:00"/>
    <s v="Kyle Hernandez"/>
    <x v="1"/>
    <x v="13"/>
    <d v="2021-06-01T00:00:00"/>
    <x v="3"/>
  </r>
  <r>
    <s v="B-25189"/>
    <n v="7620"/>
    <n v="125"/>
    <n v="4"/>
    <x v="2"/>
    <s v="Paper"/>
    <s v="EMI"/>
    <d v="2021-07-05T00:00:00"/>
    <s v="Brandi Garcia"/>
    <x v="0"/>
    <x v="2"/>
    <d v="2021-07-01T00:00:00"/>
    <x v="3"/>
  </r>
  <r>
    <s v="B-26563"/>
    <n v="4314"/>
    <n v="1591"/>
    <n v="5"/>
    <x v="1"/>
    <s v="Tables"/>
    <s v="Debit Card"/>
    <d v="2021-10-04T00:00:00"/>
    <s v="Lauren Howell"/>
    <x v="4"/>
    <x v="9"/>
    <d v="2021-10-01T00:00:00"/>
    <x v="3"/>
  </r>
  <r>
    <s v="B-25965"/>
    <n v="544"/>
    <n v="272"/>
    <n v="2"/>
    <x v="0"/>
    <s v="Laptops"/>
    <s v="Debit Card"/>
    <d v="2021-03-05T00:00:00"/>
    <s v="Tanner Vance"/>
    <x v="1"/>
    <x v="15"/>
    <d v="2021-03-01T00:00:00"/>
    <x v="3"/>
  </r>
  <r>
    <s v="B-26545"/>
    <n v="537"/>
    <n v="142"/>
    <n v="20"/>
    <x v="2"/>
    <s v="Markers"/>
    <s v="EMI"/>
    <d v="2021-08-02T00:00:00"/>
    <s v="Brent Thomas"/>
    <x v="5"/>
    <x v="11"/>
    <d v="2021-08-01T00:00:00"/>
    <x v="3"/>
  </r>
  <r>
    <s v="B-26420"/>
    <n v="4897"/>
    <n v="1001"/>
    <n v="14"/>
    <x v="1"/>
    <s v="Sofas"/>
    <s v="Debit Card"/>
    <d v="2021-12-07T00:00:00"/>
    <s v="Lisa Farmer"/>
    <x v="1"/>
    <x v="15"/>
    <d v="2021-12-01T00:00:00"/>
    <x v="3"/>
  </r>
  <r>
    <s v="B-25010"/>
    <n v="7870"/>
    <n v="1057"/>
    <n v="15"/>
    <x v="2"/>
    <s v="Pens"/>
    <s v="Credit Card"/>
    <d v="2021-03-21T00:00:00"/>
    <s v="James Hickman"/>
    <x v="2"/>
    <x v="5"/>
    <d v="2021-03-01T00:00:00"/>
    <x v="3"/>
  </r>
  <r>
    <s v="B-26675"/>
    <n v="6499"/>
    <n v="2189"/>
    <n v="18"/>
    <x v="0"/>
    <s v="Electronic Games"/>
    <s v="EMI"/>
    <d v="2021-04-03T00:00:00"/>
    <s v="James Perez"/>
    <x v="3"/>
    <x v="4"/>
    <d v="2021-04-01T00:00:00"/>
    <x v="3"/>
  </r>
  <r>
    <s v="B-25794"/>
    <n v="7417"/>
    <n v="1334"/>
    <n v="16"/>
    <x v="1"/>
    <s v="Bookcases"/>
    <s v="COD"/>
    <d v="2021-10-05T00:00:00"/>
    <s v="Amber Flowers"/>
    <x v="3"/>
    <x v="8"/>
    <d v="2021-10-01T00:00:00"/>
    <x v="3"/>
  </r>
  <r>
    <s v="B-25697"/>
    <n v="815"/>
    <n v="54"/>
    <n v="14"/>
    <x v="1"/>
    <s v="Tables"/>
    <s v="Debit Card"/>
    <d v="2021-05-25T00:00:00"/>
    <s v="Victoria Bryant MD"/>
    <x v="0"/>
    <x v="2"/>
    <d v="2021-05-01T00:00:00"/>
    <x v="3"/>
  </r>
  <r>
    <s v="B-25665"/>
    <n v="8962"/>
    <n v="2444"/>
    <n v="18"/>
    <x v="0"/>
    <s v="Electronic Games"/>
    <s v="Debit Card"/>
    <d v="2021-07-12T00:00:00"/>
    <s v="Carlos Wheeler"/>
    <x v="2"/>
    <x v="5"/>
    <d v="2021-07-01T00:00:00"/>
    <x v="3"/>
  </r>
  <r>
    <s v="B-25966"/>
    <n v="6093"/>
    <n v="3042"/>
    <n v="9"/>
    <x v="1"/>
    <s v="Bookcases"/>
    <s v="Debit Card"/>
    <d v="2021-06-14T00:00:00"/>
    <s v="Paul Taylor"/>
    <x v="0"/>
    <x v="2"/>
    <d v="2021-06-01T00:00:00"/>
    <x v="3"/>
  </r>
  <r>
    <s v="B-25966"/>
    <n v="6093"/>
    <n v="3042"/>
    <n v="9"/>
    <x v="1"/>
    <s v="Bookcases"/>
    <s v="Debit Card"/>
    <d v="2021-03-01T00:00:00"/>
    <s v="Susan Baker"/>
    <x v="0"/>
    <x v="17"/>
    <d v="2021-03-01T00:00:00"/>
    <x v="3"/>
  </r>
  <r>
    <s v="B-25102"/>
    <n v="2975"/>
    <n v="462"/>
    <n v="14"/>
    <x v="2"/>
    <s v="Pens"/>
    <s v="Credit Card"/>
    <d v="2020-03-23T00:00:00"/>
    <s v="Jessica Anderson"/>
    <x v="4"/>
    <x v="16"/>
    <d v="2020-03-01T00:00:00"/>
    <x v="4"/>
  </r>
  <r>
    <s v="B-25426"/>
    <n v="6851"/>
    <n v="2812"/>
    <n v="1"/>
    <x v="2"/>
    <s v="Markers"/>
    <s v="Debit Card"/>
    <d v="2020-05-04T00:00:00"/>
    <s v="Mary Taylor"/>
    <x v="3"/>
    <x v="4"/>
    <d v="2020-05-01T00:00:00"/>
    <x v="4"/>
  </r>
  <r>
    <s v="B-25426"/>
    <n v="7626"/>
    <n v="1046"/>
    <n v="15"/>
    <x v="1"/>
    <s v="Sofas"/>
    <s v="Credit Card"/>
    <d v="2020-05-04T00:00:00"/>
    <s v="Mary Taylor"/>
    <x v="3"/>
    <x v="4"/>
    <d v="2020-05-01T00:00:00"/>
    <x v="4"/>
  </r>
  <r>
    <s v="B-25426"/>
    <n v="1023"/>
    <n v="78"/>
    <n v="9"/>
    <x v="1"/>
    <s v="Tables"/>
    <s v="UPI"/>
    <d v="2020-05-04T00:00:00"/>
    <s v="Mary Taylor"/>
    <x v="3"/>
    <x v="4"/>
    <d v="2020-05-01T00:00:00"/>
    <x v="4"/>
  </r>
  <r>
    <s v="B-25104"/>
    <n v="8971"/>
    <n v="2971"/>
    <n v="19"/>
    <x v="2"/>
    <s v="Binders"/>
    <s v="Debit Card"/>
    <d v="2020-11-28T00:00:00"/>
    <s v="Paul Raymond"/>
    <x v="0"/>
    <x v="17"/>
    <d v="2020-11-01T00:00:00"/>
    <x v="4"/>
  </r>
  <r>
    <s v="B-25104"/>
    <n v="2939"/>
    <n v="894"/>
    <n v="20"/>
    <x v="2"/>
    <s v="Binders"/>
    <s v="COD"/>
    <d v="2020-11-28T00:00:00"/>
    <s v="Paul Raymond"/>
    <x v="0"/>
    <x v="17"/>
    <d v="2020-11-01T00:00:00"/>
    <x v="4"/>
  </r>
  <r>
    <s v="B-25730"/>
    <n v="8293"/>
    <n v="2632"/>
    <n v="8"/>
    <x v="2"/>
    <s v="Binders"/>
    <s v="COD"/>
    <d v="2020-10-17T00:00:00"/>
    <s v="Ms. Emily Baxter"/>
    <x v="4"/>
    <x v="12"/>
    <d v="2020-10-01T00:00:00"/>
    <x v="4"/>
  </r>
  <r>
    <s v="B-25730"/>
    <n v="2863"/>
    <n v="205"/>
    <n v="17"/>
    <x v="0"/>
    <s v="Phones"/>
    <s v="UPI"/>
    <d v="2020-10-17T00:00:00"/>
    <s v="Ms. Emily Baxter"/>
    <x v="4"/>
    <x v="12"/>
    <d v="2020-10-01T00:00:00"/>
    <x v="4"/>
  </r>
  <r>
    <s v="B-25372"/>
    <n v="1016"/>
    <n v="172"/>
    <n v="20"/>
    <x v="1"/>
    <s v="Tables"/>
    <s v="Debit Card"/>
    <d v="2020-11-16T00:00:00"/>
    <s v="Heather Jenkins"/>
    <x v="4"/>
    <x v="9"/>
    <d v="2020-11-01T00:00:00"/>
    <x v="4"/>
  </r>
  <r>
    <s v="B-25372"/>
    <n v="5768"/>
    <n v="2059"/>
    <n v="14"/>
    <x v="1"/>
    <s v="Tables"/>
    <s v="UPI"/>
    <d v="2020-11-16T00:00:00"/>
    <s v="Heather Jenkins"/>
    <x v="4"/>
    <x v="9"/>
    <d v="2020-11-01T00:00:00"/>
    <x v="4"/>
  </r>
  <r>
    <s v="B-25372"/>
    <n v="1217"/>
    <n v="151"/>
    <n v="3"/>
    <x v="1"/>
    <s v="Tables"/>
    <s v="Credit Card"/>
    <d v="2020-11-16T00:00:00"/>
    <s v="Heather Jenkins"/>
    <x v="4"/>
    <x v="9"/>
    <d v="2020-11-01T00:00:00"/>
    <x v="4"/>
  </r>
  <r>
    <s v="B-25872"/>
    <n v="3808"/>
    <n v="1192"/>
    <n v="4"/>
    <x v="2"/>
    <s v="Markers"/>
    <s v="UPI"/>
    <d v="2020-04-13T00:00:00"/>
    <s v="Shelly Sweeney"/>
    <x v="4"/>
    <x v="16"/>
    <d v="2020-04-01T00:00:00"/>
    <x v="4"/>
  </r>
  <r>
    <s v="B-25872"/>
    <n v="2588"/>
    <n v="705"/>
    <n v="16"/>
    <x v="2"/>
    <s v="Pens"/>
    <s v="Credit Card"/>
    <d v="2020-04-13T00:00:00"/>
    <s v="Shelly Sweeney"/>
    <x v="4"/>
    <x v="16"/>
    <d v="2020-04-01T00:00:00"/>
    <x v="4"/>
  </r>
  <r>
    <s v="B-25660"/>
    <n v="7595"/>
    <n v="2873"/>
    <n v="4"/>
    <x v="1"/>
    <s v="Chairs"/>
    <s v="Debit Card"/>
    <d v="2020-08-18T00:00:00"/>
    <s v="Steven Cox"/>
    <x v="0"/>
    <x v="0"/>
    <d v="2020-08-01T00:00:00"/>
    <x v="4"/>
  </r>
  <r>
    <s v="B-26454"/>
    <n v="9109"/>
    <n v="586"/>
    <n v="17"/>
    <x v="1"/>
    <s v="Sofas"/>
    <s v="EMI"/>
    <d v="2020-05-17T00:00:00"/>
    <s v="Becky Leach"/>
    <x v="3"/>
    <x v="7"/>
    <d v="2020-05-01T00:00:00"/>
    <x v="4"/>
  </r>
  <r>
    <s v="B-25983"/>
    <n v="6517"/>
    <n v="1581"/>
    <n v="10"/>
    <x v="2"/>
    <s v="Paper"/>
    <s v="Debit Card"/>
    <d v="2020-05-14T00:00:00"/>
    <s v="Ryan Bullock"/>
    <x v="3"/>
    <x v="8"/>
    <d v="2020-05-01T00:00:00"/>
    <x v="4"/>
  </r>
  <r>
    <s v="B-25983"/>
    <n v="1166"/>
    <n v="349"/>
    <n v="11"/>
    <x v="1"/>
    <s v="Tables"/>
    <s v="Credit Card"/>
    <d v="2020-05-14T00:00:00"/>
    <s v="Ryan Bullock"/>
    <x v="3"/>
    <x v="8"/>
    <d v="2020-05-01T00:00:00"/>
    <x v="4"/>
  </r>
  <r>
    <s v="B-25901"/>
    <n v="9883"/>
    <n v="4812"/>
    <n v="16"/>
    <x v="2"/>
    <s v="Paper"/>
    <s v="UPI"/>
    <d v="2020-10-20T00:00:00"/>
    <s v="Jeffrey Middleton"/>
    <x v="4"/>
    <x v="9"/>
    <d v="2020-10-01T00:00:00"/>
    <x v="4"/>
  </r>
  <r>
    <s v="B-25901"/>
    <n v="5210"/>
    <n v="1185"/>
    <n v="7"/>
    <x v="2"/>
    <s v="Paper"/>
    <s v="UPI"/>
    <d v="2020-10-20T00:00:00"/>
    <s v="Jeffrey Middleton"/>
    <x v="4"/>
    <x v="9"/>
    <d v="2020-10-01T00:00:00"/>
    <x v="4"/>
  </r>
  <r>
    <s v="B-26032"/>
    <n v="8346"/>
    <n v="1176"/>
    <n v="1"/>
    <x v="0"/>
    <s v="Phones"/>
    <s v="COD"/>
    <d v="2020-08-21T00:00:00"/>
    <s v="Scott Lewis"/>
    <x v="1"/>
    <x v="15"/>
    <d v="2020-08-01T00:00:00"/>
    <x v="4"/>
  </r>
  <r>
    <s v="B-26032"/>
    <n v="6218"/>
    <n v="1125"/>
    <n v="5"/>
    <x v="1"/>
    <s v="Tables"/>
    <s v="Debit Card"/>
    <d v="2020-08-21T00:00:00"/>
    <s v="Scott Lewis"/>
    <x v="1"/>
    <x v="15"/>
    <d v="2020-08-01T00:00:00"/>
    <x v="4"/>
  </r>
  <r>
    <s v="B-26032"/>
    <n v="5167"/>
    <n v="253"/>
    <n v="14"/>
    <x v="0"/>
    <s v="Printers"/>
    <s v="Credit Card"/>
    <d v="2020-08-21T00:00:00"/>
    <s v="Scott Lewis"/>
    <x v="1"/>
    <x v="15"/>
    <d v="2020-08-01T00:00:00"/>
    <x v="4"/>
  </r>
  <r>
    <s v="B-26032"/>
    <n v="2799"/>
    <n v="1239"/>
    <n v="5"/>
    <x v="1"/>
    <s v="Sofas"/>
    <s v="Debit Card"/>
    <d v="2020-08-21T00:00:00"/>
    <s v="Scott Lewis"/>
    <x v="1"/>
    <x v="15"/>
    <d v="2020-08-01T00:00:00"/>
    <x v="4"/>
  </r>
  <r>
    <s v="B-26347"/>
    <n v="8586"/>
    <n v="3826"/>
    <n v="7"/>
    <x v="1"/>
    <s v="Bookcases"/>
    <s v="UPI"/>
    <d v="2020-12-21T00:00:00"/>
    <s v="Mary Smith"/>
    <x v="3"/>
    <x v="7"/>
    <d v="2020-12-01T00:00:00"/>
    <x v="4"/>
  </r>
  <r>
    <s v="B-25004"/>
    <n v="9965"/>
    <n v="3033"/>
    <n v="16"/>
    <x v="2"/>
    <s v="Markers"/>
    <s v="COD"/>
    <d v="2020-06-17T00:00:00"/>
    <s v="Jennifer Marshall"/>
    <x v="0"/>
    <x v="2"/>
    <d v="2020-06-01T00:00:00"/>
    <x v="4"/>
  </r>
  <r>
    <s v="B-25038"/>
    <n v="738"/>
    <n v="342"/>
    <n v="2"/>
    <x v="1"/>
    <s v="Chairs"/>
    <s v="Debit Card"/>
    <d v="2020-12-05T00:00:00"/>
    <s v="Lisa Jacobs"/>
    <x v="4"/>
    <x v="9"/>
    <d v="2020-12-01T00:00:00"/>
    <x v="4"/>
  </r>
  <r>
    <s v="B-25413"/>
    <n v="2465"/>
    <n v="699"/>
    <n v="18"/>
    <x v="2"/>
    <s v="Markers"/>
    <s v="Debit Card"/>
    <d v="2020-05-22T00:00:00"/>
    <s v="James Williams"/>
    <x v="0"/>
    <x v="2"/>
    <d v="2020-05-01T00:00:00"/>
    <x v="4"/>
  </r>
  <r>
    <s v="B-26622"/>
    <n v="9536"/>
    <n v="1437"/>
    <n v="9"/>
    <x v="0"/>
    <s v="Phones"/>
    <s v="UPI"/>
    <d v="2020-04-02T00:00:00"/>
    <s v="Timothy Jensen"/>
    <x v="3"/>
    <x v="4"/>
    <d v="2020-04-01T00:00:00"/>
    <x v="4"/>
  </r>
  <r>
    <s v="B-26622"/>
    <n v="2225"/>
    <n v="589"/>
    <n v="7"/>
    <x v="1"/>
    <s v="Sofas"/>
    <s v="Credit Card"/>
    <d v="2020-04-02T00:00:00"/>
    <s v="Timothy Jensen"/>
    <x v="3"/>
    <x v="4"/>
    <d v="2020-04-01T00:00:00"/>
    <x v="4"/>
  </r>
  <r>
    <s v="B-26837"/>
    <n v="869"/>
    <n v="373"/>
    <n v="14"/>
    <x v="2"/>
    <s v="Paper"/>
    <s v="Credit Card"/>
    <d v="2020-04-08T00:00:00"/>
    <s v="Amber Moon"/>
    <x v="2"/>
    <x v="5"/>
    <d v="2020-04-01T00:00:00"/>
    <x v="4"/>
  </r>
  <r>
    <s v="B-26837"/>
    <n v="1486"/>
    <n v="114"/>
    <n v="7"/>
    <x v="1"/>
    <s v="Bookcases"/>
    <s v="UPI"/>
    <d v="2020-04-08T00:00:00"/>
    <s v="Amber Moon"/>
    <x v="2"/>
    <x v="5"/>
    <d v="2020-04-01T00:00:00"/>
    <x v="4"/>
  </r>
  <r>
    <s v="B-26068"/>
    <n v="1033"/>
    <n v="254"/>
    <n v="5"/>
    <x v="1"/>
    <s v="Bookcases"/>
    <s v="COD"/>
    <d v="2020-08-28T00:00:00"/>
    <s v="Carol Norman"/>
    <x v="4"/>
    <x v="12"/>
    <d v="2020-08-01T00:00:00"/>
    <x v="4"/>
  </r>
  <r>
    <s v="B-26023"/>
    <n v="1518"/>
    <n v="159"/>
    <n v="19"/>
    <x v="0"/>
    <s v="Printers"/>
    <s v="UPI"/>
    <d v="2020-09-26T00:00:00"/>
    <s v="Stephanie Gardner"/>
    <x v="0"/>
    <x v="17"/>
    <d v="2020-09-01T00:00:00"/>
    <x v="4"/>
  </r>
  <r>
    <s v="B-26677"/>
    <n v="8581"/>
    <n v="2444"/>
    <n v="2"/>
    <x v="2"/>
    <s v="Paper"/>
    <s v="Debit Card"/>
    <d v="2020-12-13T00:00:00"/>
    <s v="Philip Baker"/>
    <x v="5"/>
    <x v="11"/>
    <d v="2020-12-01T00:00:00"/>
    <x v="4"/>
  </r>
  <r>
    <s v="B-26677"/>
    <n v="8581"/>
    <n v="2444"/>
    <n v="2"/>
    <x v="2"/>
    <s v="Paper"/>
    <s v="Debit Card"/>
    <d v="2020-11-19T00:00:00"/>
    <s v="Randall Dennis"/>
    <x v="3"/>
    <x v="4"/>
    <d v="2020-11-01T00:00:00"/>
    <x v="4"/>
  </r>
  <r>
    <s v="B-26523"/>
    <n v="8204"/>
    <n v="2382"/>
    <n v="6"/>
    <x v="2"/>
    <s v="Pens"/>
    <s v="UPI"/>
    <d v="2020-03-31T00:00:00"/>
    <s v="Jasmine Delgado"/>
    <x v="5"/>
    <x v="14"/>
    <d v="2020-03-01T00:00:00"/>
    <x v="4"/>
  </r>
  <r>
    <s v="B-26523"/>
    <n v="8204"/>
    <n v="2382"/>
    <n v="6"/>
    <x v="2"/>
    <s v="Pens"/>
    <s v="UPI"/>
    <d v="2020-10-20T00:00:00"/>
    <s v="Kristen Harper"/>
    <x v="4"/>
    <x v="9"/>
    <d v="2020-10-01T00:00:00"/>
    <x v="4"/>
  </r>
  <r>
    <s v="B-26523"/>
    <n v="2850"/>
    <n v="904"/>
    <n v="6"/>
    <x v="0"/>
    <s v="Phones"/>
    <s v="EMI"/>
    <d v="2020-03-31T00:00:00"/>
    <s v="Jasmine Delgado"/>
    <x v="5"/>
    <x v="14"/>
    <d v="2020-03-01T00:00:00"/>
    <x v="4"/>
  </r>
  <r>
    <s v="B-26523"/>
    <n v="2850"/>
    <n v="904"/>
    <n v="6"/>
    <x v="0"/>
    <s v="Phones"/>
    <s v="EMI"/>
    <d v="2020-10-20T00:00:00"/>
    <s v="Kristen Harper"/>
    <x v="4"/>
    <x v="9"/>
    <d v="2020-10-01T00:00:00"/>
    <x v="4"/>
  </r>
  <r>
    <s v="B-25573"/>
    <n v="2119"/>
    <n v="196"/>
    <n v="1"/>
    <x v="1"/>
    <s v="Sofas"/>
    <s v="COD"/>
    <d v="2020-08-16T00:00:00"/>
    <s v="Heather Johnson"/>
    <x v="0"/>
    <x v="0"/>
    <d v="2020-08-01T00:00:00"/>
    <x v="4"/>
  </r>
  <r>
    <s v="B-25424"/>
    <n v="1574"/>
    <n v="258"/>
    <n v="17"/>
    <x v="2"/>
    <s v="Pens"/>
    <s v="EMI"/>
    <d v="2020-09-15T00:00:00"/>
    <s v="Jill Perez"/>
    <x v="0"/>
    <x v="17"/>
    <d v="2020-09-01T00:00:00"/>
    <x v="4"/>
  </r>
  <r>
    <s v="B-25424"/>
    <n v="5635"/>
    <n v="318"/>
    <n v="17"/>
    <x v="2"/>
    <s v="Binders"/>
    <s v="UPI"/>
    <d v="2020-09-15T00:00:00"/>
    <s v="Jill Perez"/>
    <x v="0"/>
    <x v="17"/>
    <d v="2020-09-01T00:00:00"/>
    <x v="4"/>
  </r>
  <r>
    <s v="B-25424"/>
    <n v="6515"/>
    <n v="961"/>
    <n v="11"/>
    <x v="1"/>
    <s v="Sofas"/>
    <s v="Debit Card"/>
    <d v="2020-09-15T00:00:00"/>
    <s v="Jill Perez"/>
    <x v="0"/>
    <x v="17"/>
    <d v="2020-09-01T00:00:00"/>
    <x v="4"/>
  </r>
  <r>
    <s v="B-26453"/>
    <n v="1231"/>
    <n v="214"/>
    <n v="20"/>
    <x v="0"/>
    <s v="Laptops"/>
    <s v="Debit Card"/>
    <d v="2020-06-16T00:00:00"/>
    <s v="Jordan Hahn"/>
    <x v="4"/>
    <x v="12"/>
    <d v="2020-06-01T00:00:00"/>
    <x v="4"/>
  </r>
  <r>
    <s v="B-26043"/>
    <n v="8769"/>
    <n v="1989"/>
    <n v="20"/>
    <x v="2"/>
    <s v="Paper"/>
    <s v="UPI"/>
    <d v="2020-11-03T00:00:00"/>
    <s v="Sara Peterson"/>
    <x v="5"/>
    <x v="14"/>
    <d v="2020-11-01T00:00:00"/>
    <x v="4"/>
  </r>
  <r>
    <s v="B-26137"/>
    <n v="3423"/>
    <n v="804"/>
    <n v="4"/>
    <x v="0"/>
    <s v="Printers"/>
    <s v="Credit Card"/>
    <d v="2020-07-09T00:00:00"/>
    <s v="Alan Livingston"/>
    <x v="5"/>
    <x v="11"/>
    <d v="2020-07-01T00:00:00"/>
    <x v="4"/>
  </r>
  <r>
    <s v="B-26137"/>
    <n v="3423"/>
    <n v="804"/>
    <n v="4"/>
    <x v="0"/>
    <s v="Printers"/>
    <s v="Credit Card"/>
    <d v="2020-07-25T00:00:00"/>
    <s v="Angela Jackson"/>
    <x v="1"/>
    <x v="13"/>
    <d v="2020-07-01T00:00:00"/>
    <x v="4"/>
  </r>
  <r>
    <s v="B-26137"/>
    <n v="3423"/>
    <n v="804"/>
    <n v="4"/>
    <x v="0"/>
    <s v="Printers"/>
    <s v="Credit Card"/>
    <d v="2020-05-04T00:00:00"/>
    <s v="Laura Jordan"/>
    <x v="1"/>
    <x v="13"/>
    <d v="2020-05-01T00:00:00"/>
    <x v="4"/>
  </r>
  <r>
    <s v="B-25406"/>
    <n v="6016"/>
    <n v="431"/>
    <n v="20"/>
    <x v="2"/>
    <s v="Pens"/>
    <s v="UPI"/>
    <d v="2020-10-28T00:00:00"/>
    <s v="Megan Williams"/>
    <x v="5"/>
    <x v="14"/>
    <d v="2020-10-01T00:00:00"/>
    <x v="4"/>
  </r>
  <r>
    <s v="B-25733"/>
    <n v="4569"/>
    <n v="1693"/>
    <n v="10"/>
    <x v="0"/>
    <s v="Printers"/>
    <s v="UPI"/>
    <d v="2020-09-04T00:00:00"/>
    <s v="Manuel Stark"/>
    <x v="5"/>
    <x v="10"/>
    <d v="2020-09-01T00:00:00"/>
    <x v="4"/>
  </r>
  <r>
    <s v="B-26806"/>
    <n v="4027"/>
    <n v="1386"/>
    <n v="3"/>
    <x v="1"/>
    <s v="Bookcases"/>
    <s v="EMI"/>
    <d v="2020-08-27T00:00:00"/>
    <s v="Laura Cole"/>
    <x v="3"/>
    <x v="8"/>
    <d v="2020-08-01T00:00:00"/>
    <x v="4"/>
  </r>
  <r>
    <s v="B-26743"/>
    <n v="7684"/>
    <n v="1157"/>
    <n v="12"/>
    <x v="1"/>
    <s v="Sofas"/>
    <s v="COD"/>
    <d v="2020-10-02T00:00:00"/>
    <s v="Cameron Miller"/>
    <x v="5"/>
    <x v="14"/>
    <d v="2020-10-01T00:00:00"/>
    <x v="4"/>
  </r>
  <r>
    <s v="B-26743"/>
    <n v="7684"/>
    <n v="1157"/>
    <n v="12"/>
    <x v="1"/>
    <s v="Sofas"/>
    <s v="COD"/>
    <d v="2020-06-23T00:00:00"/>
    <s v="Jacob Carpenter"/>
    <x v="4"/>
    <x v="9"/>
    <d v="2020-06-01T00:00:00"/>
    <x v="4"/>
  </r>
  <r>
    <s v="B-26088"/>
    <n v="6932"/>
    <n v="3218"/>
    <n v="20"/>
    <x v="2"/>
    <s v="Pens"/>
    <s v="COD"/>
    <d v="2020-07-16T00:00:00"/>
    <s v="Natalie Cox"/>
    <x v="3"/>
    <x v="4"/>
    <d v="2020-07-01T00:00:00"/>
    <x v="4"/>
  </r>
  <r>
    <s v="B-26319"/>
    <n v="7748"/>
    <n v="1706"/>
    <n v="16"/>
    <x v="0"/>
    <s v="Electronic Games"/>
    <s v="EMI"/>
    <d v="2020-05-02T00:00:00"/>
    <s v="Andrew Fernandez"/>
    <x v="2"/>
    <x v="6"/>
    <d v="2020-05-01T00:00:00"/>
    <x v="4"/>
  </r>
  <r>
    <s v="B-26319"/>
    <n v="6381"/>
    <n v="2763"/>
    <n v="20"/>
    <x v="2"/>
    <s v="Markers"/>
    <s v="UPI"/>
    <d v="2020-05-02T00:00:00"/>
    <s v="Andrew Fernandez"/>
    <x v="2"/>
    <x v="6"/>
    <d v="2020-05-01T00:00:00"/>
    <x v="4"/>
  </r>
  <r>
    <s v="B-26319"/>
    <n v="992"/>
    <n v="64"/>
    <n v="6"/>
    <x v="0"/>
    <s v="Phones"/>
    <s v="Credit Card"/>
    <d v="2020-05-02T00:00:00"/>
    <s v="Andrew Fernandez"/>
    <x v="2"/>
    <x v="6"/>
    <d v="2020-05-01T00:00:00"/>
    <x v="4"/>
  </r>
  <r>
    <s v="B-25364"/>
    <n v="8649"/>
    <n v="2631"/>
    <n v="13"/>
    <x v="0"/>
    <s v="Laptops"/>
    <s v="EMI"/>
    <d v="2020-09-30T00:00:00"/>
    <s v="Travis Chandler DDS"/>
    <x v="4"/>
    <x v="12"/>
    <d v="2020-09-01T00:00:00"/>
    <x v="4"/>
  </r>
  <r>
    <s v="B-25427"/>
    <n v="5035"/>
    <n v="2008"/>
    <n v="2"/>
    <x v="1"/>
    <s v="Chairs"/>
    <s v="COD"/>
    <d v="2020-04-04T00:00:00"/>
    <s v="Richard Blair"/>
    <x v="3"/>
    <x v="7"/>
    <d v="2020-04-01T00:00:00"/>
    <x v="4"/>
  </r>
  <r>
    <s v="B-25427"/>
    <n v="7702"/>
    <n v="60"/>
    <n v="19"/>
    <x v="0"/>
    <s v="Printers"/>
    <s v="UPI"/>
    <d v="2020-04-04T00:00:00"/>
    <s v="Richard Blair"/>
    <x v="3"/>
    <x v="7"/>
    <d v="2020-04-01T00:00:00"/>
    <x v="4"/>
  </r>
  <r>
    <s v="B-25427"/>
    <n v="9884"/>
    <n v="4446"/>
    <n v="7"/>
    <x v="0"/>
    <s v="Printers"/>
    <s v="EMI"/>
    <d v="2020-04-04T00:00:00"/>
    <s v="Richard Blair"/>
    <x v="3"/>
    <x v="7"/>
    <d v="2020-04-01T00:00:00"/>
    <x v="4"/>
  </r>
  <r>
    <s v="B-26896"/>
    <n v="6488"/>
    <n v="1591"/>
    <n v="18"/>
    <x v="0"/>
    <s v="Printers"/>
    <s v="EMI"/>
    <d v="2020-11-29T00:00:00"/>
    <s v="Morgan Sullivan"/>
    <x v="1"/>
    <x v="15"/>
    <d v="2020-11-01T00:00:00"/>
    <x v="4"/>
  </r>
  <r>
    <s v="B-26219"/>
    <n v="9386"/>
    <n v="2555"/>
    <n v="20"/>
    <x v="2"/>
    <s v="Markers"/>
    <s v="Credit Card"/>
    <d v="2020-08-19T00:00:00"/>
    <s v="Mark Padilla"/>
    <x v="0"/>
    <x v="17"/>
    <d v="2020-08-01T00:00:00"/>
    <x v="4"/>
  </r>
  <r>
    <s v="B-25060"/>
    <n v="1379"/>
    <n v="250"/>
    <n v="3"/>
    <x v="2"/>
    <s v="Pens"/>
    <s v="Credit Card"/>
    <d v="2020-10-08T00:00:00"/>
    <s v="Jonathan Mcmillan"/>
    <x v="4"/>
    <x v="9"/>
    <d v="2020-10-01T00:00:00"/>
    <x v="4"/>
  </r>
  <r>
    <s v="B-25060"/>
    <n v="4244"/>
    <n v="340"/>
    <n v="10"/>
    <x v="0"/>
    <s v="Laptops"/>
    <s v="Debit Card"/>
    <d v="2020-10-08T00:00:00"/>
    <s v="Jonathan Mcmillan"/>
    <x v="4"/>
    <x v="9"/>
    <d v="2020-10-01T00:00:00"/>
    <x v="4"/>
  </r>
  <r>
    <s v="B-25919"/>
    <n v="2140"/>
    <n v="970"/>
    <n v="4"/>
    <x v="2"/>
    <s v="Paper"/>
    <s v="Credit Card"/>
    <d v="2020-09-30T00:00:00"/>
    <s v="Jillian Williams"/>
    <x v="0"/>
    <x v="17"/>
    <d v="2020-09-01T00:00:00"/>
    <x v="4"/>
  </r>
  <r>
    <s v="B-25919"/>
    <n v="2670"/>
    <n v="1026"/>
    <n v="1"/>
    <x v="0"/>
    <s v="Laptops"/>
    <s v="Debit Card"/>
    <d v="2020-09-30T00:00:00"/>
    <s v="Jillian Williams"/>
    <x v="0"/>
    <x v="17"/>
    <d v="2020-09-01T00:00:00"/>
    <x v="4"/>
  </r>
  <r>
    <s v="B-26554"/>
    <n v="7564"/>
    <n v="3463"/>
    <n v="5"/>
    <x v="2"/>
    <s v="Paper"/>
    <s v="Credit Card"/>
    <d v="2020-11-21T00:00:00"/>
    <s v="Jessica Jones"/>
    <x v="5"/>
    <x v="11"/>
    <d v="2020-11-01T00:00:00"/>
    <x v="4"/>
  </r>
  <r>
    <s v="B-26554"/>
    <n v="3409"/>
    <n v="1605"/>
    <n v="20"/>
    <x v="0"/>
    <s v="Electronic Games"/>
    <s v="UPI"/>
    <d v="2020-11-21T00:00:00"/>
    <s v="Jessica Jones"/>
    <x v="5"/>
    <x v="11"/>
    <d v="2020-11-01T00:00:00"/>
    <x v="4"/>
  </r>
  <r>
    <s v="B-26883"/>
    <n v="9751"/>
    <n v="2459"/>
    <n v="13"/>
    <x v="2"/>
    <s v="Pens"/>
    <s v="COD"/>
    <d v="2020-11-23T00:00:00"/>
    <s v="Christian Jones"/>
    <x v="4"/>
    <x v="9"/>
    <d v="2020-11-01T00:00:00"/>
    <x v="4"/>
  </r>
  <r>
    <s v="B-25251"/>
    <n v="2895"/>
    <n v="104"/>
    <n v="6"/>
    <x v="1"/>
    <s v="Chairs"/>
    <s v="COD"/>
    <d v="2020-04-27T00:00:00"/>
    <s v="Donald York"/>
    <x v="4"/>
    <x v="9"/>
    <d v="2020-04-01T00:00:00"/>
    <x v="4"/>
  </r>
  <r>
    <s v="B-25251"/>
    <n v="697"/>
    <n v="116"/>
    <n v="1"/>
    <x v="1"/>
    <s v="Chairs"/>
    <s v="UPI"/>
    <d v="2020-04-27T00:00:00"/>
    <s v="Donald York"/>
    <x v="4"/>
    <x v="9"/>
    <d v="2020-04-01T00:00:00"/>
    <x v="4"/>
  </r>
  <r>
    <s v="B-25464"/>
    <n v="6145"/>
    <n v="1414"/>
    <n v="4"/>
    <x v="1"/>
    <s v="Chairs"/>
    <s v="COD"/>
    <d v="2020-10-23T00:00:00"/>
    <s v="Melissa Mcknight"/>
    <x v="0"/>
    <x v="0"/>
    <d v="2020-10-01T00:00:00"/>
    <x v="4"/>
  </r>
  <r>
    <s v="B-25464"/>
    <n v="2504"/>
    <n v="440"/>
    <n v="18"/>
    <x v="0"/>
    <s v="Printers"/>
    <s v="UPI"/>
    <d v="2020-10-23T00:00:00"/>
    <s v="Melissa Mcknight"/>
    <x v="0"/>
    <x v="0"/>
    <d v="2020-10-01T00:00:00"/>
    <x v="4"/>
  </r>
  <r>
    <s v="B-25464"/>
    <n v="3124"/>
    <n v="138"/>
    <n v="16"/>
    <x v="0"/>
    <s v="Phones"/>
    <s v="Debit Card"/>
    <d v="2020-10-23T00:00:00"/>
    <s v="Melissa Mcknight"/>
    <x v="0"/>
    <x v="0"/>
    <d v="2020-10-01T00:00:00"/>
    <x v="4"/>
  </r>
  <r>
    <s v="B-26841"/>
    <n v="9827"/>
    <n v="4208"/>
    <n v="13"/>
    <x v="1"/>
    <s v="Chairs"/>
    <s v="Debit Card"/>
    <d v="2020-09-12T00:00:00"/>
    <s v="Jill Jones"/>
    <x v="4"/>
    <x v="16"/>
    <d v="2020-09-01T00:00:00"/>
    <x v="4"/>
  </r>
  <r>
    <s v="B-26841"/>
    <n v="8077"/>
    <n v="240"/>
    <n v="15"/>
    <x v="1"/>
    <s v="Sofas"/>
    <s v="Credit Card"/>
    <d v="2020-09-12T00:00:00"/>
    <s v="Jill Jones"/>
    <x v="4"/>
    <x v="16"/>
    <d v="2020-09-01T00:00:00"/>
    <x v="4"/>
  </r>
  <r>
    <s v="B-26284"/>
    <n v="5152"/>
    <n v="2045"/>
    <n v="14"/>
    <x v="0"/>
    <s v="Phones"/>
    <s v="UPI"/>
    <d v="2020-11-27T00:00:00"/>
    <s v="Elizabeth Miller"/>
    <x v="5"/>
    <x v="10"/>
    <d v="2020-11-01T00:00:00"/>
    <x v="4"/>
  </r>
  <r>
    <s v="B-26679"/>
    <n v="8102"/>
    <n v="1800"/>
    <n v="5"/>
    <x v="2"/>
    <s v="Markers"/>
    <s v="UPI"/>
    <d v="2020-04-29T00:00:00"/>
    <s v="Richard Lee"/>
    <x v="4"/>
    <x v="9"/>
    <d v="2020-04-01T00:00:00"/>
    <x v="4"/>
  </r>
  <r>
    <s v="B-26679"/>
    <n v="8102"/>
    <n v="1800"/>
    <n v="5"/>
    <x v="2"/>
    <s v="Markers"/>
    <s v="UPI"/>
    <d v="2020-12-15T00:00:00"/>
    <s v="Matthew Schroeder"/>
    <x v="2"/>
    <x v="5"/>
    <d v="2020-12-01T00:00:00"/>
    <x v="4"/>
  </r>
  <r>
    <s v="B-26679"/>
    <n v="3234"/>
    <n v="1274"/>
    <n v="10"/>
    <x v="1"/>
    <s v="Tables"/>
    <s v="EMI"/>
    <d v="2020-04-29T00:00:00"/>
    <s v="Richard Lee"/>
    <x v="4"/>
    <x v="9"/>
    <d v="2020-04-01T00:00:00"/>
    <x v="4"/>
  </r>
  <r>
    <s v="B-26679"/>
    <n v="3234"/>
    <n v="1274"/>
    <n v="10"/>
    <x v="1"/>
    <s v="Tables"/>
    <s v="EMI"/>
    <d v="2020-12-15T00:00:00"/>
    <s v="Matthew Schroeder"/>
    <x v="2"/>
    <x v="5"/>
    <d v="2020-12-01T00:00:00"/>
    <x v="4"/>
  </r>
  <r>
    <s v="B-26916"/>
    <n v="916"/>
    <n v="362"/>
    <n v="7"/>
    <x v="2"/>
    <s v="Pens"/>
    <s v="UPI"/>
    <d v="2020-10-21T00:00:00"/>
    <s v="Pamela Patterson"/>
    <x v="0"/>
    <x v="2"/>
    <d v="2020-10-01T00:00:00"/>
    <x v="4"/>
  </r>
  <r>
    <s v="B-26916"/>
    <n v="1165"/>
    <n v="302"/>
    <n v="20"/>
    <x v="1"/>
    <s v="Sofas"/>
    <s v="UPI"/>
    <d v="2020-10-21T00:00:00"/>
    <s v="Pamela Patterson"/>
    <x v="0"/>
    <x v="2"/>
    <d v="2020-10-01T00:00:00"/>
    <x v="4"/>
  </r>
  <r>
    <s v="B-26916"/>
    <n v="7846"/>
    <n v="677"/>
    <n v="12"/>
    <x v="1"/>
    <s v="Chairs"/>
    <s v="UPI"/>
    <d v="2020-10-21T00:00:00"/>
    <s v="Pamela Patterson"/>
    <x v="0"/>
    <x v="2"/>
    <d v="2020-10-01T00:00:00"/>
    <x v="4"/>
  </r>
  <r>
    <s v="B-26191"/>
    <n v="8994"/>
    <n v="1481"/>
    <n v="15"/>
    <x v="0"/>
    <s v="Phones"/>
    <s v="Credit Card"/>
    <d v="2020-06-21T00:00:00"/>
    <s v="James Bonilla"/>
    <x v="0"/>
    <x v="17"/>
    <d v="2020-06-01T00:00:00"/>
    <x v="4"/>
  </r>
  <r>
    <s v="B-26754"/>
    <n v="1089"/>
    <n v="176"/>
    <n v="16"/>
    <x v="2"/>
    <s v="Markers"/>
    <s v="EMI"/>
    <d v="2020-10-26T00:00:00"/>
    <s v="Robin Myers"/>
    <x v="1"/>
    <x v="13"/>
    <d v="2020-10-01T00:00:00"/>
    <x v="4"/>
  </r>
  <r>
    <s v="B-25227"/>
    <n v="4115"/>
    <n v="1285"/>
    <n v="1"/>
    <x v="1"/>
    <s v="Sofas"/>
    <s v="UPI"/>
    <d v="2020-04-08T00:00:00"/>
    <s v="Donald Perry"/>
    <x v="3"/>
    <x v="4"/>
    <d v="2020-04-01T00:00:00"/>
    <x v="4"/>
  </r>
  <r>
    <s v="B-25227"/>
    <n v="4761"/>
    <n v="2231"/>
    <n v="12"/>
    <x v="1"/>
    <s v="Tables"/>
    <s v="UPI"/>
    <d v="2020-04-08T00:00:00"/>
    <s v="Donald Perry"/>
    <x v="3"/>
    <x v="4"/>
    <d v="2020-04-01T00:00:00"/>
    <x v="4"/>
  </r>
  <r>
    <s v="B-26552"/>
    <n v="2804"/>
    <n v="936"/>
    <n v="10"/>
    <x v="0"/>
    <s v="Electronic Games"/>
    <s v="Credit Card"/>
    <d v="2020-11-09T00:00:00"/>
    <s v="Larry Moore"/>
    <x v="3"/>
    <x v="8"/>
    <d v="2020-11-01T00:00:00"/>
    <x v="4"/>
  </r>
  <r>
    <s v="B-26145"/>
    <n v="7441"/>
    <n v="867"/>
    <n v="12"/>
    <x v="1"/>
    <s v="Sofas"/>
    <s v="COD"/>
    <d v="2020-05-13T00:00:00"/>
    <s v="Robert Michael"/>
    <x v="1"/>
    <x v="1"/>
    <d v="2020-05-01T00:00:00"/>
    <x v="4"/>
  </r>
  <r>
    <s v="B-25492"/>
    <n v="9279"/>
    <n v="552"/>
    <n v="14"/>
    <x v="1"/>
    <s v="Chairs"/>
    <s v="EMI"/>
    <d v="2020-11-30T00:00:00"/>
    <s v="Clarence Cooke"/>
    <x v="0"/>
    <x v="2"/>
    <d v="2020-11-01T00:00:00"/>
    <x v="4"/>
  </r>
  <r>
    <s v="B-25492"/>
    <n v="2596"/>
    <n v="1003"/>
    <n v="19"/>
    <x v="2"/>
    <s v="Paper"/>
    <s v="Credit Card"/>
    <d v="2020-11-30T00:00:00"/>
    <s v="Clarence Cooke"/>
    <x v="0"/>
    <x v="2"/>
    <d v="2020-11-01T00:00:00"/>
    <x v="4"/>
  </r>
  <r>
    <s v="B-26580"/>
    <n v="4007"/>
    <n v="201"/>
    <n v="13"/>
    <x v="1"/>
    <s v="Bookcases"/>
    <s v="COD"/>
    <d v="2020-10-21T00:00:00"/>
    <s v="Kathryn Rogers"/>
    <x v="2"/>
    <x v="3"/>
    <d v="2020-10-01T00:00:00"/>
    <x v="4"/>
  </r>
  <r>
    <s v="B-25679"/>
    <n v="810"/>
    <n v="231"/>
    <n v="18"/>
    <x v="1"/>
    <s v="Bookcases"/>
    <s v="EMI"/>
    <d v="2020-10-21T00:00:00"/>
    <s v="Jacob Decker"/>
    <x v="3"/>
    <x v="8"/>
    <d v="2020-10-01T00:00:00"/>
    <x v="4"/>
  </r>
  <r>
    <s v="B-26794"/>
    <n v="2137"/>
    <n v="638"/>
    <n v="12"/>
    <x v="1"/>
    <s v="Bookcases"/>
    <s v="Debit Card"/>
    <d v="2020-10-02T00:00:00"/>
    <s v="Colin Patterson"/>
    <x v="4"/>
    <x v="16"/>
    <d v="2020-10-01T00:00:00"/>
    <x v="4"/>
  </r>
  <r>
    <s v="B-26794"/>
    <n v="2831"/>
    <n v="1289"/>
    <n v="12"/>
    <x v="1"/>
    <s v="Chairs"/>
    <s v="Debit Card"/>
    <d v="2020-10-02T00:00:00"/>
    <s v="Colin Patterson"/>
    <x v="4"/>
    <x v="16"/>
    <d v="2020-10-01T00:00:00"/>
    <x v="4"/>
  </r>
  <r>
    <s v="B-25369"/>
    <n v="1579"/>
    <n v="602"/>
    <n v="9"/>
    <x v="0"/>
    <s v="Laptops"/>
    <s v="Credit Card"/>
    <d v="2020-05-24T00:00:00"/>
    <s v="Lauren Jones"/>
    <x v="2"/>
    <x v="6"/>
    <d v="2020-05-01T00:00:00"/>
    <x v="4"/>
  </r>
  <r>
    <s v="B-25369"/>
    <n v="3760"/>
    <n v="1849"/>
    <n v="19"/>
    <x v="1"/>
    <s v="Chairs"/>
    <s v="EMI"/>
    <d v="2020-05-24T00:00:00"/>
    <s v="Lauren Jones"/>
    <x v="2"/>
    <x v="6"/>
    <d v="2020-05-01T00:00:00"/>
    <x v="4"/>
  </r>
  <r>
    <s v="B-25846"/>
    <n v="8706"/>
    <n v="1724"/>
    <n v="3"/>
    <x v="0"/>
    <s v="Electronic Games"/>
    <s v="Debit Card"/>
    <d v="2020-04-25T00:00:00"/>
    <s v="Erin Vasquez"/>
    <x v="3"/>
    <x v="4"/>
    <d v="2020-04-01T00:00:00"/>
    <x v="4"/>
  </r>
  <r>
    <s v="B-25465"/>
    <n v="717"/>
    <n v="158"/>
    <n v="16"/>
    <x v="1"/>
    <s v="Tables"/>
    <s v="Credit Card"/>
    <d v="2020-06-24T00:00:00"/>
    <s v="Steven Frey"/>
    <x v="3"/>
    <x v="7"/>
    <d v="2020-06-01T00:00:00"/>
    <x v="4"/>
  </r>
  <r>
    <s v="B-25465"/>
    <n v="717"/>
    <n v="158"/>
    <n v="16"/>
    <x v="1"/>
    <s v="Tables"/>
    <s v="Credit Card"/>
    <d v="2020-11-06T00:00:00"/>
    <s v="Robert White"/>
    <x v="3"/>
    <x v="4"/>
    <d v="2020-11-01T00:00:00"/>
    <x v="4"/>
  </r>
  <r>
    <s v="B-25465"/>
    <n v="508"/>
    <n v="177"/>
    <n v="17"/>
    <x v="1"/>
    <s v="Sofas"/>
    <s v="UPI"/>
    <d v="2020-06-24T00:00:00"/>
    <s v="Steven Frey"/>
    <x v="3"/>
    <x v="7"/>
    <d v="2020-06-01T00:00:00"/>
    <x v="4"/>
  </r>
  <r>
    <s v="B-25465"/>
    <n v="508"/>
    <n v="177"/>
    <n v="17"/>
    <x v="1"/>
    <s v="Sofas"/>
    <s v="UPI"/>
    <d v="2020-11-06T00:00:00"/>
    <s v="Robert White"/>
    <x v="3"/>
    <x v="4"/>
    <d v="2020-11-01T00:00:00"/>
    <x v="4"/>
  </r>
  <r>
    <s v="B-25381"/>
    <n v="4220"/>
    <n v="945"/>
    <n v="13"/>
    <x v="2"/>
    <s v="Markers"/>
    <s v="EMI"/>
    <d v="2020-12-15T00:00:00"/>
    <s v="Dawn Webb"/>
    <x v="5"/>
    <x v="11"/>
    <d v="2020-12-01T00:00:00"/>
    <x v="4"/>
  </r>
  <r>
    <s v="B-26501"/>
    <n v="8851"/>
    <n v="3962"/>
    <n v="7"/>
    <x v="1"/>
    <s v="Tables"/>
    <s v="EMI"/>
    <d v="2020-09-26T00:00:00"/>
    <s v="Ricky Smith"/>
    <x v="3"/>
    <x v="7"/>
    <d v="2020-09-01T00:00:00"/>
    <x v="4"/>
  </r>
  <r>
    <s v="B-26122"/>
    <n v="4116"/>
    <n v="921"/>
    <n v="20"/>
    <x v="2"/>
    <s v="Paper"/>
    <s v="UPI"/>
    <d v="2020-09-08T00:00:00"/>
    <s v="Angela Norman"/>
    <x v="5"/>
    <x v="10"/>
    <d v="2020-09-01T00:00:00"/>
    <x v="4"/>
  </r>
  <r>
    <s v="B-26656"/>
    <n v="3573"/>
    <n v="562"/>
    <n v="7"/>
    <x v="2"/>
    <s v="Pens"/>
    <s v="EMI"/>
    <d v="2020-05-23T00:00:00"/>
    <s v="Matthew Huff"/>
    <x v="0"/>
    <x v="17"/>
    <d v="2020-05-01T00:00:00"/>
    <x v="4"/>
  </r>
  <r>
    <s v="B-26656"/>
    <n v="3573"/>
    <n v="562"/>
    <n v="7"/>
    <x v="2"/>
    <s v="Pens"/>
    <s v="EMI"/>
    <d v="2020-04-18T00:00:00"/>
    <s v="Linda Little"/>
    <x v="3"/>
    <x v="8"/>
    <d v="2020-04-01T00:00:00"/>
    <x v="4"/>
  </r>
  <r>
    <s v="B-26656"/>
    <n v="8055"/>
    <n v="661"/>
    <n v="10"/>
    <x v="0"/>
    <s v="Phones"/>
    <s v="EMI"/>
    <d v="2020-05-23T00:00:00"/>
    <s v="Matthew Huff"/>
    <x v="0"/>
    <x v="17"/>
    <d v="2020-05-01T00:00:00"/>
    <x v="4"/>
  </r>
  <r>
    <s v="B-26656"/>
    <n v="8055"/>
    <n v="661"/>
    <n v="10"/>
    <x v="0"/>
    <s v="Phones"/>
    <s v="EMI"/>
    <d v="2020-04-18T00:00:00"/>
    <s v="Linda Little"/>
    <x v="3"/>
    <x v="8"/>
    <d v="2020-04-01T00:00:00"/>
    <x v="4"/>
  </r>
  <r>
    <s v="B-26106"/>
    <n v="7952"/>
    <n v="3865"/>
    <n v="8"/>
    <x v="1"/>
    <s v="Sofas"/>
    <s v="Debit Card"/>
    <d v="2020-08-10T00:00:00"/>
    <s v="Mr. Gregg Sawyer"/>
    <x v="5"/>
    <x v="11"/>
    <d v="2020-08-01T00:00:00"/>
    <x v="4"/>
  </r>
  <r>
    <s v="B-26292"/>
    <n v="4183"/>
    <n v="1159"/>
    <n v="4"/>
    <x v="2"/>
    <s v="Pens"/>
    <s v="Debit Card"/>
    <d v="2020-07-13T00:00:00"/>
    <s v="Nathan Moss"/>
    <x v="5"/>
    <x v="10"/>
    <d v="2020-07-01T00:00:00"/>
    <x v="4"/>
  </r>
  <r>
    <s v="B-25759"/>
    <n v="5014"/>
    <n v="2332"/>
    <n v="2"/>
    <x v="1"/>
    <s v="Chairs"/>
    <s v="COD"/>
    <d v="2020-11-10T00:00:00"/>
    <s v="Leah Calderon"/>
    <x v="5"/>
    <x v="14"/>
    <d v="2020-11-01T00:00:00"/>
    <x v="4"/>
  </r>
  <r>
    <s v="B-25502"/>
    <n v="8490"/>
    <n v="800"/>
    <n v="1"/>
    <x v="2"/>
    <s v="Pens"/>
    <s v="EMI"/>
    <d v="2020-05-24T00:00:00"/>
    <s v="Tammy Day"/>
    <x v="4"/>
    <x v="16"/>
    <d v="2020-05-01T00:00:00"/>
    <x v="4"/>
  </r>
  <r>
    <s v="B-26878"/>
    <n v="1078"/>
    <n v="309"/>
    <n v="3"/>
    <x v="0"/>
    <s v="Phones"/>
    <s v="Credit Card"/>
    <d v="2020-10-01T00:00:00"/>
    <s v="Jasmin Jones"/>
    <x v="5"/>
    <x v="14"/>
    <d v="2020-10-01T00:00:00"/>
    <x v="4"/>
  </r>
  <r>
    <s v="B-26599"/>
    <n v="4015"/>
    <n v="1751"/>
    <n v="15"/>
    <x v="1"/>
    <s v="Chairs"/>
    <s v="Debit Card"/>
    <d v="2020-09-08T00:00:00"/>
    <s v="Jorge George"/>
    <x v="4"/>
    <x v="16"/>
    <d v="2020-09-01T00:00:00"/>
    <x v="4"/>
  </r>
  <r>
    <s v="B-25996"/>
    <n v="714"/>
    <n v="232"/>
    <n v="14"/>
    <x v="1"/>
    <s v="Tables"/>
    <s v="UPI"/>
    <d v="2020-12-23T00:00:00"/>
    <s v="Jennifer Clark"/>
    <x v="1"/>
    <x v="1"/>
    <d v="2020-12-01T00:00:00"/>
    <x v="4"/>
  </r>
  <r>
    <s v="B-25541"/>
    <n v="2401"/>
    <n v="1163"/>
    <n v="10"/>
    <x v="1"/>
    <s v="Bookcases"/>
    <s v="UPI"/>
    <d v="2020-04-22T00:00:00"/>
    <s v="Joseph Guerrero"/>
    <x v="0"/>
    <x v="0"/>
    <d v="2020-04-01T00:00:00"/>
    <x v="4"/>
  </r>
  <r>
    <s v="B-25541"/>
    <n v="1045"/>
    <n v="267"/>
    <n v="11"/>
    <x v="0"/>
    <s v="Phones"/>
    <s v="Debit Card"/>
    <d v="2020-04-22T00:00:00"/>
    <s v="Joseph Guerrero"/>
    <x v="0"/>
    <x v="0"/>
    <d v="2020-04-01T00:00:00"/>
    <x v="4"/>
  </r>
  <r>
    <s v="B-26379"/>
    <n v="8681"/>
    <n v="2458"/>
    <n v="9"/>
    <x v="2"/>
    <s v="Pens"/>
    <s v="Credit Card"/>
    <d v="2020-09-01T00:00:00"/>
    <s v="Mike Armstrong"/>
    <x v="4"/>
    <x v="16"/>
    <d v="2020-09-01T00:00:00"/>
    <x v="4"/>
  </r>
  <r>
    <s v="B-25317"/>
    <n v="2472"/>
    <n v="211"/>
    <n v="5"/>
    <x v="0"/>
    <s v="Printers"/>
    <s v="COD"/>
    <d v="2020-06-21T00:00:00"/>
    <s v="Sharon Russell"/>
    <x v="0"/>
    <x v="17"/>
    <d v="2020-06-01T00:00:00"/>
    <x v="4"/>
  </r>
  <r>
    <s v="B-25590"/>
    <n v="8305"/>
    <n v="1577"/>
    <n v="6"/>
    <x v="2"/>
    <s v="Binders"/>
    <s v="Debit Card"/>
    <d v="2020-12-16T00:00:00"/>
    <s v="Darrell Ramos"/>
    <x v="4"/>
    <x v="12"/>
    <d v="2020-12-01T00:00:00"/>
    <x v="4"/>
  </r>
  <r>
    <s v="B-26505"/>
    <n v="8158"/>
    <n v="2052"/>
    <n v="13"/>
    <x v="0"/>
    <s v="Phones"/>
    <s v="Debit Card"/>
    <d v="2020-09-21T00:00:00"/>
    <s v="Mary Wright"/>
    <x v="2"/>
    <x v="6"/>
    <d v="2020-09-01T00:00:00"/>
    <x v="4"/>
  </r>
  <r>
    <s v="B-26573"/>
    <n v="6783"/>
    <n v="3306"/>
    <n v="8"/>
    <x v="1"/>
    <s v="Sofas"/>
    <s v="Debit Card"/>
    <d v="2020-04-16T00:00:00"/>
    <s v="Felicia Morton"/>
    <x v="2"/>
    <x v="3"/>
    <d v="2020-04-01T00:00:00"/>
    <x v="4"/>
  </r>
  <r>
    <s v="B-25138"/>
    <n v="1778"/>
    <n v="285"/>
    <n v="4"/>
    <x v="2"/>
    <s v="Pens"/>
    <s v="Credit Card"/>
    <d v="2020-07-04T00:00:00"/>
    <s v="Sylvia Jenkins"/>
    <x v="4"/>
    <x v="16"/>
    <d v="2020-07-01T00:00:00"/>
    <x v="4"/>
  </r>
  <r>
    <s v="B-25646"/>
    <n v="8979"/>
    <n v="4477"/>
    <n v="4"/>
    <x v="2"/>
    <s v="Paper"/>
    <s v="Credit Card"/>
    <d v="2020-08-24T00:00:00"/>
    <s v="Sharon Wilkins"/>
    <x v="5"/>
    <x v="14"/>
    <d v="2020-08-01T00:00:00"/>
    <x v="4"/>
  </r>
  <r>
    <s v="B-25992"/>
    <n v="8572"/>
    <n v="2041"/>
    <n v="8"/>
    <x v="1"/>
    <s v="Tables"/>
    <s v="EMI"/>
    <d v="2020-10-27T00:00:00"/>
    <s v="Diana Scott"/>
    <x v="0"/>
    <x v="17"/>
    <d v="2020-10-01T00:00:00"/>
    <x v="4"/>
  </r>
  <r>
    <s v="B-25992"/>
    <n v="8059"/>
    <n v="1834"/>
    <n v="10"/>
    <x v="0"/>
    <s v="Printers"/>
    <s v="Credit Card"/>
    <d v="2020-10-27T00:00:00"/>
    <s v="Diana Scott"/>
    <x v="0"/>
    <x v="17"/>
    <d v="2020-10-01T00:00:00"/>
    <x v="4"/>
  </r>
  <r>
    <s v="B-25976"/>
    <n v="4307"/>
    <n v="615"/>
    <n v="3"/>
    <x v="0"/>
    <s v="Electronic Games"/>
    <s v="UPI"/>
    <d v="2020-11-10T00:00:00"/>
    <s v="Francisco Hicks"/>
    <x v="5"/>
    <x v="10"/>
    <d v="2020-11-01T00:00:00"/>
    <x v="4"/>
  </r>
  <r>
    <s v="B-25976"/>
    <n v="5694"/>
    <n v="1134"/>
    <n v="5"/>
    <x v="1"/>
    <s v="Chairs"/>
    <s v="EMI"/>
    <d v="2020-11-10T00:00:00"/>
    <s v="Francisco Hicks"/>
    <x v="5"/>
    <x v="10"/>
    <d v="2020-11-01T00:00:00"/>
    <x v="4"/>
  </r>
  <r>
    <s v="B-25363"/>
    <n v="3918"/>
    <n v="749"/>
    <n v="8"/>
    <x v="0"/>
    <s v="Laptops"/>
    <s v="Credit Card"/>
    <d v="2020-05-02T00:00:00"/>
    <s v="Robert Martinez"/>
    <x v="1"/>
    <x v="15"/>
    <d v="2020-05-01T00:00:00"/>
    <x v="4"/>
  </r>
  <r>
    <s v="B-25447"/>
    <n v="5028"/>
    <n v="1553"/>
    <n v="13"/>
    <x v="2"/>
    <s v="Paper"/>
    <s v="EMI"/>
    <d v="2020-05-04T00:00:00"/>
    <s v="Amber Kennedy"/>
    <x v="3"/>
    <x v="8"/>
    <d v="2020-05-01T00:00:00"/>
    <x v="4"/>
  </r>
  <r>
    <s v="B-25435"/>
    <n v="3518"/>
    <n v="1051"/>
    <n v="3"/>
    <x v="1"/>
    <s v="Bookcases"/>
    <s v="UPI"/>
    <d v="2020-09-10T00:00:00"/>
    <s v="Paul Scott"/>
    <x v="0"/>
    <x v="2"/>
    <d v="2020-09-01T00:00:00"/>
    <x v="4"/>
  </r>
  <r>
    <s v="B-25435"/>
    <n v="4157"/>
    <n v="1874"/>
    <n v="8"/>
    <x v="0"/>
    <s v="Laptops"/>
    <s v="EMI"/>
    <d v="2020-09-10T00:00:00"/>
    <s v="Paul Scott"/>
    <x v="0"/>
    <x v="2"/>
    <d v="2020-09-01T00:00:00"/>
    <x v="4"/>
  </r>
  <r>
    <s v="B-26279"/>
    <n v="3747"/>
    <n v="410"/>
    <n v="5"/>
    <x v="2"/>
    <s v="Markers"/>
    <s v="Credit Card"/>
    <d v="2020-07-12T00:00:00"/>
    <s v="Kristin Alvarez"/>
    <x v="5"/>
    <x v="10"/>
    <d v="2020-07-01T00:00:00"/>
    <x v="4"/>
  </r>
  <r>
    <s v="B-26279"/>
    <n v="3194"/>
    <n v="534"/>
    <n v="4"/>
    <x v="2"/>
    <s v="Binders"/>
    <s v="UPI"/>
    <d v="2020-07-12T00:00:00"/>
    <s v="Kristin Alvarez"/>
    <x v="5"/>
    <x v="10"/>
    <d v="2020-07-01T00:00:00"/>
    <x v="4"/>
  </r>
  <r>
    <s v="B-25715"/>
    <n v="6089"/>
    <n v="139"/>
    <n v="19"/>
    <x v="1"/>
    <s v="Tables"/>
    <s v="Debit Card"/>
    <d v="2020-12-31T00:00:00"/>
    <s v="Alicia Vincent"/>
    <x v="2"/>
    <x v="6"/>
    <d v="2020-12-01T00:00:00"/>
    <x v="4"/>
  </r>
  <r>
    <s v="B-25715"/>
    <n v="2586"/>
    <n v="800"/>
    <n v="16"/>
    <x v="1"/>
    <s v="Tables"/>
    <s v="UPI"/>
    <d v="2020-12-31T00:00:00"/>
    <s v="Alicia Vincent"/>
    <x v="2"/>
    <x v="6"/>
    <d v="2020-12-01T00:00:00"/>
    <x v="4"/>
  </r>
  <r>
    <s v="B-25715"/>
    <n v="3757"/>
    <n v="1626"/>
    <n v="9"/>
    <x v="2"/>
    <s v="Paper"/>
    <s v="UPI"/>
    <d v="2020-12-31T00:00:00"/>
    <s v="Alicia Vincent"/>
    <x v="2"/>
    <x v="6"/>
    <d v="2020-12-01T00:00:00"/>
    <x v="4"/>
  </r>
  <r>
    <s v="B-25902"/>
    <n v="7493"/>
    <n v="96"/>
    <n v="3"/>
    <x v="0"/>
    <s v="Electronic Games"/>
    <s v="UPI"/>
    <d v="2020-08-11T00:00:00"/>
    <s v="Theresa Cline"/>
    <x v="2"/>
    <x v="5"/>
    <d v="2020-08-01T00:00:00"/>
    <x v="4"/>
  </r>
  <r>
    <s v="B-25935"/>
    <n v="3482"/>
    <n v="1554"/>
    <n v="15"/>
    <x v="0"/>
    <s v="Laptops"/>
    <s v="Debit Card"/>
    <d v="2020-09-09T00:00:00"/>
    <s v="Amanda Kim"/>
    <x v="2"/>
    <x v="3"/>
    <d v="2020-09-01T00:00:00"/>
    <x v="4"/>
  </r>
  <r>
    <s v="B-25707"/>
    <n v="4904"/>
    <n v="469"/>
    <n v="2"/>
    <x v="2"/>
    <s v="Pens"/>
    <s v="Debit Card"/>
    <d v="2020-04-25T00:00:00"/>
    <s v="Kaitlin Brown"/>
    <x v="1"/>
    <x v="13"/>
    <d v="2020-04-01T00:00:00"/>
    <x v="4"/>
  </r>
  <r>
    <s v="B-25707"/>
    <n v="3080"/>
    <n v="737"/>
    <n v="6"/>
    <x v="2"/>
    <s v="Binders"/>
    <s v="UPI"/>
    <d v="2020-04-25T00:00:00"/>
    <s v="Kaitlin Brown"/>
    <x v="1"/>
    <x v="13"/>
    <d v="2020-04-01T00:00:00"/>
    <x v="4"/>
  </r>
  <r>
    <s v="B-26912"/>
    <n v="8752"/>
    <n v="1686"/>
    <n v="9"/>
    <x v="1"/>
    <s v="Tables"/>
    <s v="Debit Card"/>
    <d v="2020-12-27T00:00:00"/>
    <s v="Patrick Hensley MD"/>
    <x v="2"/>
    <x v="6"/>
    <d v="2020-12-01T00:00:00"/>
    <x v="4"/>
  </r>
  <r>
    <s v="B-25387"/>
    <n v="9775"/>
    <n v="4507"/>
    <n v="5"/>
    <x v="2"/>
    <s v="Markers"/>
    <s v="UPI"/>
    <d v="2020-07-06T00:00:00"/>
    <s v="Amy Thompson"/>
    <x v="2"/>
    <x v="6"/>
    <d v="2020-07-01T00:00:00"/>
    <x v="4"/>
  </r>
  <r>
    <s v="B-25192"/>
    <n v="3309"/>
    <n v="177"/>
    <n v="13"/>
    <x v="1"/>
    <s v="Bookcases"/>
    <s v="EMI"/>
    <d v="2020-12-17T00:00:00"/>
    <s v="Ashley Wright"/>
    <x v="2"/>
    <x v="5"/>
    <d v="2020-12-01T00:00:00"/>
    <x v="4"/>
  </r>
  <r>
    <s v="B-26817"/>
    <n v="3316"/>
    <n v="126"/>
    <n v="6"/>
    <x v="0"/>
    <s v="Laptops"/>
    <s v="COD"/>
    <d v="2020-10-11T00:00:00"/>
    <s v="Debra Townsend"/>
    <x v="2"/>
    <x v="6"/>
    <d v="2020-10-01T00:00:00"/>
    <x v="4"/>
  </r>
  <r>
    <s v="B-25382"/>
    <n v="7019"/>
    <n v="2677"/>
    <n v="15"/>
    <x v="2"/>
    <s v="Markers"/>
    <s v="UPI"/>
    <d v="2020-12-21T00:00:00"/>
    <s v="Joshua Rojas"/>
    <x v="3"/>
    <x v="7"/>
    <d v="2020-12-01T00:00:00"/>
    <x v="4"/>
  </r>
  <r>
    <s v="B-25873"/>
    <n v="2684"/>
    <n v="713"/>
    <n v="2"/>
    <x v="0"/>
    <s v="Electronic Games"/>
    <s v="UPI"/>
    <d v="2020-05-11T00:00:00"/>
    <s v="William Rosario"/>
    <x v="1"/>
    <x v="13"/>
    <d v="2020-05-01T00:00:00"/>
    <x v="4"/>
  </r>
  <r>
    <s v="B-25444"/>
    <n v="7626"/>
    <n v="229"/>
    <n v="5"/>
    <x v="2"/>
    <s v="Pens"/>
    <s v="EMI"/>
    <d v="2020-11-25T00:00:00"/>
    <s v="Tony Chavez"/>
    <x v="2"/>
    <x v="3"/>
    <d v="2020-11-01T00:00:00"/>
    <x v="4"/>
  </r>
  <r>
    <s v="B-26750"/>
    <n v="5461"/>
    <n v="1214"/>
    <n v="7"/>
    <x v="1"/>
    <s v="Sofas"/>
    <s v="Credit Card"/>
    <d v="2020-06-07T00:00:00"/>
    <s v="Paul Zimmerman"/>
    <x v="4"/>
    <x v="12"/>
    <d v="2020-06-01T00:00:00"/>
    <x v="4"/>
  </r>
  <r>
    <s v="B-26929"/>
    <n v="6087"/>
    <n v="3043"/>
    <n v="1"/>
    <x v="1"/>
    <s v="Sofas"/>
    <s v="COD"/>
    <d v="2020-08-05T00:00:00"/>
    <s v="Kelly Roberts"/>
    <x v="4"/>
    <x v="9"/>
    <d v="2020-08-01T00:00:00"/>
    <x v="4"/>
  </r>
  <r>
    <s v="B-25359"/>
    <n v="611"/>
    <n v="300"/>
    <n v="3"/>
    <x v="1"/>
    <s v="Bookcases"/>
    <s v="Credit Card"/>
    <d v="2020-10-15T00:00:00"/>
    <s v="Jack Woods"/>
    <x v="5"/>
    <x v="11"/>
    <d v="2020-10-01T00:00:00"/>
    <x v="4"/>
  </r>
  <r>
    <s v="B-26909"/>
    <n v="7786"/>
    <n v="1202"/>
    <n v="4"/>
    <x v="1"/>
    <s v="Sofas"/>
    <s v="EMI"/>
    <d v="2020-06-23T00:00:00"/>
    <s v="Daniel Brooks"/>
    <x v="5"/>
    <x v="11"/>
    <d v="2020-06-01T00:00:00"/>
    <x v="4"/>
  </r>
  <r>
    <s v="B-26790"/>
    <n v="3445"/>
    <n v="1405"/>
    <n v="16"/>
    <x v="1"/>
    <s v="Sofas"/>
    <s v="EMI"/>
    <d v="2020-09-21T00:00:00"/>
    <s v="Jennifer Cooke"/>
    <x v="0"/>
    <x v="2"/>
    <d v="2020-09-01T00:00:00"/>
    <x v="4"/>
  </r>
  <r>
    <s v="B-26790"/>
    <n v="9837"/>
    <n v="384"/>
    <n v="1"/>
    <x v="0"/>
    <s v="Laptops"/>
    <s v="UPI"/>
    <d v="2020-09-21T00:00:00"/>
    <s v="Jennifer Cooke"/>
    <x v="0"/>
    <x v="2"/>
    <d v="2020-09-01T00:00:00"/>
    <x v="4"/>
  </r>
  <r>
    <s v="B-26628"/>
    <n v="9609"/>
    <n v="4339"/>
    <n v="3"/>
    <x v="1"/>
    <s v="Sofas"/>
    <s v="Debit Card"/>
    <d v="2020-04-05T00:00:00"/>
    <s v="Sara Bailey"/>
    <x v="2"/>
    <x v="6"/>
    <d v="2020-04-01T00:00:00"/>
    <x v="4"/>
  </r>
  <r>
    <s v="B-26565"/>
    <n v="9873"/>
    <n v="4585"/>
    <n v="7"/>
    <x v="2"/>
    <s v="Paper"/>
    <s v="Credit Card"/>
    <d v="2020-08-10T00:00:00"/>
    <s v="Maria Galvan"/>
    <x v="2"/>
    <x v="3"/>
    <d v="2020-08-01T00:00:00"/>
    <x v="4"/>
  </r>
  <r>
    <s v="B-25684"/>
    <n v="3560"/>
    <n v="1335"/>
    <n v="15"/>
    <x v="0"/>
    <s v="Electronic Games"/>
    <s v="COD"/>
    <d v="2020-04-29T00:00:00"/>
    <s v="Duane Kelly"/>
    <x v="4"/>
    <x v="16"/>
    <d v="2020-04-01T00:00:00"/>
    <x v="4"/>
  </r>
  <r>
    <s v="B-26612"/>
    <n v="6528"/>
    <n v="76"/>
    <n v="9"/>
    <x v="0"/>
    <s v="Phones"/>
    <s v="Debit Card"/>
    <d v="2020-05-04T00:00:00"/>
    <s v="Aaron Kim"/>
    <x v="4"/>
    <x v="9"/>
    <d v="2020-05-01T00:00:00"/>
    <x v="4"/>
  </r>
  <r>
    <s v="B-26612"/>
    <n v="8930"/>
    <n v="3374"/>
    <n v="12"/>
    <x v="1"/>
    <s v="Sofas"/>
    <s v="Debit Card"/>
    <d v="2020-05-04T00:00:00"/>
    <s v="Aaron Kim"/>
    <x v="4"/>
    <x v="9"/>
    <d v="2020-05-01T00:00:00"/>
    <x v="4"/>
  </r>
  <r>
    <s v="B-26120"/>
    <n v="2101"/>
    <n v="287"/>
    <n v="8"/>
    <x v="2"/>
    <s v="Pens"/>
    <s v="COD"/>
    <d v="2020-07-04T00:00:00"/>
    <s v="Kimberly Fuller"/>
    <x v="2"/>
    <x v="5"/>
    <d v="2020-07-01T00:00:00"/>
    <x v="4"/>
  </r>
  <r>
    <s v="B-26257"/>
    <n v="5460"/>
    <n v="2088"/>
    <n v="14"/>
    <x v="1"/>
    <s v="Tables"/>
    <s v="Debit Card"/>
    <d v="2020-04-19T00:00:00"/>
    <s v="Joseph Clark"/>
    <x v="2"/>
    <x v="6"/>
    <d v="2020-04-01T00:00:00"/>
    <x v="4"/>
  </r>
  <r>
    <s v="B-25603"/>
    <n v="9272"/>
    <n v="1771"/>
    <n v="19"/>
    <x v="2"/>
    <s v="Markers"/>
    <s v="UPI"/>
    <d v="2020-04-18T00:00:00"/>
    <s v="Lauren Boyer"/>
    <x v="1"/>
    <x v="13"/>
    <d v="2020-04-01T00:00:00"/>
    <x v="4"/>
  </r>
  <r>
    <s v="B-25436"/>
    <n v="8044"/>
    <n v="3634"/>
    <n v="3"/>
    <x v="2"/>
    <s v="Markers"/>
    <s v="COD"/>
    <d v="2020-12-24T00:00:00"/>
    <s v="Andre Fernandez"/>
    <x v="3"/>
    <x v="4"/>
    <d v="2020-12-01T00:00:00"/>
    <x v="4"/>
  </r>
  <r>
    <s v="B-26739"/>
    <n v="2689"/>
    <n v="1330"/>
    <n v="3"/>
    <x v="1"/>
    <s v="Tables"/>
    <s v="UPI"/>
    <d v="2020-12-13T00:00:00"/>
    <s v="Robert Sexton"/>
    <x v="0"/>
    <x v="0"/>
    <d v="2020-12-01T00:00:00"/>
    <x v="4"/>
  </r>
  <r>
    <s v="B-25665"/>
    <n v="8962"/>
    <n v="2444"/>
    <n v="18"/>
    <x v="0"/>
    <s v="Electronic Games"/>
    <s v="Debit Card"/>
    <d v="2020-03-22T00:00:00"/>
    <s v="Isabella Roach"/>
    <x v="5"/>
    <x v="11"/>
    <d v="2020-03-01T00:00:00"/>
    <x v="4"/>
  </r>
  <r>
    <s v="B-25028"/>
    <n v="1961"/>
    <n v="59"/>
    <n v="12"/>
    <x v="2"/>
    <s v="Binders"/>
    <s v="UPI"/>
    <d v="2020-08-09T00:00:00"/>
    <s v="Samantha Williams"/>
    <x v="3"/>
    <x v="4"/>
    <d v="2020-08-01T00:00:00"/>
    <x v="4"/>
  </r>
  <r>
    <s v="B-26298"/>
    <n v="2082"/>
    <n v="642"/>
    <n v="8"/>
    <x v="0"/>
    <s v="Phones"/>
    <s v="EMI"/>
    <d v="2020-06-02T00:00:00"/>
    <s v="Caitlin Hunt"/>
    <x v="4"/>
    <x v="12"/>
    <d v="2020-06-01T00:00:00"/>
    <x v="4"/>
  </r>
  <r>
    <s v="B-26298"/>
    <n v="2082"/>
    <n v="642"/>
    <n v="8"/>
    <x v="0"/>
    <s v="Phones"/>
    <s v="EMI"/>
    <d v="2020-08-07T00:00:00"/>
    <s v="Stephanie Oconnell"/>
    <x v="4"/>
    <x v="9"/>
    <d v="2020-08-01T00:00:00"/>
    <x v="4"/>
  </r>
  <r>
    <s v="B-26510"/>
    <n v="1629"/>
    <n v="265"/>
    <n v="1"/>
    <x v="2"/>
    <s v="Paper"/>
    <s v="UPI"/>
    <d v="2025-02-11T00:00:00"/>
    <s v="Douglas Pennington"/>
    <x v="1"/>
    <x v="13"/>
    <d v="2025-02-01T00:00:00"/>
    <x v="5"/>
  </r>
  <r>
    <s v="B-26076"/>
    <n v="2750"/>
    <n v="1239"/>
    <n v="11"/>
    <x v="0"/>
    <s v="Phones"/>
    <s v="Debit Card"/>
    <d v="2025-03-10T00:00:00"/>
    <s v="Vanessa Bauer"/>
    <x v="4"/>
    <x v="9"/>
    <d v="2025-03-01T00:00:00"/>
    <x v="5"/>
  </r>
  <r>
    <s v="B-26076"/>
    <n v="8639"/>
    <n v="3104"/>
    <n v="19"/>
    <x v="2"/>
    <s v="Pens"/>
    <s v="EMI"/>
    <d v="2025-03-10T00:00:00"/>
    <s v="Vanessa Bauer"/>
    <x v="4"/>
    <x v="9"/>
    <d v="2025-03-01T00:00:00"/>
    <x v="5"/>
  </r>
  <r>
    <s v="B-25400"/>
    <n v="7759"/>
    <n v="3741"/>
    <n v="17"/>
    <x v="0"/>
    <s v="Printers"/>
    <s v="UPI"/>
    <d v="2025-01-06T00:00:00"/>
    <s v="Nicholas Johnson"/>
    <x v="1"/>
    <x v="13"/>
    <d v="2025-01-01T00:00:00"/>
    <x v="5"/>
  </r>
  <r>
    <s v="B-25400"/>
    <n v="7521"/>
    <n v="3457"/>
    <n v="16"/>
    <x v="2"/>
    <s v="Markers"/>
    <s v="Debit Card"/>
    <d v="2025-01-06T00:00:00"/>
    <s v="Nicholas Johnson"/>
    <x v="1"/>
    <x v="13"/>
    <d v="2025-01-01T00:00:00"/>
    <x v="5"/>
  </r>
  <r>
    <s v="B-25714"/>
    <n v="6962"/>
    <n v="3429"/>
    <n v="12"/>
    <x v="0"/>
    <s v="Electronic Games"/>
    <s v="UPI"/>
    <d v="2025-02-19T00:00:00"/>
    <s v="Joyce Good MD"/>
    <x v="3"/>
    <x v="7"/>
    <d v="2025-02-01T00:00:00"/>
    <x v="5"/>
  </r>
  <r>
    <s v="B-25463"/>
    <n v="3137"/>
    <n v="571"/>
    <n v="9"/>
    <x v="2"/>
    <s v="Pens"/>
    <s v="Debit Card"/>
    <d v="2025-02-02T00:00:00"/>
    <s v="Tina Davies"/>
    <x v="5"/>
    <x v="14"/>
    <d v="2025-02-01T00:00:00"/>
    <x v="5"/>
  </r>
  <r>
    <s v="B-26019"/>
    <n v="9845"/>
    <n v="3062"/>
    <n v="9"/>
    <x v="2"/>
    <s v="Paper"/>
    <s v="COD"/>
    <d v="2025-03-14T00:00:00"/>
    <s v="Elizabeth Hernandez"/>
    <x v="3"/>
    <x v="4"/>
    <d v="2025-03-01T00:00:00"/>
    <x v="5"/>
  </r>
  <r>
    <s v="B-25511"/>
    <n v="9707"/>
    <n v="3483"/>
    <n v="10"/>
    <x v="0"/>
    <s v="Electronic Games"/>
    <s v="EMI"/>
    <d v="2025-01-29T00:00:00"/>
    <s v="Samuel Hayes"/>
    <x v="5"/>
    <x v="11"/>
    <d v="2025-01-01T00:00:00"/>
    <x v="5"/>
  </r>
  <r>
    <s v="B-25511"/>
    <n v="8521"/>
    <n v="2584"/>
    <n v="7"/>
    <x v="2"/>
    <s v="Paper"/>
    <s v="COD"/>
    <d v="2025-01-29T00:00:00"/>
    <s v="Samuel Hayes"/>
    <x v="5"/>
    <x v="11"/>
    <d v="2025-01-01T00:00:00"/>
    <x v="5"/>
  </r>
  <r>
    <s v="B-25919"/>
    <n v="2140"/>
    <n v="970"/>
    <n v="4"/>
    <x v="2"/>
    <s v="Paper"/>
    <s v="Credit Card"/>
    <d v="2025-02-20T00:00:00"/>
    <s v="Rebekah Carter"/>
    <x v="3"/>
    <x v="4"/>
    <d v="2025-02-01T00:00:00"/>
    <x v="5"/>
  </r>
  <r>
    <s v="B-25919"/>
    <n v="2670"/>
    <n v="1026"/>
    <n v="1"/>
    <x v="0"/>
    <s v="Laptops"/>
    <s v="Debit Card"/>
    <d v="2025-02-20T00:00:00"/>
    <s v="Rebekah Carter"/>
    <x v="3"/>
    <x v="4"/>
    <d v="2025-02-01T00:00:00"/>
    <x v="5"/>
  </r>
  <r>
    <s v="B-26978"/>
    <n v="1108"/>
    <n v="167"/>
    <n v="18"/>
    <x v="0"/>
    <s v="Laptops"/>
    <s v="Debit Card"/>
    <d v="2025-03-07T00:00:00"/>
    <s v="Roger Harris"/>
    <x v="5"/>
    <x v="10"/>
    <d v="2025-03-01T00:00:00"/>
    <x v="5"/>
  </r>
  <r>
    <s v="B-26978"/>
    <n v="9776"/>
    <n v="3750"/>
    <n v="9"/>
    <x v="2"/>
    <s v="Binders"/>
    <s v="UPI"/>
    <d v="2025-03-07T00:00:00"/>
    <s v="Roger Harris"/>
    <x v="5"/>
    <x v="10"/>
    <d v="2025-03-01T00:00:00"/>
    <x v="5"/>
  </r>
  <r>
    <s v="B-26978"/>
    <n v="535"/>
    <n v="72"/>
    <n v="6"/>
    <x v="1"/>
    <s v="Bookcases"/>
    <s v="COD"/>
    <d v="2025-03-07T00:00:00"/>
    <s v="Roger Harris"/>
    <x v="5"/>
    <x v="10"/>
    <d v="2025-03-01T00:00:00"/>
    <x v="5"/>
  </r>
  <r>
    <s v="B-25957"/>
    <n v="4470"/>
    <n v="413"/>
    <n v="13"/>
    <x v="0"/>
    <s v="Laptops"/>
    <s v="UPI"/>
    <d v="2025-02-02T00:00:00"/>
    <s v="Michael Chambers"/>
    <x v="0"/>
    <x v="0"/>
    <d v="2025-02-01T00:00:00"/>
    <x v="5"/>
  </r>
  <r>
    <s v="B-26986"/>
    <n v="7900"/>
    <n v="482"/>
    <n v="4"/>
    <x v="0"/>
    <s v="Phones"/>
    <s v="COD"/>
    <d v="2025-03-08T00:00:00"/>
    <s v="William Martin"/>
    <x v="2"/>
    <x v="3"/>
    <d v="2025-03-01T00:00:00"/>
    <x v="5"/>
  </r>
  <r>
    <s v="B-26906"/>
    <n v="3665"/>
    <n v="802"/>
    <n v="4"/>
    <x v="2"/>
    <s v="Markers"/>
    <s v="Credit Card"/>
    <d v="2025-02-09T00:00:00"/>
    <s v="Cathy Clark"/>
    <x v="3"/>
    <x v="8"/>
    <d v="2025-02-01T00:00:00"/>
    <x v="5"/>
  </r>
  <r>
    <s v="B-25454"/>
    <n v="5666"/>
    <n v="2733"/>
    <n v="17"/>
    <x v="0"/>
    <s v="Electronic Games"/>
    <s v="Credit Card"/>
    <d v="2025-01-27T00:00:00"/>
    <s v="Vanessa Deleon"/>
    <x v="3"/>
    <x v="8"/>
    <d v="2025-01-01T00:00:00"/>
    <x v="5"/>
  </r>
  <r>
    <s v="B-25456"/>
    <n v="5632"/>
    <n v="2358"/>
    <n v="20"/>
    <x v="1"/>
    <s v="Sofas"/>
    <s v="Credit Card"/>
    <d v="2025-02-04T00:00:00"/>
    <s v="Reginald Espinoza"/>
    <x v="2"/>
    <x v="5"/>
    <d v="2025-02-01T00:00:00"/>
    <x v="5"/>
  </r>
  <r>
    <s v="B-25329"/>
    <n v="5412"/>
    <n v="1192"/>
    <n v="18"/>
    <x v="1"/>
    <s v="Tables"/>
    <s v="Credit Card"/>
    <d v="2025-01-03T00:00:00"/>
    <s v="Gregory English"/>
    <x v="0"/>
    <x v="0"/>
    <d v="2025-01-01T00:00:00"/>
    <x v="5"/>
  </r>
  <r>
    <s v="B-25369"/>
    <n v="1579"/>
    <n v="602"/>
    <n v="9"/>
    <x v="0"/>
    <s v="Laptops"/>
    <s v="Credit Card"/>
    <d v="2025-02-16T00:00:00"/>
    <s v="Thomas Wallace"/>
    <x v="1"/>
    <x v="13"/>
    <d v="2025-02-01T00:00:00"/>
    <x v="5"/>
  </r>
  <r>
    <s v="B-25369"/>
    <n v="3760"/>
    <n v="1849"/>
    <n v="19"/>
    <x v="1"/>
    <s v="Chairs"/>
    <s v="EMI"/>
    <d v="2025-02-16T00:00:00"/>
    <s v="Thomas Wallace"/>
    <x v="1"/>
    <x v="13"/>
    <d v="2025-02-01T00:00:00"/>
    <x v="5"/>
  </r>
  <r>
    <s v="B-25832"/>
    <n v="6129"/>
    <n v="2976"/>
    <n v="2"/>
    <x v="0"/>
    <s v="Laptops"/>
    <s v="EMI"/>
    <d v="2025-02-24T00:00:00"/>
    <s v="Jennifer Arnold"/>
    <x v="4"/>
    <x v="16"/>
    <d v="2025-02-01T00:00:00"/>
    <x v="5"/>
  </r>
  <r>
    <s v="B-25832"/>
    <n v="4395"/>
    <n v="1663"/>
    <n v="3"/>
    <x v="1"/>
    <s v="Bookcases"/>
    <s v="COD"/>
    <d v="2025-02-24T00:00:00"/>
    <s v="Jennifer Arnold"/>
    <x v="4"/>
    <x v="16"/>
    <d v="2025-02-01T00:00:00"/>
    <x v="5"/>
  </r>
  <r>
    <s v="B-26288"/>
    <n v="5344"/>
    <n v="2607"/>
    <n v="6"/>
    <x v="2"/>
    <s v="Paper"/>
    <s v="Debit Card"/>
    <d v="2025-02-18T00:00:00"/>
    <s v="Mr. Nathaniel Reeves"/>
    <x v="4"/>
    <x v="12"/>
    <d v="2025-02-01T00:00:00"/>
    <x v="5"/>
  </r>
  <r>
    <s v="B-26457"/>
    <n v="5376"/>
    <n v="1928"/>
    <n v="7"/>
    <x v="1"/>
    <s v="Tables"/>
    <s v="Credit Card"/>
    <d v="2025-01-15T00:00:00"/>
    <s v="Mario Hall"/>
    <x v="4"/>
    <x v="16"/>
    <d v="2025-01-01T00:00:00"/>
    <x v="5"/>
  </r>
  <r>
    <s v="B-26820"/>
    <n v="5402"/>
    <n v="1666"/>
    <n v="12"/>
    <x v="1"/>
    <s v="Bookcases"/>
    <s v="EMI"/>
    <d v="2025-02-26T00:00:00"/>
    <s v="Kimberly Beard"/>
    <x v="2"/>
    <x v="5"/>
    <d v="2025-02-01T00:00:00"/>
    <x v="5"/>
  </r>
  <r>
    <s v="B-26623"/>
    <n v="6195"/>
    <n v="1556"/>
    <n v="18"/>
    <x v="1"/>
    <s v="Sofas"/>
    <s v="EMI"/>
    <d v="2025-02-01T00:00:00"/>
    <s v="Cindy Rowland"/>
    <x v="5"/>
    <x v="10"/>
    <d v="2025-02-01T00:00:00"/>
    <x v="5"/>
  </r>
  <r>
    <s v="B-26740"/>
    <n v="9369"/>
    <n v="3297"/>
    <n v="6"/>
    <x v="0"/>
    <s v="Printers"/>
    <s v="Debit Card"/>
    <d v="2025-01-30T00:00:00"/>
    <s v="Logan Galloway"/>
    <x v="4"/>
    <x v="16"/>
    <d v="2025-01-01T00:00:00"/>
    <x v="5"/>
  </r>
  <r>
    <s v="B-26740"/>
    <n v="8680"/>
    <n v="4068"/>
    <n v="20"/>
    <x v="0"/>
    <s v="Printers"/>
    <s v="Credit Card"/>
    <d v="2025-01-30T00:00:00"/>
    <s v="Logan Galloway"/>
    <x v="4"/>
    <x v="16"/>
    <d v="2025-01-01T00:00:00"/>
    <x v="5"/>
  </r>
  <r>
    <s v="B-26740"/>
    <n v="3067"/>
    <n v="1475"/>
    <n v="8"/>
    <x v="0"/>
    <s v="Laptops"/>
    <s v="UPI"/>
    <d v="2025-01-30T00:00:00"/>
    <s v="Logan Galloway"/>
    <x v="4"/>
    <x v="16"/>
    <d v="2025-01-01T00:00:00"/>
    <x v="5"/>
  </r>
  <r>
    <s v="B-25024"/>
    <n v="9002"/>
    <n v="4197"/>
    <n v="2"/>
    <x v="2"/>
    <s v="Markers"/>
    <s v="EMI"/>
    <d v="2025-01-15T00:00:00"/>
    <s v="Christopher Stone"/>
    <x v="2"/>
    <x v="6"/>
    <d v="2025-01-01T00:00:00"/>
    <x v="5"/>
  </r>
  <r>
    <s v="B-25580"/>
    <n v="1010"/>
    <n v="58"/>
    <n v="19"/>
    <x v="0"/>
    <s v="Electronic Games"/>
    <s v="COD"/>
    <d v="2025-03-15T00:00:00"/>
    <s v="Dr. Terry Alvarado"/>
    <x v="3"/>
    <x v="8"/>
    <d v="2025-03-01T00:00:00"/>
    <x v="5"/>
  </r>
  <r>
    <s v="B-25163"/>
    <n v="3411"/>
    <n v="1704"/>
    <n v="14"/>
    <x v="2"/>
    <s v="Pens"/>
    <s v="UPI"/>
    <d v="2025-01-11T00:00:00"/>
    <s v="Douglas Reynolds"/>
    <x v="0"/>
    <x v="0"/>
    <d v="2025-01-01T00:00:00"/>
    <x v="5"/>
  </r>
  <r>
    <s v="B-25999"/>
    <n v="7895"/>
    <n v="1005"/>
    <n v="1"/>
    <x v="1"/>
    <s v="Chairs"/>
    <s v="Credit Card"/>
    <d v="2025-03-01T00:00:00"/>
    <s v="Raymond Reyes"/>
    <x v="0"/>
    <x v="17"/>
    <d v="2025-03-01T00:00:00"/>
    <x v="5"/>
  </r>
  <r>
    <s v="B-25999"/>
    <n v="2740"/>
    <n v="558"/>
    <n v="8"/>
    <x v="2"/>
    <s v="Pens"/>
    <s v="UPI"/>
    <d v="2025-03-01T00:00:00"/>
    <s v="Raymond Reyes"/>
    <x v="0"/>
    <x v="17"/>
    <d v="2025-03-01T00:00:00"/>
    <x v="5"/>
  </r>
  <r>
    <s v="B-26844"/>
    <n v="4163"/>
    <n v="897"/>
    <n v="14"/>
    <x v="0"/>
    <s v="Electronic Games"/>
    <s v="COD"/>
    <d v="2025-02-27T00:00:00"/>
    <s v="Ryan Hale"/>
    <x v="2"/>
    <x v="5"/>
    <d v="2025-02-01T00:00:00"/>
    <x v="5"/>
  </r>
  <r>
    <s v="B-25940"/>
    <n v="7566"/>
    <n v="606"/>
    <n v="6"/>
    <x v="0"/>
    <s v="Phones"/>
    <s v="Debit Card"/>
    <d v="2025-01-25T00:00:00"/>
    <s v="Ryan Foster"/>
    <x v="2"/>
    <x v="3"/>
    <d v="2025-01-01T00:00:00"/>
    <x v="5"/>
  </r>
  <r>
    <s v="B-25940"/>
    <n v="7566"/>
    <n v="606"/>
    <n v="6"/>
    <x v="0"/>
    <s v="Phones"/>
    <s v="Debit Card"/>
    <d v="2025-02-14T00:00:00"/>
    <s v="David Lara"/>
    <x v="0"/>
    <x v="17"/>
    <d v="2025-02-01T00:00:00"/>
    <x v="5"/>
  </r>
  <r>
    <s v="B-25501"/>
    <n v="9874"/>
    <n v="3895"/>
    <n v="4"/>
    <x v="2"/>
    <s v="Binders"/>
    <s v="EMI"/>
    <d v="2025-02-24T00:00:00"/>
    <s v="Michelle Anderson"/>
    <x v="2"/>
    <x v="5"/>
    <d v="2025-02-01T00:00:00"/>
    <x v="5"/>
  </r>
  <r>
    <s v="B-25298"/>
    <n v="8104"/>
    <n v="1039"/>
    <n v="6"/>
    <x v="2"/>
    <s v="Markers"/>
    <s v="COD"/>
    <d v="2025-01-27T00:00:00"/>
    <s v="Christina Oconnell"/>
    <x v="0"/>
    <x v="2"/>
    <d v="2025-01-01T00:00:00"/>
    <x v="5"/>
  </r>
  <r>
    <s v="B-26420"/>
    <n v="4897"/>
    <n v="1001"/>
    <n v="14"/>
    <x v="1"/>
    <s v="Sofas"/>
    <s v="Debit Card"/>
    <d v="2025-01-06T00:00:00"/>
    <s v="Christopher Walker"/>
    <x v="2"/>
    <x v="6"/>
    <d v="2025-01-01T00:00:00"/>
    <x v="5"/>
  </r>
  <r>
    <s v="B-26168"/>
    <n v="8848"/>
    <n v="2090"/>
    <n v="9"/>
    <x v="2"/>
    <s v="Pens"/>
    <s v="Debit Card"/>
    <d v="2025-01-14T00:00:00"/>
    <s v="Jerry Smith"/>
    <x v="0"/>
    <x v="17"/>
    <d v="2025-01-01T00:00: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43EB9-6BC5-4B45-B4FF-6BA4174D59FB}"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2:Q13" firstHeaderRow="1" firstDataRow="1" firstDataCol="0"/>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numFmtId="164" showAll="0"/>
    <pivotField numFmtId="164" showAll="0"/>
    <pivotField showAll="0"/>
    <pivotField showAll="0"/>
    <pivotField showAll="0"/>
    <pivotField showAll="0">
      <items count="6">
        <item x="4"/>
        <item x="3"/>
        <item x="1"/>
        <item x="2"/>
        <item x="0"/>
        <item t="default"/>
      </items>
    </pivotField>
    <pivotField numFmtId="14" showAll="0"/>
    <pivotField dataField="1"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 showAll="0"/>
  </pivotFields>
  <rowItems count="1">
    <i/>
  </rowItems>
  <colItems count="1">
    <i/>
  </colItems>
  <dataFields count="1">
    <dataField name="z"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5AC05-1C3B-4715-9531-3252488A149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C4" firstHeaderRow="1" firstDataRow="1" firstDataCol="0"/>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showAll="0"/>
    <pivotField showAll="0"/>
    <pivotField showAll="0">
      <items count="6">
        <item x="4"/>
        <item x="3"/>
        <item x="1"/>
        <item x="2"/>
        <item x="0"/>
        <item t="default"/>
      </items>
    </pivotField>
    <pivotField numFmtId="14" showAll="0"/>
    <pivotField showAll="0"/>
    <pivotField showAll="0"/>
    <pivotField showAll="0"/>
    <pivotField showAll="0"/>
  </pivotFields>
  <rowItems count="1">
    <i/>
  </rowItems>
  <colItems count="1">
    <i/>
  </colItems>
  <dataFields count="1">
    <dataField name="Total Price"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0C24E-B9F0-4EE1-8CF8-226BDC7E3D6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b-Catergories">
  <location ref="E9:F22"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items count="6">
        <item x="4"/>
        <item x="3"/>
        <item x="1"/>
        <item x="2"/>
        <item x="0"/>
        <item t="default"/>
      </items>
    </pivotField>
    <pivotField numFmtId="14"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Total Price" fld="1" baseField="0" baseItem="0" numFmtId="164"/>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4A750-D538-4F22-A184-53D38F1DE1EB}"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rgories">
  <location ref="C9:D13"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axis="axisRow" showAll="0">
      <items count="4">
        <item x="0"/>
        <item x="2"/>
        <item x="1"/>
        <item t="default"/>
      </items>
    </pivotField>
    <pivotField showAll="0"/>
    <pivotField showAll="0">
      <items count="6">
        <item x="4"/>
        <item x="3"/>
        <item x="1"/>
        <item x="2"/>
        <item x="0"/>
        <item t="default"/>
      </items>
    </pivotField>
    <pivotField numFmtId="14" showAll="0"/>
    <pivotField showAll="0"/>
    <pivotField showAll="0"/>
    <pivotField showAll="0"/>
    <pivotField showAll="0"/>
  </pivotFields>
  <rowFields count="1">
    <field x="4"/>
  </rowFields>
  <rowItems count="4">
    <i>
      <x/>
    </i>
    <i>
      <x v="1"/>
    </i>
    <i>
      <x v="2"/>
    </i>
    <i t="grand">
      <x/>
    </i>
  </rowItems>
  <colItems count="1">
    <i/>
  </colItems>
  <dataFields count="1">
    <dataField name="Total Price"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BAE50C-4043-454F-9978-B4170E5C72D5}"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yearly">
  <location ref="O24:R31" firstHeaderRow="1" firstDataRow="2" firstDataCol="1"/>
  <pivotFields count="13">
    <pivotField showAll="0"/>
    <pivotField dataField="1" showAll="0"/>
    <pivotField showAll="0"/>
    <pivotField showAll="0"/>
    <pivotField axis="axisCol" showAll="0">
      <items count="4">
        <item x="0"/>
        <item x="1"/>
        <item x="2"/>
        <item t="default"/>
      </items>
    </pivotField>
    <pivotField showAll="0"/>
    <pivotField showAll="0"/>
    <pivotField numFmtId="22" showAll="0"/>
    <pivotField showAll="0"/>
    <pivotField showAll="0">
      <items count="7">
        <item x="0"/>
        <item x="3"/>
        <item x="5"/>
        <item x="4"/>
        <item x="2"/>
        <item x="1"/>
        <item t="default"/>
      </items>
    </pivotField>
    <pivotField showAll="0">
      <items count="19">
        <item x="1"/>
        <item x="9"/>
        <item x="14"/>
        <item x="6"/>
        <item x="5"/>
        <item x="3"/>
        <item x="13"/>
        <item x="15"/>
        <item x="0"/>
        <item x="7"/>
        <item x="16"/>
        <item x="4"/>
        <item x="11"/>
        <item x="12"/>
        <item x="17"/>
        <item x="2"/>
        <item x="10"/>
        <item x="8"/>
        <item t="default"/>
      </items>
    </pivotField>
    <pivotField numFmtId="14" showAll="0"/>
    <pivotField axis="axisRow" showAll="0">
      <items count="7">
        <item x="4"/>
        <item x="3"/>
        <item x="0"/>
        <item x="2"/>
        <item x="1"/>
        <item x="5"/>
        <item t="default"/>
      </items>
    </pivotField>
  </pivotFields>
  <rowFields count="1">
    <field x="12"/>
  </rowFields>
  <rowItems count="6">
    <i>
      <x/>
    </i>
    <i>
      <x v="1"/>
    </i>
    <i>
      <x v="2"/>
    </i>
    <i>
      <x v="3"/>
    </i>
    <i>
      <x v="4"/>
    </i>
    <i>
      <x v="5"/>
    </i>
  </rowItems>
  <colFields count="1">
    <field x="4"/>
  </colFields>
  <colItems count="3">
    <i>
      <x/>
    </i>
    <i>
      <x v="1"/>
    </i>
    <i>
      <x v="2"/>
    </i>
  </colItems>
  <dataFields count="1">
    <dataField name="Sum of Amount" fld="1" baseField="0" baseItem="0"/>
  </dataFields>
  <formats count="1">
    <format dxfId="25">
      <pivotArea collapsedLevelsAreSubtotals="1" fieldPosition="0">
        <references count="1">
          <reference field="12" count="0"/>
        </references>
      </pivotArea>
    </format>
  </formats>
  <chartFormats count="7">
    <chartFormat chart="3" format="2" series="1">
      <pivotArea type="data" outline="0" fieldPosition="0">
        <references count="1">
          <reference field="4294967294" count="1" selected="0">
            <x v="0"/>
          </reference>
        </references>
      </pivotArea>
    </chartFormat>
    <chartFormat chart="3" format="25" series="1">
      <pivotArea type="data" outline="0" fieldPosition="0">
        <references count="2">
          <reference field="4294967294" count="1" selected="0">
            <x v="0"/>
          </reference>
          <reference field="4" count="1" selected="0">
            <x v="1"/>
          </reference>
        </references>
      </pivotArea>
    </chartFormat>
    <chartFormat chart="3" format="26" series="1">
      <pivotArea type="data" outline="0" fieldPosition="0">
        <references count="2">
          <reference field="4294967294" count="1" selected="0">
            <x v="0"/>
          </reference>
          <reference field="4" count="1" selected="0">
            <x v="2"/>
          </reference>
        </references>
      </pivotArea>
    </chartFormat>
    <chartFormat chart="3" format="27" series="1">
      <pivotArea type="data" outline="0" fieldPosition="0">
        <references count="2">
          <reference field="4294967294" count="1" selected="0">
            <x v="0"/>
          </reference>
          <reference field="4" count="1" selected="0">
            <x v="0"/>
          </reference>
        </references>
      </pivotArea>
    </chartFormat>
    <chartFormat chart="5" format="31" series="1">
      <pivotArea type="data" outline="0" fieldPosition="0">
        <references count="2">
          <reference field="4294967294" count="1" selected="0">
            <x v="0"/>
          </reference>
          <reference field="4" count="1" selected="0">
            <x v="0"/>
          </reference>
        </references>
      </pivotArea>
    </chartFormat>
    <chartFormat chart="5" format="32" series="1">
      <pivotArea type="data" outline="0" fieldPosition="0">
        <references count="2">
          <reference field="4294967294" count="1" selected="0">
            <x v="0"/>
          </reference>
          <reference field="4" count="1" selected="0">
            <x v="1"/>
          </reference>
        </references>
      </pivotArea>
    </chartFormat>
    <chartFormat chart="5" format="33"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DE5EB-C5C4-485B-8964-685A0BB80975}"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I17:J24"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measureFilter="1">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axis="axisRow" showAll="0">
      <items count="7">
        <item sd="0" x="3"/>
        <item sd="0" x="0"/>
        <item sd="0" x="1"/>
        <item sd="0" x="2"/>
        <item sd="0" x="5"/>
        <item sd="0" x="4"/>
        <item t="default"/>
      </items>
    </pivotField>
    <pivotField showAll="0">
      <items count="19">
        <item x="10"/>
        <item x="2"/>
        <item x="1"/>
        <item x="13"/>
        <item x="14"/>
        <item x="12"/>
        <item x="8"/>
        <item x="15"/>
        <item x="4"/>
        <item x="0"/>
        <item x="5"/>
        <item x="3"/>
        <item x="17"/>
        <item x="7"/>
        <item x="9"/>
        <item x="11"/>
        <item x="6"/>
        <item x="16"/>
        <item t="default"/>
      </items>
    </pivotField>
    <pivotField showAll="0"/>
  </pivotFields>
  <rowFields count="1">
    <field x="9"/>
  </rowFields>
  <rowItems count="7">
    <i>
      <x/>
    </i>
    <i>
      <x v="1"/>
    </i>
    <i>
      <x v="2"/>
    </i>
    <i>
      <x v="3"/>
    </i>
    <i>
      <x v="4"/>
    </i>
    <i>
      <x v="5"/>
    </i>
    <i t="grand">
      <x/>
    </i>
  </rowItems>
  <colItems count="1">
    <i/>
  </colItems>
  <dataFields count="1">
    <dataField name="Total Price" fld="1" baseField="0" baseItem="0" numFmtId="164"/>
  </dataField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6812B1-25B7-4195-96F9-DCF7D36AE65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numFmtId="164" showAll="0"/>
    <pivotField numFmtId="164" showAll="0"/>
    <pivotField showAll="0"/>
    <pivotField showAll="0"/>
    <pivotField showAll="0"/>
    <pivotField showAll="0">
      <items count="6">
        <item x="4"/>
        <item x="3"/>
        <item x="1"/>
        <item x="2"/>
        <item x="0"/>
        <item t="default"/>
      </items>
    </pivotField>
    <pivotField numFmtId="14" showAll="0"/>
    <pivotField dataField="1"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 showAll="0"/>
  </pivotFields>
  <rowItems count="1">
    <i/>
  </rowItems>
  <colItems count="1">
    <i/>
  </colItems>
  <dataFields count="1">
    <dataField name="Toal Orders"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84A3A4-4A3F-469F-91D1-6F60D4E1976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p customer">
  <location ref="I9:J15"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axis="axisRow" showAll="0" measureFilter="1">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 showAll="0"/>
  </pivotFields>
  <rowFields count="1">
    <field x="8"/>
  </rowFields>
  <rowItems count="6">
    <i>
      <x v="163"/>
    </i>
    <i>
      <x v="234"/>
    </i>
    <i>
      <x v="256"/>
    </i>
    <i>
      <x v="400"/>
    </i>
    <i>
      <x v="584"/>
    </i>
    <i t="grand">
      <x/>
    </i>
  </rowItems>
  <colItems count="1">
    <i/>
  </colItems>
  <dataFields count="1">
    <dataField name="Total Price" fld="1" baseField="0" baseItem="0" numFmtId="164"/>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40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40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607085-DE95-4DAE-8DD0-0B402D7021B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numFmtId="164" showAll="0"/>
    <pivotField numFmtId="164" showAll="0"/>
    <pivotField dataField="1" showAll="0"/>
    <pivotField showAll="0"/>
    <pivotField showAll="0"/>
    <pivotField showAll="0">
      <items count="6">
        <item x="4"/>
        <item x="3"/>
        <item x="1"/>
        <item x="2"/>
        <item x="0"/>
        <item t="default"/>
      </items>
    </pivotField>
    <pivotField numFmtId="14" showAll="0"/>
    <pivotField showAll="0"/>
    <pivotField showAll="0"/>
    <pivotField showAll="0"/>
    <pivotField showAll="0"/>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E7E386-70D6-4F13-A286-8F7C02CF84DB}"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numFmtId="164" showAll="0"/>
    <pivotField dataField="1" numFmtId="164" showAll="0"/>
    <pivotField showAll="0"/>
    <pivotField showAll="0"/>
    <pivotField showAll="0"/>
    <pivotField showAll="0">
      <items count="6">
        <item x="4"/>
        <item x="3"/>
        <item x="1"/>
        <item x="2"/>
        <item x="0"/>
        <item t="default"/>
      </items>
    </pivotField>
    <pivotField numFmtId="14" showAll="0"/>
    <pivotField showAll="0"/>
    <pivotField showAll="0"/>
    <pivotField showAll="0"/>
    <pivotField showAll="0"/>
  </pivotFields>
  <rowItems count="1">
    <i/>
  </rowItems>
  <colItems count="1">
    <i/>
  </colItems>
  <dataFields count="1">
    <dataField name="Sum of Profit"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9D449D-CECB-4E7D-B89B-477F54C4275D}"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ethod">
  <location ref="C22:D28"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numFmtId="164" showAll="0"/>
    <pivotField numFmtId="164" showAll="0"/>
    <pivotField showAll="0"/>
    <pivotField showAll="0">
      <items count="4">
        <item x="0"/>
        <item x="2"/>
        <item x="1"/>
        <item t="default"/>
      </items>
    </pivotField>
    <pivotField showAll="0"/>
    <pivotField axis="axisRow" showAll="0">
      <items count="6">
        <item x="4"/>
        <item x="3"/>
        <item x="1"/>
        <item x="2"/>
        <item x="0"/>
        <item t="default"/>
      </items>
    </pivotField>
    <pivotField numFmtId="14" showAll="0"/>
    <pivotField showAll="0"/>
    <pivotField showAll="0"/>
    <pivotField showAll="0"/>
    <pivotField showAll="0"/>
  </pivotFields>
  <rowFields count="1">
    <field x="6"/>
  </rowFields>
  <rowItems count="6">
    <i>
      <x/>
    </i>
    <i>
      <x v="1"/>
    </i>
    <i>
      <x v="2"/>
    </i>
    <i>
      <x v="3"/>
    </i>
    <i>
      <x v="4"/>
    </i>
    <i t="grand">
      <x/>
    </i>
  </rowItems>
  <colItems count="1">
    <i/>
  </colItems>
  <dataFields count="1">
    <dataField name="Total Price" fld="1" baseField="0" baseItem="0" numFmtId="164"/>
  </dataFields>
  <formats count="1">
    <format dxfId="26">
      <pivotArea dataOnly="0"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69957E8-1693-4A43-AC6A-407D55173CDA}" autoFormatId="16" applyNumberFormats="0" applyBorderFormats="0" applyFontFormats="0" applyPatternFormats="0" applyAlignmentFormats="0" applyWidthHeightFormats="0">
  <queryTableRefresh nextId="14">
    <queryTableFields count="13">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Order Date" tableColumnId="8"/>
      <queryTableField id="9" name="CustomerName" tableColumnId="9"/>
      <queryTableField id="10" name="State" tableColumnId="10"/>
      <queryTableField id="11" name="City" tableColumnId="11"/>
      <queryTableField id="12" name="Year-Month" tableColumnId="12"/>
      <queryTableField id="13" name="Year" tableColumnId="13"/>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2B085B70-FC75-4B6B-B335-78E8CAE9E441}" sourceName="PaymentMode">
  <pivotTables>
    <pivotTable tabId="5" name="PivotTable9"/>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s>
  <data>
    <tabular pivotCacheId="1866519370">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xr10:uid="{1FBE0058-59E0-434E-AFF0-1745783B9482}" cache="Slicer_PaymentMode" caption="PaymentMode" showCaption="0"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1" xr10:uid="{260CA9D7-71AC-4F9D-AED1-95BEBA1F48EB}" cache="Slicer_PaymentMode" caption="PaymentMode" style="SlicerStyleOther2 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12BEAE-F16A-468C-A5C5-757F383F94F1}" name="Table3" displayName="Table3" ref="F28:H34" totalsRowShown="0" headerRowDxfId="10" dataDxfId="9" tableBorderDxfId="11">
  <autoFilter ref="F28:H34" xr:uid="{0A12BEAE-F16A-468C-A5C5-757F383F94F1}"/>
  <tableColumns count="3">
    <tableColumn id="1" xr3:uid="{7D039604-9C27-4D02-9094-CD2AA96B5929}" name="state" dataDxfId="8"/>
    <tableColumn id="3" xr3:uid="{CD0A8736-12C3-4411-BB7A-9ED4B6443D09}" name="Country" dataDxfId="7"/>
    <tableColumn id="2" xr3:uid="{FB01E8EB-AE32-4246-898E-77969EEA7BAC}" name="Total price" dataDxfId="6"/>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195" totalsRowShown="0">
  <autoFilter ref="A1:L1195" xr:uid="{00000000-0009-0000-0100-000001000000}"/>
  <tableColumns count="12">
    <tableColumn id="1" xr3:uid="{00000000-0010-0000-0000-000001000000}" name="Order ID"/>
    <tableColumn id="2" xr3:uid="{00000000-0010-0000-0000-000002000000}" name="Amount" dataDxfId="24"/>
    <tableColumn id="3" xr3:uid="{00000000-0010-0000-0000-000003000000}" name="Profit" dataDxfId="23"/>
    <tableColumn id="4" xr3:uid="{00000000-0010-0000-0000-000004000000}" name="Quantity"/>
    <tableColumn id="5" xr3:uid="{00000000-0010-0000-0000-000005000000}" name="Category"/>
    <tableColumn id="6" xr3:uid="{00000000-0010-0000-0000-000006000000}" name="Sub-Category"/>
    <tableColumn id="7" xr3:uid="{00000000-0010-0000-0000-000007000000}" name="PaymentMode"/>
    <tableColumn id="8" xr3:uid="{00000000-0010-0000-0000-000008000000}" name="Order Date" dataDxfId="22"/>
    <tableColumn id="9" xr3:uid="{00000000-0010-0000-0000-000009000000}" name="CustomerName"/>
    <tableColumn id="10" xr3:uid="{00000000-0010-0000-0000-00000A000000}" name="State" dataDxfId="21"/>
    <tableColumn id="11" xr3:uid="{00000000-0010-0000-0000-00000B000000}" name="City"/>
    <tableColumn id="12" xr3:uid="{00000000-0010-0000-0000-00000C000000}" name="Year-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B87C55-E455-4C3F-8041-44BA8B479BE3}" name="Table1_2" displayName="Table1_2" ref="A1:M1195" tableType="queryTable" totalsRowShown="0">
  <autoFilter ref="A1:M1195" xr:uid="{2BB87C55-E455-4C3F-8041-44BA8B479BE3}"/>
  <tableColumns count="13">
    <tableColumn id="1" xr3:uid="{A756610A-B59C-47D6-A14A-DBBF245D7DF4}" uniqueName="1" name="Order ID" queryTableFieldId="1" dataDxfId="20"/>
    <tableColumn id="2" xr3:uid="{458B9DCD-019D-4277-BD4C-FA6AD85F5434}" uniqueName="2" name="Amount" queryTableFieldId="2"/>
    <tableColumn id="3" xr3:uid="{F50B709C-4BF3-483B-834E-498FF9878AD9}" uniqueName="3" name="Profit" queryTableFieldId="3"/>
    <tableColumn id="4" xr3:uid="{4310C090-42C6-4C49-AC1A-767B32920D58}" uniqueName="4" name="Quantity" queryTableFieldId="4"/>
    <tableColumn id="5" xr3:uid="{7A1D3E69-28CC-482C-9D9A-05978F0DAF48}" uniqueName="5" name="Category" queryTableFieldId="5" dataDxfId="19"/>
    <tableColumn id="6" xr3:uid="{04C7B4EA-77E7-4559-976E-9F81F18926E2}" uniqueName="6" name="Sub-Category" queryTableFieldId="6" dataDxfId="18"/>
    <tableColumn id="7" xr3:uid="{DE5FEA2D-8A08-4E90-B1D0-943EFB5BB6ED}" uniqueName="7" name="PaymentMode" queryTableFieldId="7" dataDxfId="17"/>
    <tableColumn id="8" xr3:uid="{220B01B0-BD2A-4BDD-8E9D-5E01CD3942A2}" uniqueName="8" name="Order Date" queryTableFieldId="8" dataDxfId="16"/>
    <tableColumn id="9" xr3:uid="{750CCC7D-F4A7-4033-8FC9-9CE43E77B780}" uniqueName="9" name="CustomerName" queryTableFieldId="9" dataDxfId="15"/>
    <tableColumn id="10" xr3:uid="{1262FCC3-5D8C-46E1-9DBA-975FA2BC7569}" uniqueName="10" name="State" queryTableFieldId="10" dataDxfId="14"/>
    <tableColumn id="11" xr3:uid="{AC56383E-4121-4F81-B9F3-3C10997FA1B6}" uniqueName="11" name="City" queryTableFieldId="11" dataDxfId="13"/>
    <tableColumn id="12" xr3:uid="{B65D4CE8-A992-47B1-8E84-40F658AB5FE4}" uniqueName="12" name="Year-Month" queryTableFieldId="12" dataDxfId="12"/>
    <tableColumn id="13" xr3:uid="{814210F0-C4CA-4E4C-A28E-B7A892E8AEC6}" uniqueName="13" name="Year"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showRowColHeaders="0" topLeftCell="B1" zoomScale="71" zoomScaleNormal="71" workbookViewId="0">
      <selection activeCell="X14" sqref="X1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0A02-9E4A-48CF-80DB-01BCC153B1CF}">
  <dimension ref="A3:R45"/>
  <sheetViews>
    <sheetView workbookViewId="0">
      <selection activeCell="I10" sqref="I10:J10"/>
      <pivotSelection pane="bottomRight" showHeader="1" extendable="1" max="6" activeRow="9" activeCol="8" click="1" r:id="rId8">
        <pivotArea dataOnly="0" fieldPosition="0">
          <references count="1">
            <reference field="8" count="1">
              <x v="163"/>
            </reference>
          </references>
        </pivotArea>
      </pivotSelection>
    </sheetView>
  </sheetViews>
  <sheetFormatPr defaultRowHeight="15" x14ac:dyDescent="0.25"/>
  <cols>
    <col min="1" max="1" width="16.5703125" bestFit="1" customWidth="1"/>
    <col min="3" max="3" width="18.7109375" bestFit="1" customWidth="1"/>
    <col min="4" max="4" width="11.28515625" bestFit="1" customWidth="1"/>
    <col min="5" max="5" width="17.5703125" bestFit="1" customWidth="1"/>
    <col min="6" max="6" width="11.28515625" bestFit="1" customWidth="1"/>
    <col min="7" max="7" width="16" bestFit="1" customWidth="1"/>
    <col min="8" max="8" width="15.42578125" bestFit="1" customWidth="1"/>
    <col min="9" max="9" width="18.140625" bestFit="1" customWidth="1"/>
    <col min="10" max="10" width="10.28515625" bestFit="1" customWidth="1"/>
    <col min="12" max="12" width="14.85546875" bestFit="1" customWidth="1"/>
    <col min="13" max="13" width="16.28515625" bestFit="1" customWidth="1"/>
    <col min="14" max="14" width="9.28515625" bestFit="1" customWidth="1"/>
    <col min="15" max="15" width="14.5703125" bestFit="1" customWidth="1"/>
    <col min="16" max="16" width="11.28515625" bestFit="1" customWidth="1"/>
    <col min="17" max="17" width="5" bestFit="1" customWidth="1"/>
    <col min="18" max="18" width="8.5703125" bestFit="1" customWidth="1"/>
    <col min="19" max="19" width="11.28515625" bestFit="1" customWidth="1"/>
    <col min="20" max="20" width="8.42578125" bestFit="1" customWidth="1"/>
    <col min="21" max="21" width="11.42578125" bestFit="1" customWidth="1"/>
    <col min="22" max="22" width="7.5703125" bestFit="1" customWidth="1"/>
    <col min="23" max="23" width="13.5703125" bestFit="1" customWidth="1"/>
    <col min="24" max="24" width="8.5703125" bestFit="1" customWidth="1"/>
    <col min="25" max="25" width="7.5703125" bestFit="1" customWidth="1"/>
    <col min="26" max="26" width="9.85546875" bestFit="1" customWidth="1"/>
    <col min="27" max="27" width="9.7109375" bestFit="1" customWidth="1"/>
    <col min="28" max="28" width="12.7109375" bestFit="1" customWidth="1"/>
    <col min="29" max="29" width="10.7109375" bestFit="1" customWidth="1"/>
    <col min="30" max="30" width="7.5703125" bestFit="1" customWidth="1"/>
    <col min="31" max="31" width="11.28515625" bestFit="1" customWidth="1"/>
  </cols>
  <sheetData>
    <row r="3" spans="1:17" x14ac:dyDescent="0.25">
      <c r="C3" t="s">
        <v>1470</v>
      </c>
      <c r="D3" t="s">
        <v>1466</v>
      </c>
      <c r="E3" t="s">
        <v>1467</v>
      </c>
      <c r="F3" t="s">
        <v>1492</v>
      </c>
      <c r="G3" t="s">
        <v>1489</v>
      </c>
    </row>
    <row r="4" spans="1:17" x14ac:dyDescent="0.25">
      <c r="C4" s="2">
        <v>6182639</v>
      </c>
      <c r="D4" s="2">
        <v>1610697</v>
      </c>
      <c r="E4" s="24">
        <v>12745</v>
      </c>
      <c r="F4" s="24">
        <v>1194</v>
      </c>
      <c r="G4" s="2">
        <f>C4*E4</f>
        <v>78797734055</v>
      </c>
      <c r="H4" s="18" t="s">
        <v>1493</v>
      </c>
      <c r="I4" t="s">
        <v>1490</v>
      </c>
    </row>
    <row r="5" spans="1:17" x14ac:dyDescent="0.25">
      <c r="C5" s="2">
        <f>C4</f>
        <v>6182639</v>
      </c>
      <c r="D5" s="2">
        <f t="shared" ref="D5:F5" si="0">D4</f>
        <v>1610697</v>
      </c>
      <c r="E5" s="24">
        <f t="shared" si="0"/>
        <v>12745</v>
      </c>
      <c r="F5" s="24">
        <f t="shared" si="0"/>
        <v>1194</v>
      </c>
      <c r="H5" s="25">
        <f>E4/F4</f>
        <v>10.674204355108877</v>
      </c>
      <c r="I5" s="18">
        <f>$D$4/$C$4</f>
        <v>0.26051933486655132</v>
      </c>
      <c r="J5" s="20">
        <v>1</v>
      </c>
    </row>
    <row r="6" spans="1:17" x14ac:dyDescent="0.25">
      <c r="C6" s="2"/>
      <c r="D6" s="2"/>
      <c r="E6" s="24"/>
      <c r="F6" s="24"/>
      <c r="H6" s="25">
        <v>100</v>
      </c>
      <c r="I6" s="18"/>
      <c r="J6" s="20"/>
    </row>
    <row r="7" spans="1:17" s="22" customFormat="1" x14ac:dyDescent="0.25">
      <c r="C7" s="23"/>
      <c r="D7" s="23"/>
      <c r="E7" s="23"/>
      <c r="F7" s="23"/>
    </row>
    <row r="8" spans="1:17" x14ac:dyDescent="0.25">
      <c r="I8" t="s">
        <v>1475</v>
      </c>
    </row>
    <row r="9" spans="1:17" x14ac:dyDescent="0.25">
      <c r="A9" t="s">
        <v>1488</v>
      </c>
      <c r="C9" s="3" t="s">
        <v>1471</v>
      </c>
      <c r="D9" t="s">
        <v>1470</v>
      </c>
      <c r="E9" s="3" t="s">
        <v>1472</v>
      </c>
      <c r="F9" t="s">
        <v>1470</v>
      </c>
      <c r="G9" s="18"/>
      <c r="I9" s="3" t="s">
        <v>1474</v>
      </c>
      <c r="J9" t="s">
        <v>1470</v>
      </c>
    </row>
    <row r="10" spans="1:17" x14ac:dyDescent="0.25">
      <c r="A10" s="19">
        <f>D10/D13</f>
        <v>0.33229434874007685</v>
      </c>
      <c r="B10" s="19" cm="1">
        <f t="array" ref="B10:B12">D10:D12/D13</f>
        <v>0.33229434874007685</v>
      </c>
      <c r="C10" s="4" t="s">
        <v>13</v>
      </c>
      <c r="D10" s="2">
        <v>2054456</v>
      </c>
      <c r="E10" s="4" t="s">
        <v>78</v>
      </c>
      <c r="F10" s="2">
        <v>384611</v>
      </c>
      <c r="G10" s="2"/>
      <c r="I10" s="4" t="s">
        <v>452</v>
      </c>
      <c r="J10" s="2">
        <v>28557</v>
      </c>
    </row>
    <row r="11" spans="1:17" x14ac:dyDescent="0.25">
      <c r="A11" s="20">
        <v>1</v>
      </c>
      <c r="B11" s="19">
        <v>0.32974155534554095</v>
      </c>
      <c r="C11" s="4" t="s">
        <v>45</v>
      </c>
      <c r="D11" s="2">
        <v>2038673</v>
      </c>
      <c r="E11" s="4" t="s">
        <v>109</v>
      </c>
      <c r="F11" s="2">
        <v>413165</v>
      </c>
      <c r="G11" s="2"/>
      <c r="I11" s="4" t="s">
        <v>241</v>
      </c>
      <c r="J11" s="2">
        <v>27352</v>
      </c>
    </row>
    <row r="12" spans="1:17" x14ac:dyDescent="0.25">
      <c r="A12" s="21">
        <f>B11</f>
        <v>0.32974155534554095</v>
      </c>
      <c r="B12" s="19">
        <v>0.3379640959143822</v>
      </c>
      <c r="C12" s="4" t="s">
        <v>30</v>
      </c>
      <c r="D12" s="2">
        <v>2089510</v>
      </c>
      <c r="E12" s="4" t="s">
        <v>49</v>
      </c>
      <c r="F12" s="2">
        <v>431964</v>
      </c>
      <c r="G12" s="2"/>
      <c r="I12" s="4" t="s">
        <v>239</v>
      </c>
      <c r="J12" s="2">
        <v>27352</v>
      </c>
      <c r="Q12" t="s">
        <v>1491</v>
      </c>
    </row>
    <row r="13" spans="1:17" x14ac:dyDescent="0.25">
      <c r="A13" s="21">
        <f>B12</f>
        <v>0.3379640959143822</v>
      </c>
      <c r="C13" s="4" t="s">
        <v>1468</v>
      </c>
      <c r="D13" s="2">
        <v>6182639</v>
      </c>
      <c r="E13" s="4" t="s">
        <v>14</v>
      </c>
      <c r="F13" s="2">
        <v>565092</v>
      </c>
      <c r="G13" s="2"/>
      <c r="I13" s="4" t="s">
        <v>450</v>
      </c>
      <c r="J13" s="2">
        <v>25121</v>
      </c>
      <c r="Q13" s="24">
        <v>1194</v>
      </c>
    </row>
    <row r="14" spans="1:17" x14ac:dyDescent="0.25">
      <c r="A14" s="20">
        <v>1</v>
      </c>
      <c r="C14" t="str">
        <f>C9</f>
        <v>Catergories</v>
      </c>
      <c r="D14" t="str">
        <f>D9</f>
        <v>Total Price</v>
      </c>
      <c r="E14" s="4" t="s">
        <v>39</v>
      </c>
      <c r="F14" s="2">
        <v>419950</v>
      </c>
      <c r="G14" s="2"/>
      <c r="I14" s="4" t="s">
        <v>240</v>
      </c>
      <c r="J14" s="2">
        <v>27352</v>
      </c>
    </row>
    <row r="15" spans="1:17" x14ac:dyDescent="0.25">
      <c r="C15" t="str">
        <f t="shared" ref="C15:D15" si="1">C10</f>
        <v>Electronics</v>
      </c>
      <c r="D15" s="6">
        <f t="shared" si="1"/>
        <v>2054456</v>
      </c>
      <c r="E15" s="4" t="s">
        <v>57</v>
      </c>
      <c r="F15" s="2">
        <v>627875</v>
      </c>
      <c r="G15" s="2"/>
      <c r="I15" s="4" t="s">
        <v>1468</v>
      </c>
      <c r="J15" s="2">
        <v>135734</v>
      </c>
    </row>
    <row r="16" spans="1:17" x14ac:dyDescent="0.25">
      <c r="C16" t="str">
        <f t="shared" ref="C16:D16" si="2">C11</f>
        <v>Furniture</v>
      </c>
      <c r="D16" s="6">
        <f t="shared" si="2"/>
        <v>2038673</v>
      </c>
      <c r="E16" s="4" t="s">
        <v>64</v>
      </c>
      <c r="F16" s="2">
        <v>524755</v>
      </c>
      <c r="G16" s="2"/>
    </row>
    <row r="17" spans="3:18" x14ac:dyDescent="0.25">
      <c r="C17" t="str">
        <f t="shared" ref="C17:D17" si="3">C12</f>
        <v>Office Supplies</v>
      </c>
      <c r="D17" s="6">
        <f t="shared" si="3"/>
        <v>2089510</v>
      </c>
      <c r="E17" s="4" t="s">
        <v>31</v>
      </c>
      <c r="F17" s="2">
        <v>552269</v>
      </c>
      <c r="G17" s="2"/>
      <c r="I17" s="3" t="s">
        <v>1478</v>
      </c>
      <c r="J17" t="s">
        <v>1470</v>
      </c>
    </row>
    <row r="18" spans="3:18" x14ac:dyDescent="0.25">
      <c r="E18" s="4" t="s">
        <v>82</v>
      </c>
      <c r="F18" s="2">
        <v>503055</v>
      </c>
      <c r="G18" s="2"/>
      <c r="I18" s="4" t="s">
        <v>42</v>
      </c>
      <c r="J18" s="2">
        <v>1086436</v>
      </c>
    </row>
    <row r="19" spans="3:18" x14ac:dyDescent="0.25">
      <c r="E19" s="4" t="s">
        <v>28</v>
      </c>
      <c r="F19" s="2">
        <v>566359</v>
      </c>
      <c r="G19" s="2"/>
      <c r="I19" s="4" t="s">
        <v>17</v>
      </c>
      <c r="J19" s="2">
        <v>1091174</v>
      </c>
      <c r="M19" s="6"/>
    </row>
    <row r="20" spans="3:18" x14ac:dyDescent="0.25">
      <c r="E20" s="4" t="s">
        <v>60</v>
      </c>
      <c r="F20" s="2">
        <v>568367</v>
      </c>
      <c r="G20" s="2"/>
      <c r="I20" s="4" t="s">
        <v>21</v>
      </c>
      <c r="J20" s="2">
        <v>978738</v>
      </c>
      <c r="M20" s="6"/>
    </row>
    <row r="21" spans="3:18" x14ac:dyDescent="0.25">
      <c r="E21" s="4" t="s">
        <v>46</v>
      </c>
      <c r="F21" s="2">
        <v>625177</v>
      </c>
      <c r="G21" s="2"/>
      <c r="I21" s="4" t="s">
        <v>25</v>
      </c>
      <c r="J21" s="2">
        <v>1130048</v>
      </c>
      <c r="M21" s="6"/>
    </row>
    <row r="22" spans="3:18" x14ac:dyDescent="0.25">
      <c r="C22" s="3" t="s">
        <v>1473</v>
      </c>
      <c r="D22" t="s">
        <v>1470</v>
      </c>
      <c r="E22" s="4" t="s">
        <v>1468</v>
      </c>
      <c r="F22" s="2">
        <v>6182639</v>
      </c>
      <c r="G22" s="2"/>
      <c r="I22" s="4" t="s">
        <v>98</v>
      </c>
      <c r="J22" s="2">
        <v>884768</v>
      </c>
      <c r="M22" s="6"/>
    </row>
    <row r="23" spans="3:18" x14ac:dyDescent="0.25">
      <c r="C23" s="7" t="s">
        <v>65</v>
      </c>
      <c r="D23" s="8">
        <v>1141790</v>
      </c>
      <c r="I23" s="4" t="s">
        <v>71</v>
      </c>
      <c r="J23" s="2">
        <v>1011475</v>
      </c>
      <c r="M23" s="6"/>
    </row>
    <row r="24" spans="3:18" x14ac:dyDescent="0.25">
      <c r="C24" s="4" t="s">
        <v>47</v>
      </c>
      <c r="D24" s="2">
        <v>1281044</v>
      </c>
      <c r="I24" s="4" t="s">
        <v>1468</v>
      </c>
      <c r="J24" s="2">
        <v>6182639</v>
      </c>
      <c r="M24" s="6"/>
      <c r="O24" s="3" t="s">
        <v>1469</v>
      </c>
      <c r="P24" s="3" t="s">
        <v>1479</v>
      </c>
    </row>
    <row r="25" spans="3:18" x14ac:dyDescent="0.25">
      <c r="C25" s="4" t="s">
        <v>32</v>
      </c>
      <c r="D25" s="2">
        <v>1395035</v>
      </c>
      <c r="M25" s="6"/>
      <c r="O25" s="3" t="s">
        <v>1477</v>
      </c>
      <c r="P25" t="s">
        <v>13</v>
      </c>
      <c r="Q25" t="s">
        <v>45</v>
      </c>
      <c r="R25" t="s">
        <v>30</v>
      </c>
    </row>
    <row r="26" spans="3:18" x14ac:dyDescent="0.25">
      <c r="C26" s="4" t="s">
        <v>40</v>
      </c>
      <c r="D26" s="2">
        <v>1114297</v>
      </c>
      <c r="M26" s="6"/>
      <c r="O26" s="4">
        <v>2020</v>
      </c>
      <c r="P26" s="6">
        <v>233178</v>
      </c>
      <c r="Q26" s="6">
        <v>299708</v>
      </c>
      <c r="R26" s="6">
        <v>326515</v>
      </c>
    </row>
    <row r="27" spans="3:18" x14ac:dyDescent="0.25">
      <c r="C27" s="4" t="s">
        <v>15</v>
      </c>
      <c r="D27" s="2">
        <v>1250473</v>
      </c>
      <c r="F27" s="11"/>
      <c r="G27" s="11"/>
      <c r="H27" s="11"/>
      <c r="M27" s="6"/>
      <c r="O27" s="4">
        <v>2021</v>
      </c>
      <c r="P27" s="6">
        <v>387757</v>
      </c>
      <c r="Q27" s="6">
        <v>391342</v>
      </c>
      <c r="R27" s="6">
        <v>402347</v>
      </c>
    </row>
    <row r="28" spans="3:18" x14ac:dyDescent="0.25">
      <c r="C28" s="4" t="s">
        <v>1468</v>
      </c>
      <c r="D28" s="2">
        <v>6182639</v>
      </c>
      <c r="F28" s="15" t="s">
        <v>1478</v>
      </c>
      <c r="G28" t="s">
        <v>1487</v>
      </c>
      <c r="H28" s="16" t="s">
        <v>1482</v>
      </c>
      <c r="M28" s="6"/>
      <c r="O28" s="4">
        <v>2022</v>
      </c>
      <c r="P28" s="6">
        <v>478451</v>
      </c>
      <c r="Q28" s="6">
        <v>496353</v>
      </c>
      <c r="R28" s="6">
        <v>484971</v>
      </c>
    </row>
    <row r="29" spans="3:18" x14ac:dyDescent="0.25">
      <c r="F29" s="15" t="s">
        <v>42</v>
      </c>
      <c r="G29" t="s">
        <v>1481</v>
      </c>
      <c r="H29" s="16">
        <v>1086436</v>
      </c>
      <c r="M29" s="6"/>
      <c r="O29" s="4">
        <v>2023</v>
      </c>
      <c r="P29" s="6">
        <v>538319</v>
      </c>
      <c r="Q29" s="6">
        <v>385893</v>
      </c>
      <c r="R29" s="6">
        <v>305511</v>
      </c>
    </row>
    <row r="30" spans="3:18" x14ac:dyDescent="0.25">
      <c r="F30" s="15" t="s">
        <v>1483</v>
      </c>
      <c r="G30" t="s">
        <v>1481</v>
      </c>
      <c r="H30" s="16">
        <v>1091174</v>
      </c>
      <c r="M30" s="6"/>
      <c r="O30" s="4">
        <v>2024</v>
      </c>
      <c r="P30" s="6">
        <v>318630</v>
      </c>
      <c r="Q30" s="6">
        <v>415878</v>
      </c>
      <c r="R30" s="6">
        <v>467970</v>
      </c>
    </row>
    <row r="31" spans="3:18" x14ac:dyDescent="0.25">
      <c r="F31" s="15" t="s">
        <v>1484</v>
      </c>
      <c r="G31" t="s">
        <v>1481</v>
      </c>
      <c r="H31" s="16">
        <v>978738</v>
      </c>
      <c r="M31" s="6"/>
      <c r="O31" s="4">
        <v>2025</v>
      </c>
      <c r="P31" s="6">
        <v>98121</v>
      </c>
      <c r="Q31" s="6">
        <v>49499</v>
      </c>
      <c r="R31" s="6">
        <v>102196</v>
      </c>
    </row>
    <row r="32" spans="3:18" x14ac:dyDescent="0.25">
      <c r="F32" s="15" t="s">
        <v>1485</v>
      </c>
      <c r="G32" t="s">
        <v>1481</v>
      </c>
      <c r="H32" s="16">
        <v>1130048</v>
      </c>
      <c r="M32" s="6"/>
    </row>
    <row r="33" spans="6:13" x14ac:dyDescent="0.25">
      <c r="F33" s="15" t="s">
        <v>1486</v>
      </c>
      <c r="G33" t="s">
        <v>1481</v>
      </c>
      <c r="H33" s="16">
        <v>884768</v>
      </c>
      <c r="M33" s="6"/>
    </row>
    <row r="34" spans="6:13" x14ac:dyDescent="0.25">
      <c r="F34" s="17" t="s">
        <v>71</v>
      </c>
      <c r="G34" t="s">
        <v>1481</v>
      </c>
      <c r="H34" s="17">
        <v>1011475</v>
      </c>
      <c r="M34" s="6"/>
    </row>
    <row r="35" spans="6:13" x14ac:dyDescent="0.25">
      <c r="F35" s="13"/>
      <c r="G35" s="12"/>
      <c r="H35" s="14"/>
      <c r="M35" s="6"/>
    </row>
    <row r="36" spans="6:13" x14ac:dyDescent="0.25">
      <c r="M36" s="6"/>
    </row>
    <row r="37" spans="6:13" x14ac:dyDescent="0.25">
      <c r="M37" s="6"/>
    </row>
    <row r="38" spans="6:13" x14ac:dyDescent="0.25">
      <c r="M38" s="6"/>
    </row>
    <row r="39" spans="6:13" x14ac:dyDescent="0.25">
      <c r="M39" s="6"/>
    </row>
    <row r="40" spans="6:13" x14ac:dyDescent="0.25">
      <c r="M40" s="6"/>
    </row>
    <row r="41" spans="6:13" x14ac:dyDescent="0.25">
      <c r="M41" s="6"/>
    </row>
    <row r="42" spans="6:13" x14ac:dyDescent="0.25">
      <c r="M42" s="6"/>
    </row>
    <row r="45" spans="6:13" x14ac:dyDescent="0.25">
      <c r="F45" t="s">
        <v>1480</v>
      </c>
    </row>
  </sheetData>
  <pageMargins left="0.7" right="0.7" top="0.75" bottom="0.75" header="0.3" footer="0.3"/>
  <pageSetup orientation="portrait"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3495-735E-4276-BADF-8264EE13A22D}">
  <dimension ref="A1"/>
  <sheetViews>
    <sheetView showGridLines="0" showRowColHeaders="0" tabSelected="1" zoomScale="77" zoomScaleNormal="77" workbookViewId="0">
      <selection activeCell="O35" sqref="O35"/>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95"/>
  <sheetViews>
    <sheetView workbookViewId="0">
      <selection activeCell="K1" sqref="K1:K1048576"/>
    </sheetView>
  </sheetViews>
  <sheetFormatPr defaultRowHeight="15" x14ac:dyDescent="0.25"/>
  <cols>
    <col min="1" max="1" width="10" customWidth="1"/>
    <col min="2" max="2" width="10.5703125" customWidth="1"/>
    <col min="4" max="4" width="10.140625" customWidth="1"/>
    <col min="5" max="5" width="10.28515625" customWidth="1"/>
    <col min="6" max="6" width="14" customWidth="1"/>
    <col min="7" max="7" width="15.140625" customWidth="1"/>
    <col min="8" max="8" width="12.140625" customWidth="1"/>
    <col min="9" max="9" width="15.85546875" customWidth="1"/>
    <col min="10" max="10" width="9.140625" style="10"/>
    <col min="12" max="12" width="12.85546875" customWidth="1"/>
  </cols>
  <sheetData>
    <row r="1" spans="1:12" x14ac:dyDescent="0.25">
      <c r="A1" t="s">
        <v>0</v>
      </c>
      <c r="B1" s="2" t="s">
        <v>1</v>
      </c>
      <c r="C1" s="2" t="s">
        <v>2</v>
      </c>
      <c r="D1" t="s">
        <v>3</v>
      </c>
      <c r="E1" t="s">
        <v>4</v>
      </c>
      <c r="F1" t="s">
        <v>5</v>
      </c>
      <c r="G1" t="s">
        <v>6</v>
      </c>
      <c r="H1" t="s">
        <v>7</v>
      </c>
      <c r="I1" t="s">
        <v>8</v>
      </c>
      <c r="J1" s="10" t="s">
        <v>9</v>
      </c>
      <c r="K1" t="s">
        <v>10</v>
      </c>
      <c r="L1" t="s">
        <v>11</v>
      </c>
    </row>
    <row r="2" spans="1:12" x14ac:dyDescent="0.25">
      <c r="A2" t="s">
        <v>12</v>
      </c>
      <c r="B2" s="2">
        <v>9726</v>
      </c>
      <c r="C2" s="2">
        <v>1275</v>
      </c>
      <c r="D2">
        <v>5</v>
      </c>
      <c r="E2" t="s">
        <v>13</v>
      </c>
      <c r="F2" t="s">
        <v>14</v>
      </c>
      <c r="G2" t="s">
        <v>15</v>
      </c>
      <c r="H2" s="1">
        <v>45104</v>
      </c>
      <c r="I2" t="s">
        <v>16</v>
      </c>
      <c r="J2" s="10" t="s">
        <v>17</v>
      </c>
      <c r="K2" t="s">
        <v>18</v>
      </c>
      <c r="L2" t="s">
        <v>19</v>
      </c>
    </row>
    <row r="3" spans="1:12" x14ac:dyDescent="0.25">
      <c r="A3" t="s">
        <v>12</v>
      </c>
      <c r="B3" s="2">
        <v>9726</v>
      </c>
      <c r="C3" s="2">
        <v>1275</v>
      </c>
      <c r="D3">
        <v>5</v>
      </c>
      <c r="E3" t="s">
        <v>13</v>
      </c>
      <c r="F3" t="s">
        <v>14</v>
      </c>
      <c r="G3" t="s">
        <v>15</v>
      </c>
      <c r="H3" s="1">
        <v>45653</v>
      </c>
      <c r="I3" t="s">
        <v>20</v>
      </c>
      <c r="J3" s="10" t="s">
        <v>21</v>
      </c>
      <c r="K3" t="s">
        <v>22</v>
      </c>
      <c r="L3" t="s">
        <v>23</v>
      </c>
    </row>
    <row r="4" spans="1:12" x14ac:dyDescent="0.25">
      <c r="A4" t="s">
        <v>12</v>
      </c>
      <c r="B4" s="2">
        <v>9726</v>
      </c>
      <c r="C4" s="2">
        <v>1275</v>
      </c>
      <c r="D4">
        <v>5</v>
      </c>
      <c r="E4" t="s">
        <v>13</v>
      </c>
      <c r="F4" t="s">
        <v>14</v>
      </c>
      <c r="G4" t="s">
        <v>15</v>
      </c>
      <c r="H4" s="1">
        <v>44402</v>
      </c>
      <c r="I4" t="s">
        <v>24</v>
      </c>
      <c r="J4" s="10" t="s">
        <v>25</v>
      </c>
      <c r="K4" t="s">
        <v>26</v>
      </c>
      <c r="L4" t="s">
        <v>27</v>
      </c>
    </row>
    <row r="5" spans="1:12" x14ac:dyDescent="0.25">
      <c r="A5" t="s">
        <v>12</v>
      </c>
      <c r="B5" s="2">
        <v>4975</v>
      </c>
      <c r="C5" s="2">
        <v>1330</v>
      </c>
      <c r="D5">
        <v>14</v>
      </c>
      <c r="E5" t="s">
        <v>13</v>
      </c>
      <c r="F5" t="s">
        <v>28</v>
      </c>
      <c r="G5" t="s">
        <v>15</v>
      </c>
      <c r="H5" s="1">
        <v>45104</v>
      </c>
      <c r="I5" t="s">
        <v>16</v>
      </c>
      <c r="J5" s="10" t="s">
        <v>17</v>
      </c>
      <c r="K5" t="s">
        <v>18</v>
      </c>
      <c r="L5" t="s">
        <v>19</v>
      </c>
    </row>
    <row r="6" spans="1:12" x14ac:dyDescent="0.25">
      <c r="A6" t="s">
        <v>12</v>
      </c>
      <c r="B6" s="2">
        <v>4975</v>
      </c>
      <c r="C6" s="2">
        <v>1330</v>
      </c>
      <c r="D6">
        <v>14</v>
      </c>
      <c r="E6" t="s">
        <v>13</v>
      </c>
      <c r="F6" t="s">
        <v>28</v>
      </c>
      <c r="G6" t="s">
        <v>15</v>
      </c>
      <c r="H6" s="1">
        <v>45653</v>
      </c>
      <c r="I6" t="s">
        <v>20</v>
      </c>
      <c r="J6" s="10" t="s">
        <v>21</v>
      </c>
      <c r="K6" t="s">
        <v>22</v>
      </c>
      <c r="L6" t="s">
        <v>23</v>
      </c>
    </row>
    <row r="7" spans="1:12" x14ac:dyDescent="0.25">
      <c r="A7" t="s">
        <v>12</v>
      </c>
      <c r="B7" s="2">
        <v>4975</v>
      </c>
      <c r="C7" s="2">
        <v>1330</v>
      </c>
      <c r="D7">
        <v>14</v>
      </c>
      <c r="E7" t="s">
        <v>13</v>
      </c>
      <c r="F7" t="s">
        <v>28</v>
      </c>
      <c r="G7" t="s">
        <v>15</v>
      </c>
      <c r="H7" s="1">
        <v>44402</v>
      </c>
      <c r="I7" t="s">
        <v>24</v>
      </c>
      <c r="J7" s="10" t="s">
        <v>25</v>
      </c>
      <c r="K7" t="s">
        <v>26</v>
      </c>
      <c r="L7" t="s">
        <v>27</v>
      </c>
    </row>
    <row r="8" spans="1:12" x14ac:dyDescent="0.25">
      <c r="A8" t="s">
        <v>29</v>
      </c>
      <c r="B8" s="2">
        <v>1525</v>
      </c>
      <c r="C8" s="2">
        <v>185</v>
      </c>
      <c r="D8">
        <v>12</v>
      </c>
      <c r="E8" t="s">
        <v>30</v>
      </c>
      <c r="F8" t="s">
        <v>31</v>
      </c>
      <c r="G8" t="s">
        <v>32</v>
      </c>
      <c r="H8" s="1">
        <v>45423</v>
      </c>
      <c r="I8" t="s">
        <v>33</v>
      </c>
      <c r="J8" s="10" t="s">
        <v>17</v>
      </c>
      <c r="K8" t="s">
        <v>34</v>
      </c>
      <c r="L8" t="s">
        <v>35</v>
      </c>
    </row>
    <row r="9" spans="1:12" x14ac:dyDescent="0.25">
      <c r="A9" t="s">
        <v>29</v>
      </c>
      <c r="B9" s="2">
        <v>1525</v>
      </c>
      <c r="C9" s="2">
        <v>185</v>
      </c>
      <c r="D9">
        <v>12</v>
      </c>
      <c r="E9" t="s">
        <v>30</v>
      </c>
      <c r="F9" t="s">
        <v>31</v>
      </c>
      <c r="G9" t="s">
        <v>32</v>
      </c>
      <c r="H9" s="1">
        <v>44478</v>
      </c>
      <c r="I9" t="s">
        <v>36</v>
      </c>
      <c r="J9" s="10" t="s">
        <v>17</v>
      </c>
      <c r="K9" t="s">
        <v>18</v>
      </c>
      <c r="L9" t="s">
        <v>37</v>
      </c>
    </row>
    <row r="10" spans="1:12" x14ac:dyDescent="0.25">
      <c r="A10" t="s">
        <v>38</v>
      </c>
      <c r="B10" s="2">
        <v>883</v>
      </c>
      <c r="C10" s="2">
        <v>117</v>
      </c>
      <c r="D10">
        <v>10</v>
      </c>
      <c r="E10" t="s">
        <v>13</v>
      </c>
      <c r="F10" t="s">
        <v>39</v>
      </c>
      <c r="G10" t="s">
        <v>40</v>
      </c>
      <c r="H10" s="1">
        <v>44883</v>
      </c>
      <c r="I10" t="s">
        <v>41</v>
      </c>
      <c r="J10" s="10" t="s">
        <v>42</v>
      </c>
      <c r="K10" t="s">
        <v>43</v>
      </c>
      <c r="L10" t="s">
        <v>44</v>
      </c>
    </row>
    <row r="11" spans="1:12" x14ac:dyDescent="0.25">
      <c r="A11" t="s">
        <v>38</v>
      </c>
      <c r="B11" s="2">
        <v>8127</v>
      </c>
      <c r="C11" s="2">
        <v>3551</v>
      </c>
      <c r="D11">
        <v>16</v>
      </c>
      <c r="E11" t="s">
        <v>45</v>
      </c>
      <c r="F11" t="s">
        <v>46</v>
      </c>
      <c r="G11" t="s">
        <v>47</v>
      </c>
      <c r="H11" s="1">
        <v>44883</v>
      </c>
      <c r="I11" t="s">
        <v>41</v>
      </c>
      <c r="J11" s="10" t="s">
        <v>42</v>
      </c>
      <c r="K11" t="s">
        <v>43</v>
      </c>
      <c r="L11" t="s">
        <v>44</v>
      </c>
    </row>
    <row r="12" spans="1:12" x14ac:dyDescent="0.25">
      <c r="A12" t="s">
        <v>48</v>
      </c>
      <c r="B12" s="2">
        <v>2516</v>
      </c>
      <c r="C12" s="2">
        <v>734</v>
      </c>
      <c r="D12">
        <v>19</v>
      </c>
      <c r="E12" t="s">
        <v>45</v>
      </c>
      <c r="F12" t="s">
        <v>49</v>
      </c>
      <c r="G12" t="s">
        <v>15</v>
      </c>
      <c r="H12" s="1">
        <v>45242</v>
      </c>
      <c r="I12" t="s">
        <v>50</v>
      </c>
      <c r="J12" s="10" t="s">
        <v>25</v>
      </c>
      <c r="K12" t="s">
        <v>51</v>
      </c>
      <c r="L12" t="s">
        <v>52</v>
      </c>
    </row>
    <row r="13" spans="1:12" x14ac:dyDescent="0.25">
      <c r="A13" t="s">
        <v>53</v>
      </c>
      <c r="B13" s="2">
        <v>2975</v>
      </c>
      <c r="C13" s="2">
        <v>462</v>
      </c>
      <c r="D13">
        <v>14</v>
      </c>
      <c r="E13" t="s">
        <v>30</v>
      </c>
      <c r="F13" t="s">
        <v>31</v>
      </c>
      <c r="G13" t="s">
        <v>47</v>
      </c>
      <c r="H13" s="1">
        <v>43913</v>
      </c>
      <c r="I13" t="s">
        <v>54</v>
      </c>
      <c r="J13" s="10" t="s">
        <v>25</v>
      </c>
      <c r="K13" t="s">
        <v>51</v>
      </c>
      <c r="L13" t="s">
        <v>55</v>
      </c>
    </row>
    <row r="14" spans="1:12" x14ac:dyDescent="0.25">
      <c r="A14" t="s">
        <v>56</v>
      </c>
      <c r="B14" s="2">
        <v>6851</v>
      </c>
      <c r="C14" s="2">
        <v>2812</v>
      </c>
      <c r="D14">
        <v>1</v>
      </c>
      <c r="E14" t="s">
        <v>30</v>
      </c>
      <c r="F14" t="s">
        <v>57</v>
      </c>
      <c r="G14" t="s">
        <v>32</v>
      </c>
      <c r="H14" s="1">
        <v>43955</v>
      </c>
      <c r="I14" t="s">
        <v>58</v>
      </c>
      <c r="J14" s="10" t="s">
        <v>17</v>
      </c>
      <c r="K14" t="s">
        <v>34</v>
      </c>
      <c r="L14" t="s">
        <v>59</v>
      </c>
    </row>
    <row r="15" spans="1:12" x14ac:dyDescent="0.25">
      <c r="A15" t="s">
        <v>56</v>
      </c>
      <c r="B15" s="2">
        <v>7626</v>
      </c>
      <c r="C15" s="2">
        <v>1046</v>
      </c>
      <c r="D15">
        <v>15</v>
      </c>
      <c r="E15" t="s">
        <v>45</v>
      </c>
      <c r="F15" t="s">
        <v>60</v>
      </c>
      <c r="G15" t="s">
        <v>47</v>
      </c>
      <c r="H15" s="1">
        <v>43955</v>
      </c>
      <c r="I15" t="s">
        <v>58</v>
      </c>
      <c r="J15" s="10" t="s">
        <v>17</v>
      </c>
      <c r="K15" t="s">
        <v>34</v>
      </c>
      <c r="L15" t="s">
        <v>59</v>
      </c>
    </row>
    <row r="16" spans="1:12" x14ac:dyDescent="0.25">
      <c r="A16" t="s">
        <v>56</v>
      </c>
      <c r="B16" s="2">
        <v>1023</v>
      </c>
      <c r="C16" s="2">
        <v>78</v>
      </c>
      <c r="D16">
        <v>9</v>
      </c>
      <c r="E16" t="s">
        <v>45</v>
      </c>
      <c r="F16" t="s">
        <v>46</v>
      </c>
      <c r="G16" t="s">
        <v>15</v>
      </c>
      <c r="H16" s="1">
        <v>43955</v>
      </c>
      <c r="I16" t="s">
        <v>58</v>
      </c>
      <c r="J16" s="10" t="s">
        <v>17</v>
      </c>
      <c r="K16" t="s">
        <v>34</v>
      </c>
      <c r="L16" t="s">
        <v>59</v>
      </c>
    </row>
    <row r="17" spans="1:12" x14ac:dyDescent="0.25">
      <c r="A17" t="s">
        <v>61</v>
      </c>
      <c r="B17" s="2">
        <v>7600</v>
      </c>
      <c r="C17" s="2">
        <v>1098</v>
      </c>
      <c r="D17">
        <v>10</v>
      </c>
      <c r="E17" t="s">
        <v>30</v>
      </c>
      <c r="F17" t="s">
        <v>31</v>
      </c>
      <c r="G17" t="s">
        <v>15</v>
      </c>
      <c r="H17" s="1">
        <v>45239</v>
      </c>
      <c r="I17" t="s">
        <v>62</v>
      </c>
      <c r="J17" s="10" t="s">
        <v>21</v>
      </c>
      <c r="K17" t="s">
        <v>63</v>
      </c>
      <c r="L17" t="s">
        <v>52</v>
      </c>
    </row>
    <row r="18" spans="1:12" x14ac:dyDescent="0.25">
      <c r="A18" t="s">
        <v>61</v>
      </c>
      <c r="B18" s="2">
        <v>7501</v>
      </c>
      <c r="C18" s="2">
        <v>262</v>
      </c>
      <c r="D18">
        <v>18</v>
      </c>
      <c r="E18" t="s">
        <v>30</v>
      </c>
      <c r="F18" t="s">
        <v>64</v>
      </c>
      <c r="G18" t="s">
        <v>65</v>
      </c>
      <c r="H18" s="1">
        <v>45239</v>
      </c>
      <c r="I18" t="s">
        <v>62</v>
      </c>
      <c r="J18" s="10" t="s">
        <v>21</v>
      </c>
      <c r="K18" t="s">
        <v>63</v>
      </c>
      <c r="L18" t="s">
        <v>52</v>
      </c>
    </row>
    <row r="19" spans="1:12" x14ac:dyDescent="0.25">
      <c r="A19" t="s">
        <v>66</v>
      </c>
      <c r="B19" s="2">
        <v>725</v>
      </c>
      <c r="C19" s="2">
        <v>133</v>
      </c>
      <c r="D19">
        <v>6</v>
      </c>
      <c r="E19" t="s">
        <v>30</v>
      </c>
      <c r="F19" t="s">
        <v>64</v>
      </c>
      <c r="G19" t="s">
        <v>47</v>
      </c>
      <c r="H19" s="1">
        <v>45656</v>
      </c>
      <c r="I19" t="s">
        <v>67</v>
      </c>
      <c r="J19" s="10" t="s">
        <v>25</v>
      </c>
      <c r="K19" t="s">
        <v>68</v>
      </c>
      <c r="L19" t="s">
        <v>23</v>
      </c>
    </row>
    <row r="20" spans="1:12" x14ac:dyDescent="0.25">
      <c r="A20" t="s">
        <v>66</v>
      </c>
      <c r="B20" s="2">
        <v>7201</v>
      </c>
      <c r="C20" s="2">
        <v>2685</v>
      </c>
      <c r="D20">
        <v>2</v>
      </c>
      <c r="E20" t="s">
        <v>45</v>
      </c>
      <c r="F20" t="s">
        <v>46</v>
      </c>
      <c r="G20" t="s">
        <v>47</v>
      </c>
      <c r="H20" s="1">
        <v>45656</v>
      </c>
      <c r="I20" t="s">
        <v>67</v>
      </c>
      <c r="J20" s="10" t="s">
        <v>25</v>
      </c>
      <c r="K20" t="s">
        <v>68</v>
      </c>
      <c r="L20" t="s">
        <v>23</v>
      </c>
    </row>
    <row r="21" spans="1:12" x14ac:dyDescent="0.25">
      <c r="A21" t="s">
        <v>69</v>
      </c>
      <c r="B21" s="2">
        <v>1629</v>
      </c>
      <c r="C21" s="2">
        <v>265</v>
      </c>
      <c r="D21">
        <v>1</v>
      </c>
      <c r="E21" t="s">
        <v>30</v>
      </c>
      <c r="F21" t="s">
        <v>64</v>
      </c>
      <c r="G21" t="s">
        <v>15</v>
      </c>
      <c r="H21" s="1">
        <v>45699</v>
      </c>
      <c r="I21" t="s">
        <v>70</v>
      </c>
      <c r="J21" s="10" t="s">
        <v>71</v>
      </c>
      <c r="K21" t="s">
        <v>72</v>
      </c>
      <c r="L21" t="s">
        <v>73</v>
      </c>
    </row>
    <row r="22" spans="1:12" x14ac:dyDescent="0.25">
      <c r="A22" t="s">
        <v>69</v>
      </c>
      <c r="B22" s="2">
        <v>1629</v>
      </c>
      <c r="C22" s="2">
        <v>265</v>
      </c>
      <c r="D22">
        <v>1</v>
      </c>
      <c r="E22" t="s">
        <v>30</v>
      </c>
      <c r="F22" t="s">
        <v>64</v>
      </c>
      <c r="G22" t="s">
        <v>15</v>
      </c>
      <c r="H22" s="1">
        <v>45314</v>
      </c>
      <c r="I22" t="s">
        <v>74</v>
      </c>
      <c r="J22" s="10" t="s">
        <v>42</v>
      </c>
      <c r="K22" t="s">
        <v>75</v>
      </c>
      <c r="L22" t="s">
        <v>76</v>
      </c>
    </row>
    <row r="23" spans="1:12" x14ac:dyDescent="0.25">
      <c r="A23" t="s">
        <v>77</v>
      </c>
      <c r="B23" s="2">
        <v>8971</v>
      </c>
      <c r="C23" s="2">
        <v>2971</v>
      </c>
      <c r="D23">
        <v>19</v>
      </c>
      <c r="E23" t="s">
        <v>30</v>
      </c>
      <c r="F23" t="s">
        <v>78</v>
      </c>
      <c r="G23" t="s">
        <v>32</v>
      </c>
      <c r="H23" s="1">
        <v>44163</v>
      </c>
      <c r="I23" t="s">
        <v>79</v>
      </c>
      <c r="J23" s="10" t="s">
        <v>42</v>
      </c>
      <c r="K23" t="s">
        <v>75</v>
      </c>
      <c r="L23" t="s">
        <v>80</v>
      </c>
    </row>
    <row r="24" spans="1:12" x14ac:dyDescent="0.25">
      <c r="A24" t="s">
        <v>77</v>
      </c>
      <c r="B24" s="2">
        <v>2939</v>
      </c>
      <c r="C24" s="2">
        <v>894</v>
      </c>
      <c r="D24">
        <v>20</v>
      </c>
      <c r="E24" t="s">
        <v>30</v>
      </c>
      <c r="F24" t="s">
        <v>78</v>
      </c>
      <c r="G24" t="s">
        <v>65</v>
      </c>
      <c r="H24" s="1">
        <v>44163</v>
      </c>
      <c r="I24" t="s">
        <v>79</v>
      </c>
      <c r="J24" s="10" t="s">
        <v>42</v>
      </c>
      <c r="K24" t="s">
        <v>75</v>
      </c>
      <c r="L24" t="s">
        <v>80</v>
      </c>
    </row>
    <row r="25" spans="1:12" x14ac:dyDescent="0.25">
      <c r="A25" t="s">
        <v>81</v>
      </c>
      <c r="B25" s="2">
        <v>9380</v>
      </c>
      <c r="C25" s="2">
        <v>414</v>
      </c>
      <c r="D25">
        <v>11</v>
      </c>
      <c r="E25" t="s">
        <v>13</v>
      </c>
      <c r="F25" t="s">
        <v>82</v>
      </c>
      <c r="G25" t="s">
        <v>15</v>
      </c>
      <c r="H25" s="1">
        <v>45442</v>
      </c>
      <c r="I25" t="s">
        <v>83</v>
      </c>
      <c r="J25" s="10" t="s">
        <v>25</v>
      </c>
      <c r="K25" t="s">
        <v>68</v>
      </c>
      <c r="L25" t="s">
        <v>35</v>
      </c>
    </row>
    <row r="26" spans="1:12" x14ac:dyDescent="0.25">
      <c r="A26" t="s">
        <v>81</v>
      </c>
      <c r="B26" s="2">
        <v>8558</v>
      </c>
      <c r="C26" s="2">
        <v>1644</v>
      </c>
      <c r="D26">
        <v>18</v>
      </c>
      <c r="E26" t="s">
        <v>30</v>
      </c>
      <c r="F26" t="s">
        <v>78</v>
      </c>
      <c r="G26" t="s">
        <v>47</v>
      </c>
      <c r="H26" s="1">
        <v>45442</v>
      </c>
      <c r="I26" t="s">
        <v>83</v>
      </c>
      <c r="J26" s="10" t="s">
        <v>25</v>
      </c>
      <c r="K26" t="s">
        <v>68</v>
      </c>
      <c r="L26" t="s">
        <v>35</v>
      </c>
    </row>
    <row r="27" spans="1:12" x14ac:dyDescent="0.25">
      <c r="A27" t="s">
        <v>81</v>
      </c>
      <c r="B27" s="2">
        <v>4080</v>
      </c>
      <c r="C27" s="2">
        <v>72</v>
      </c>
      <c r="D27">
        <v>17</v>
      </c>
      <c r="E27" t="s">
        <v>30</v>
      </c>
      <c r="F27" t="s">
        <v>64</v>
      </c>
      <c r="G27" t="s">
        <v>65</v>
      </c>
      <c r="H27" s="1">
        <v>45442</v>
      </c>
      <c r="I27" t="s">
        <v>83</v>
      </c>
      <c r="J27" s="10" t="s">
        <v>25</v>
      </c>
      <c r="K27" t="s">
        <v>68</v>
      </c>
      <c r="L27" t="s">
        <v>35</v>
      </c>
    </row>
    <row r="28" spans="1:12" x14ac:dyDescent="0.25">
      <c r="A28" t="s">
        <v>84</v>
      </c>
      <c r="B28" s="2">
        <v>4206</v>
      </c>
      <c r="C28" s="2">
        <v>1821</v>
      </c>
      <c r="D28">
        <v>17</v>
      </c>
      <c r="E28" t="s">
        <v>13</v>
      </c>
      <c r="F28" t="s">
        <v>14</v>
      </c>
      <c r="G28" t="s">
        <v>40</v>
      </c>
      <c r="H28" s="1">
        <v>44584</v>
      </c>
      <c r="I28" t="s">
        <v>85</v>
      </c>
      <c r="J28" s="10" t="s">
        <v>71</v>
      </c>
      <c r="K28" t="s">
        <v>86</v>
      </c>
      <c r="L28" t="s">
        <v>87</v>
      </c>
    </row>
    <row r="29" spans="1:12" x14ac:dyDescent="0.25">
      <c r="A29" t="s">
        <v>88</v>
      </c>
      <c r="B29" s="2">
        <v>5219</v>
      </c>
      <c r="C29" s="2">
        <v>1180</v>
      </c>
      <c r="D29">
        <v>20</v>
      </c>
      <c r="E29" t="s">
        <v>30</v>
      </c>
      <c r="F29" t="s">
        <v>78</v>
      </c>
      <c r="G29" t="s">
        <v>65</v>
      </c>
      <c r="H29" s="1">
        <v>44547</v>
      </c>
      <c r="I29" t="s">
        <v>89</v>
      </c>
      <c r="J29" s="10" t="s">
        <v>25</v>
      </c>
      <c r="K29" t="s">
        <v>51</v>
      </c>
      <c r="L29" t="s">
        <v>90</v>
      </c>
    </row>
    <row r="30" spans="1:12" x14ac:dyDescent="0.25">
      <c r="A30" t="s">
        <v>88</v>
      </c>
      <c r="B30" s="2">
        <v>5219</v>
      </c>
      <c r="C30" s="2">
        <v>1180</v>
      </c>
      <c r="D30">
        <v>20</v>
      </c>
      <c r="E30" t="s">
        <v>30</v>
      </c>
      <c r="F30" t="s">
        <v>78</v>
      </c>
      <c r="G30" t="s">
        <v>65</v>
      </c>
      <c r="H30" s="1">
        <v>44960</v>
      </c>
      <c r="I30" t="s">
        <v>91</v>
      </c>
      <c r="J30" s="10" t="s">
        <v>42</v>
      </c>
      <c r="K30" t="s">
        <v>92</v>
      </c>
      <c r="L30" t="s">
        <v>93</v>
      </c>
    </row>
    <row r="31" spans="1:12" x14ac:dyDescent="0.25">
      <c r="A31" t="s">
        <v>94</v>
      </c>
      <c r="B31" s="2">
        <v>3686</v>
      </c>
      <c r="C31" s="2">
        <v>760</v>
      </c>
      <c r="D31">
        <v>20</v>
      </c>
      <c r="E31" t="s">
        <v>30</v>
      </c>
      <c r="F31" t="s">
        <v>31</v>
      </c>
      <c r="G31" t="s">
        <v>32</v>
      </c>
      <c r="H31" s="1">
        <v>44864</v>
      </c>
      <c r="I31" t="s">
        <v>95</v>
      </c>
      <c r="J31" s="10" t="s">
        <v>42</v>
      </c>
      <c r="K31" t="s">
        <v>92</v>
      </c>
      <c r="L31" t="s">
        <v>96</v>
      </c>
    </row>
    <row r="32" spans="1:12" x14ac:dyDescent="0.25">
      <c r="A32" t="s">
        <v>94</v>
      </c>
      <c r="B32" s="2">
        <v>3686</v>
      </c>
      <c r="C32" s="2">
        <v>760</v>
      </c>
      <c r="D32">
        <v>20</v>
      </c>
      <c r="E32" t="s">
        <v>30</v>
      </c>
      <c r="F32" t="s">
        <v>31</v>
      </c>
      <c r="G32" t="s">
        <v>32</v>
      </c>
      <c r="H32" s="1">
        <v>44576</v>
      </c>
      <c r="I32" t="s">
        <v>97</v>
      </c>
      <c r="J32" s="10" t="s">
        <v>98</v>
      </c>
      <c r="K32" t="s">
        <v>99</v>
      </c>
      <c r="L32" t="s">
        <v>87</v>
      </c>
    </row>
    <row r="33" spans="1:12" x14ac:dyDescent="0.25">
      <c r="A33" t="s">
        <v>100</v>
      </c>
      <c r="B33" s="2">
        <v>6045</v>
      </c>
      <c r="C33" s="2">
        <v>1606</v>
      </c>
      <c r="D33">
        <v>4</v>
      </c>
      <c r="E33" t="s">
        <v>30</v>
      </c>
      <c r="F33" t="s">
        <v>64</v>
      </c>
      <c r="G33" t="s">
        <v>65</v>
      </c>
      <c r="H33" s="1">
        <v>45274</v>
      </c>
      <c r="I33" t="s">
        <v>101</v>
      </c>
      <c r="J33" s="10" t="s">
        <v>17</v>
      </c>
      <c r="K33" t="s">
        <v>34</v>
      </c>
      <c r="L33" t="s">
        <v>102</v>
      </c>
    </row>
    <row r="34" spans="1:12" x14ac:dyDescent="0.25">
      <c r="A34" t="s">
        <v>100</v>
      </c>
      <c r="B34" s="2">
        <v>9337</v>
      </c>
      <c r="C34" s="2">
        <v>554</v>
      </c>
      <c r="D34">
        <v>11</v>
      </c>
      <c r="E34" t="s">
        <v>30</v>
      </c>
      <c r="F34" t="s">
        <v>31</v>
      </c>
      <c r="G34" t="s">
        <v>65</v>
      </c>
      <c r="H34" s="1">
        <v>45274</v>
      </c>
      <c r="I34" t="s">
        <v>101</v>
      </c>
      <c r="J34" s="10" t="s">
        <v>17</v>
      </c>
      <c r="K34" t="s">
        <v>34</v>
      </c>
      <c r="L34" t="s">
        <v>102</v>
      </c>
    </row>
    <row r="35" spans="1:12" x14ac:dyDescent="0.25">
      <c r="A35" t="s">
        <v>103</v>
      </c>
      <c r="B35" s="2">
        <v>4051</v>
      </c>
      <c r="C35" s="2">
        <v>1848</v>
      </c>
      <c r="D35">
        <v>12</v>
      </c>
      <c r="E35" t="s">
        <v>13</v>
      </c>
      <c r="F35" t="s">
        <v>82</v>
      </c>
      <c r="G35" t="s">
        <v>47</v>
      </c>
      <c r="H35" s="1">
        <v>45110</v>
      </c>
      <c r="I35" t="s">
        <v>104</v>
      </c>
      <c r="J35" s="10" t="s">
        <v>42</v>
      </c>
      <c r="K35" t="s">
        <v>75</v>
      </c>
      <c r="L35" t="s">
        <v>105</v>
      </c>
    </row>
    <row r="36" spans="1:12" x14ac:dyDescent="0.25">
      <c r="A36" t="s">
        <v>103</v>
      </c>
      <c r="B36" s="2">
        <v>4051</v>
      </c>
      <c r="C36" s="2">
        <v>1848</v>
      </c>
      <c r="D36">
        <v>12</v>
      </c>
      <c r="E36" t="s">
        <v>13</v>
      </c>
      <c r="F36" t="s">
        <v>82</v>
      </c>
      <c r="G36" t="s">
        <v>47</v>
      </c>
      <c r="H36" s="1">
        <v>44324</v>
      </c>
      <c r="I36" t="s">
        <v>106</v>
      </c>
      <c r="J36" s="10" t="s">
        <v>98</v>
      </c>
      <c r="K36" t="s">
        <v>107</v>
      </c>
      <c r="L36" t="s">
        <v>108</v>
      </c>
    </row>
    <row r="37" spans="1:12" x14ac:dyDescent="0.25">
      <c r="A37" t="s">
        <v>103</v>
      </c>
      <c r="B37" s="2">
        <v>5011</v>
      </c>
      <c r="C37" s="2">
        <v>866</v>
      </c>
      <c r="D37">
        <v>11</v>
      </c>
      <c r="E37" t="s">
        <v>45</v>
      </c>
      <c r="F37" t="s">
        <v>109</v>
      </c>
      <c r="G37" t="s">
        <v>47</v>
      </c>
      <c r="H37" s="1">
        <v>45110</v>
      </c>
      <c r="I37" t="s">
        <v>104</v>
      </c>
      <c r="J37" s="10" t="s">
        <v>42</v>
      </c>
      <c r="K37" t="s">
        <v>75</v>
      </c>
      <c r="L37" t="s">
        <v>105</v>
      </c>
    </row>
    <row r="38" spans="1:12" x14ac:dyDescent="0.25">
      <c r="A38" t="s">
        <v>103</v>
      </c>
      <c r="B38" s="2">
        <v>5011</v>
      </c>
      <c r="C38" s="2">
        <v>866</v>
      </c>
      <c r="D38">
        <v>11</v>
      </c>
      <c r="E38" t="s">
        <v>45</v>
      </c>
      <c r="F38" t="s">
        <v>109</v>
      </c>
      <c r="G38" t="s">
        <v>47</v>
      </c>
      <c r="H38" s="1">
        <v>44324</v>
      </c>
      <c r="I38" t="s">
        <v>106</v>
      </c>
      <c r="J38" s="10" t="s">
        <v>98</v>
      </c>
      <c r="K38" t="s">
        <v>107</v>
      </c>
      <c r="L38" t="s">
        <v>108</v>
      </c>
    </row>
    <row r="39" spans="1:12" x14ac:dyDescent="0.25">
      <c r="A39" t="s">
        <v>110</v>
      </c>
      <c r="B39" s="2">
        <v>3958</v>
      </c>
      <c r="C39" s="2">
        <v>630</v>
      </c>
      <c r="D39">
        <v>15</v>
      </c>
      <c r="E39" t="s">
        <v>45</v>
      </c>
      <c r="F39" t="s">
        <v>60</v>
      </c>
      <c r="G39" t="s">
        <v>40</v>
      </c>
      <c r="H39" s="1">
        <v>44841</v>
      </c>
      <c r="I39" t="s">
        <v>111</v>
      </c>
      <c r="J39" s="10" t="s">
        <v>17</v>
      </c>
      <c r="K39" t="s">
        <v>34</v>
      </c>
      <c r="L39" t="s">
        <v>96</v>
      </c>
    </row>
    <row r="40" spans="1:12" x14ac:dyDescent="0.25">
      <c r="A40" t="s">
        <v>110</v>
      </c>
      <c r="B40" s="2">
        <v>3132</v>
      </c>
      <c r="C40" s="2">
        <v>963</v>
      </c>
      <c r="D40">
        <v>1</v>
      </c>
      <c r="E40" t="s">
        <v>45</v>
      </c>
      <c r="F40" t="s">
        <v>46</v>
      </c>
      <c r="G40" t="s">
        <v>32</v>
      </c>
      <c r="H40" s="1">
        <v>44841</v>
      </c>
      <c r="I40" t="s">
        <v>111</v>
      </c>
      <c r="J40" s="10" t="s">
        <v>17</v>
      </c>
      <c r="K40" t="s">
        <v>34</v>
      </c>
      <c r="L40" t="s">
        <v>96</v>
      </c>
    </row>
    <row r="41" spans="1:12" x14ac:dyDescent="0.25">
      <c r="A41" t="s">
        <v>112</v>
      </c>
      <c r="B41" s="2">
        <v>7784</v>
      </c>
      <c r="C41" s="2">
        <v>2937</v>
      </c>
      <c r="D41">
        <v>12</v>
      </c>
      <c r="E41" t="s">
        <v>30</v>
      </c>
      <c r="F41" t="s">
        <v>57</v>
      </c>
      <c r="G41" t="s">
        <v>15</v>
      </c>
      <c r="H41" s="1">
        <v>45510</v>
      </c>
      <c r="I41" t="s">
        <v>113</v>
      </c>
      <c r="J41" s="10" t="s">
        <v>42</v>
      </c>
      <c r="K41" t="s">
        <v>92</v>
      </c>
      <c r="L41" t="s">
        <v>114</v>
      </c>
    </row>
    <row r="42" spans="1:12" x14ac:dyDescent="0.25">
      <c r="A42" t="s">
        <v>112</v>
      </c>
      <c r="B42" s="2">
        <v>5591</v>
      </c>
      <c r="C42" s="2">
        <v>1696</v>
      </c>
      <c r="D42">
        <v>3</v>
      </c>
      <c r="E42" t="s">
        <v>30</v>
      </c>
      <c r="F42" t="s">
        <v>31</v>
      </c>
      <c r="G42" t="s">
        <v>65</v>
      </c>
      <c r="H42" s="1">
        <v>45510</v>
      </c>
      <c r="I42" t="s">
        <v>113</v>
      </c>
      <c r="J42" s="10" t="s">
        <v>42</v>
      </c>
      <c r="K42" t="s">
        <v>92</v>
      </c>
      <c r="L42" t="s">
        <v>114</v>
      </c>
    </row>
    <row r="43" spans="1:12" x14ac:dyDescent="0.25">
      <c r="A43" t="s">
        <v>112</v>
      </c>
      <c r="B43" s="2">
        <v>5122</v>
      </c>
      <c r="C43" s="2">
        <v>2413</v>
      </c>
      <c r="D43">
        <v>12</v>
      </c>
      <c r="E43" t="s">
        <v>13</v>
      </c>
      <c r="F43" t="s">
        <v>14</v>
      </c>
      <c r="G43" t="s">
        <v>65</v>
      </c>
      <c r="H43" s="1">
        <v>45510</v>
      </c>
      <c r="I43" t="s">
        <v>113</v>
      </c>
      <c r="J43" s="10" t="s">
        <v>42</v>
      </c>
      <c r="K43" t="s">
        <v>92</v>
      </c>
      <c r="L43" t="s">
        <v>114</v>
      </c>
    </row>
    <row r="44" spans="1:12" x14ac:dyDescent="0.25">
      <c r="A44" t="s">
        <v>115</v>
      </c>
      <c r="B44" s="2">
        <v>8293</v>
      </c>
      <c r="C44" s="2">
        <v>2632</v>
      </c>
      <c r="D44">
        <v>8</v>
      </c>
      <c r="E44" t="s">
        <v>30</v>
      </c>
      <c r="F44" t="s">
        <v>78</v>
      </c>
      <c r="G44" t="s">
        <v>65</v>
      </c>
      <c r="H44" s="1">
        <v>44566</v>
      </c>
      <c r="I44" t="s">
        <v>116</v>
      </c>
      <c r="J44" s="10" t="s">
        <v>98</v>
      </c>
      <c r="K44" t="s">
        <v>117</v>
      </c>
      <c r="L44" t="s">
        <v>87</v>
      </c>
    </row>
    <row r="45" spans="1:12" x14ac:dyDescent="0.25">
      <c r="A45" t="s">
        <v>115</v>
      </c>
      <c r="B45" s="2">
        <v>8293</v>
      </c>
      <c r="C45" s="2">
        <v>2632</v>
      </c>
      <c r="D45">
        <v>8</v>
      </c>
      <c r="E45" t="s">
        <v>30</v>
      </c>
      <c r="F45" t="s">
        <v>78</v>
      </c>
      <c r="G45" t="s">
        <v>65</v>
      </c>
      <c r="H45" s="1">
        <v>44121</v>
      </c>
      <c r="I45" t="s">
        <v>118</v>
      </c>
      <c r="J45" s="10" t="s">
        <v>25</v>
      </c>
      <c r="K45" t="s">
        <v>68</v>
      </c>
      <c r="L45" t="s">
        <v>119</v>
      </c>
    </row>
    <row r="46" spans="1:12" x14ac:dyDescent="0.25">
      <c r="A46" t="s">
        <v>115</v>
      </c>
      <c r="B46" s="2">
        <v>8293</v>
      </c>
      <c r="C46" s="2">
        <v>2632</v>
      </c>
      <c r="D46">
        <v>8</v>
      </c>
      <c r="E46" t="s">
        <v>30</v>
      </c>
      <c r="F46" t="s">
        <v>78</v>
      </c>
      <c r="G46" t="s">
        <v>65</v>
      </c>
      <c r="H46" s="1">
        <v>45159</v>
      </c>
      <c r="I46" t="s">
        <v>120</v>
      </c>
      <c r="J46" s="10" t="s">
        <v>42</v>
      </c>
      <c r="K46" t="s">
        <v>43</v>
      </c>
      <c r="L46" t="s">
        <v>121</v>
      </c>
    </row>
    <row r="47" spans="1:12" x14ac:dyDescent="0.25">
      <c r="A47" t="s">
        <v>115</v>
      </c>
      <c r="B47" s="2">
        <v>2863</v>
      </c>
      <c r="C47" s="2">
        <v>205</v>
      </c>
      <c r="D47">
        <v>17</v>
      </c>
      <c r="E47" t="s">
        <v>13</v>
      </c>
      <c r="F47" t="s">
        <v>82</v>
      </c>
      <c r="G47" t="s">
        <v>15</v>
      </c>
      <c r="H47" s="1">
        <v>44566</v>
      </c>
      <c r="I47" t="s">
        <v>116</v>
      </c>
      <c r="J47" s="10" t="s">
        <v>98</v>
      </c>
      <c r="K47" t="s">
        <v>117</v>
      </c>
      <c r="L47" t="s">
        <v>87</v>
      </c>
    </row>
    <row r="48" spans="1:12" x14ac:dyDescent="0.25">
      <c r="A48" t="s">
        <v>115</v>
      </c>
      <c r="B48" s="2">
        <v>2863</v>
      </c>
      <c r="C48" s="2">
        <v>205</v>
      </c>
      <c r="D48">
        <v>17</v>
      </c>
      <c r="E48" t="s">
        <v>13</v>
      </c>
      <c r="F48" t="s">
        <v>82</v>
      </c>
      <c r="G48" t="s">
        <v>15</v>
      </c>
      <c r="H48" s="1">
        <v>44121</v>
      </c>
      <c r="I48" t="s">
        <v>118</v>
      </c>
      <c r="J48" s="10" t="s">
        <v>25</v>
      </c>
      <c r="K48" t="s">
        <v>68</v>
      </c>
      <c r="L48" t="s">
        <v>119</v>
      </c>
    </row>
    <row r="49" spans="1:12" x14ac:dyDescent="0.25">
      <c r="A49" t="s">
        <v>115</v>
      </c>
      <c r="B49" s="2">
        <v>2863</v>
      </c>
      <c r="C49" s="2">
        <v>205</v>
      </c>
      <c r="D49">
        <v>17</v>
      </c>
      <c r="E49" t="s">
        <v>13</v>
      </c>
      <c r="F49" t="s">
        <v>82</v>
      </c>
      <c r="G49" t="s">
        <v>15</v>
      </c>
      <c r="H49" s="1">
        <v>45159</v>
      </c>
      <c r="I49" t="s">
        <v>120</v>
      </c>
      <c r="J49" s="10" t="s">
        <v>42</v>
      </c>
      <c r="K49" t="s">
        <v>43</v>
      </c>
      <c r="L49" t="s">
        <v>121</v>
      </c>
    </row>
    <row r="50" spans="1:12" x14ac:dyDescent="0.25">
      <c r="A50" t="s">
        <v>122</v>
      </c>
      <c r="B50" s="2">
        <v>3090</v>
      </c>
      <c r="C50" s="2">
        <v>573</v>
      </c>
      <c r="D50">
        <v>6</v>
      </c>
      <c r="E50" t="s">
        <v>45</v>
      </c>
      <c r="F50" t="s">
        <v>46</v>
      </c>
      <c r="G50" t="s">
        <v>40</v>
      </c>
      <c r="H50" s="1">
        <v>45653</v>
      </c>
      <c r="I50" t="s">
        <v>123</v>
      </c>
      <c r="J50" s="10" t="s">
        <v>42</v>
      </c>
      <c r="K50" t="s">
        <v>75</v>
      </c>
      <c r="L50" t="s">
        <v>23</v>
      </c>
    </row>
    <row r="51" spans="1:12" x14ac:dyDescent="0.25">
      <c r="A51" t="s">
        <v>122</v>
      </c>
      <c r="B51" s="2">
        <v>3090</v>
      </c>
      <c r="C51" s="2">
        <v>573</v>
      </c>
      <c r="D51">
        <v>6</v>
      </c>
      <c r="E51" t="s">
        <v>45</v>
      </c>
      <c r="F51" t="s">
        <v>46</v>
      </c>
      <c r="G51" t="s">
        <v>40</v>
      </c>
      <c r="H51" s="1">
        <v>44365</v>
      </c>
      <c r="I51" t="s">
        <v>124</v>
      </c>
      <c r="J51" s="10" t="s">
        <v>98</v>
      </c>
      <c r="K51" t="s">
        <v>107</v>
      </c>
      <c r="L51" t="s">
        <v>125</v>
      </c>
    </row>
    <row r="52" spans="1:12" x14ac:dyDescent="0.25">
      <c r="A52" t="s">
        <v>122</v>
      </c>
      <c r="B52" s="2">
        <v>3090</v>
      </c>
      <c r="C52" s="2">
        <v>573</v>
      </c>
      <c r="D52">
        <v>6</v>
      </c>
      <c r="E52" t="s">
        <v>45</v>
      </c>
      <c r="F52" t="s">
        <v>46</v>
      </c>
      <c r="G52" t="s">
        <v>40</v>
      </c>
      <c r="H52" s="1">
        <v>45073</v>
      </c>
      <c r="I52" t="s">
        <v>126</v>
      </c>
      <c r="J52" s="10" t="s">
        <v>71</v>
      </c>
      <c r="K52" t="s">
        <v>86</v>
      </c>
      <c r="L52" t="s">
        <v>127</v>
      </c>
    </row>
    <row r="53" spans="1:12" x14ac:dyDescent="0.25">
      <c r="A53" t="s">
        <v>122</v>
      </c>
      <c r="B53" s="2">
        <v>3090</v>
      </c>
      <c r="C53" s="2">
        <v>573</v>
      </c>
      <c r="D53">
        <v>6</v>
      </c>
      <c r="E53" t="s">
        <v>45</v>
      </c>
      <c r="F53" t="s">
        <v>46</v>
      </c>
      <c r="G53" t="s">
        <v>40</v>
      </c>
      <c r="H53" s="1">
        <v>44481</v>
      </c>
      <c r="I53" t="s">
        <v>128</v>
      </c>
      <c r="J53" s="10" t="s">
        <v>71</v>
      </c>
      <c r="K53" t="s">
        <v>72</v>
      </c>
      <c r="L53" t="s">
        <v>37</v>
      </c>
    </row>
    <row r="54" spans="1:12" x14ac:dyDescent="0.25">
      <c r="A54" t="s">
        <v>122</v>
      </c>
      <c r="B54" s="2">
        <v>9683</v>
      </c>
      <c r="C54" s="2">
        <v>1014</v>
      </c>
      <c r="D54">
        <v>5</v>
      </c>
      <c r="E54" t="s">
        <v>13</v>
      </c>
      <c r="F54" t="s">
        <v>28</v>
      </c>
      <c r="G54" t="s">
        <v>15</v>
      </c>
      <c r="H54" s="1">
        <v>45653</v>
      </c>
      <c r="I54" t="s">
        <v>123</v>
      </c>
      <c r="J54" s="10" t="s">
        <v>42</v>
      </c>
      <c r="K54" t="s">
        <v>75</v>
      </c>
      <c r="L54" t="s">
        <v>23</v>
      </c>
    </row>
    <row r="55" spans="1:12" x14ac:dyDescent="0.25">
      <c r="A55" t="s">
        <v>122</v>
      </c>
      <c r="B55" s="2">
        <v>9683</v>
      </c>
      <c r="C55" s="2">
        <v>1014</v>
      </c>
      <c r="D55">
        <v>5</v>
      </c>
      <c r="E55" t="s">
        <v>13</v>
      </c>
      <c r="F55" t="s">
        <v>28</v>
      </c>
      <c r="G55" t="s">
        <v>15</v>
      </c>
      <c r="H55" s="1">
        <v>44365</v>
      </c>
      <c r="I55" t="s">
        <v>124</v>
      </c>
      <c r="J55" s="10" t="s">
        <v>98</v>
      </c>
      <c r="K55" t="s">
        <v>107</v>
      </c>
      <c r="L55" t="s">
        <v>125</v>
      </c>
    </row>
    <row r="56" spans="1:12" x14ac:dyDescent="0.25">
      <c r="A56" t="s">
        <v>122</v>
      </c>
      <c r="B56" s="2">
        <v>9683</v>
      </c>
      <c r="C56" s="2">
        <v>1014</v>
      </c>
      <c r="D56">
        <v>5</v>
      </c>
      <c r="E56" t="s">
        <v>13</v>
      </c>
      <c r="F56" t="s">
        <v>28</v>
      </c>
      <c r="G56" t="s">
        <v>15</v>
      </c>
      <c r="H56" s="1">
        <v>45073</v>
      </c>
      <c r="I56" t="s">
        <v>126</v>
      </c>
      <c r="J56" s="10" t="s">
        <v>71</v>
      </c>
      <c r="K56" t="s">
        <v>86</v>
      </c>
      <c r="L56" t="s">
        <v>127</v>
      </c>
    </row>
    <row r="57" spans="1:12" x14ac:dyDescent="0.25">
      <c r="A57" t="s">
        <v>122</v>
      </c>
      <c r="B57" s="2">
        <v>9683</v>
      </c>
      <c r="C57" s="2">
        <v>1014</v>
      </c>
      <c r="D57">
        <v>5</v>
      </c>
      <c r="E57" t="s">
        <v>13</v>
      </c>
      <c r="F57" t="s">
        <v>28</v>
      </c>
      <c r="G57" t="s">
        <v>15</v>
      </c>
      <c r="H57" s="1">
        <v>44481</v>
      </c>
      <c r="I57" t="s">
        <v>128</v>
      </c>
      <c r="J57" s="10" t="s">
        <v>71</v>
      </c>
      <c r="K57" t="s">
        <v>72</v>
      </c>
      <c r="L57" t="s">
        <v>37</v>
      </c>
    </row>
    <row r="58" spans="1:12" x14ac:dyDescent="0.25">
      <c r="A58" t="s">
        <v>129</v>
      </c>
      <c r="B58" s="2">
        <v>2463</v>
      </c>
      <c r="C58" s="2">
        <v>648</v>
      </c>
      <c r="D58">
        <v>18</v>
      </c>
      <c r="E58" t="s">
        <v>45</v>
      </c>
      <c r="F58" t="s">
        <v>46</v>
      </c>
      <c r="G58" t="s">
        <v>40</v>
      </c>
      <c r="H58" s="1">
        <v>44823</v>
      </c>
      <c r="I58" t="s">
        <v>130</v>
      </c>
      <c r="J58" s="10" t="s">
        <v>98</v>
      </c>
      <c r="K58" t="s">
        <v>107</v>
      </c>
      <c r="L58" t="s">
        <v>131</v>
      </c>
    </row>
    <row r="59" spans="1:12" x14ac:dyDescent="0.25">
      <c r="A59" t="s">
        <v>132</v>
      </c>
      <c r="B59" s="2">
        <v>7811</v>
      </c>
      <c r="C59" s="2">
        <v>1538</v>
      </c>
      <c r="D59">
        <v>12</v>
      </c>
      <c r="E59" t="s">
        <v>45</v>
      </c>
      <c r="F59" t="s">
        <v>60</v>
      </c>
      <c r="G59" t="s">
        <v>65</v>
      </c>
      <c r="H59" s="1">
        <v>44645</v>
      </c>
      <c r="I59" t="s">
        <v>133</v>
      </c>
      <c r="J59" s="10" t="s">
        <v>17</v>
      </c>
      <c r="K59" t="s">
        <v>18</v>
      </c>
      <c r="L59" t="s">
        <v>134</v>
      </c>
    </row>
    <row r="60" spans="1:12" x14ac:dyDescent="0.25">
      <c r="A60" t="s">
        <v>135</v>
      </c>
      <c r="B60" s="2">
        <v>6139</v>
      </c>
      <c r="C60" s="2">
        <v>451</v>
      </c>
      <c r="D60">
        <v>10</v>
      </c>
      <c r="E60" t="s">
        <v>45</v>
      </c>
      <c r="F60" t="s">
        <v>46</v>
      </c>
      <c r="G60" t="s">
        <v>32</v>
      </c>
      <c r="H60" s="1">
        <v>44618</v>
      </c>
      <c r="I60" t="s">
        <v>136</v>
      </c>
      <c r="J60" s="10" t="s">
        <v>17</v>
      </c>
      <c r="K60" t="s">
        <v>34</v>
      </c>
      <c r="L60" t="s">
        <v>137</v>
      </c>
    </row>
    <row r="61" spans="1:12" x14ac:dyDescent="0.25">
      <c r="A61" t="s">
        <v>135</v>
      </c>
      <c r="B61" s="2">
        <v>6139</v>
      </c>
      <c r="C61" s="2">
        <v>451</v>
      </c>
      <c r="D61">
        <v>10</v>
      </c>
      <c r="E61" t="s">
        <v>45</v>
      </c>
      <c r="F61" t="s">
        <v>46</v>
      </c>
      <c r="G61" t="s">
        <v>32</v>
      </c>
      <c r="H61" s="1">
        <v>44291</v>
      </c>
      <c r="I61" t="s">
        <v>91</v>
      </c>
      <c r="J61" s="10" t="s">
        <v>71</v>
      </c>
      <c r="K61" t="s">
        <v>138</v>
      </c>
      <c r="L61" t="s">
        <v>139</v>
      </c>
    </row>
    <row r="62" spans="1:12" x14ac:dyDescent="0.25">
      <c r="A62" t="s">
        <v>135</v>
      </c>
      <c r="B62" s="2">
        <v>8636</v>
      </c>
      <c r="C62" s="2">
        <v>3192</v>
      </c>
      <c r="D62">
        <v>3</v>
      </c>
      <c r="E62" t="s">
        <v>45</v>
      </c>
      <c r="F62" t="s">
        <v>49</v>
      </c>
      <c r="G62" t="s">
        <v>65</v>
      </c>
      <c r="H62" s="1">
        <v>44618</v>
      </c>
      <c r="I62" t="s">
        <v>136</v>
      </c>
      <c r="J62" s="10" t="s">
        <v>17</v>
      </c>
      <c r="K62" t="s">
        <v>34</v>
      </c>
      <c r="L62" t="s">
        <v>137</v>
      </c>
    </row>
    <row r="63" spans="1:12" x14ac:dyDescent="0.25">
      <c r="A63" t="s">
        <v>135</v>
      </c>
      <c r="B63" s="2">
        <v>8636</v>
      </c>
      <c r="C63" s="2">
        <v>3192</v>
      </c>
      <c r="D63">
        <v>3</v>
      </c>
      <c r="E63" t="s">
        <v>45</v>
      </c>
      <c r="F63" t="s">
        <v>49</v>
      </c>
      <c r="G63" t="s">
        <v>65</v>
      </c>
      <c r="H63" s="1">
        <v>44291</v>
      </c>
      <c r="I63" t="s">
        <v>91</v>
      </c>
      <c r="J63" s="10" t="s">
        <v>71</v>
      </c>
      <c r="K63" t="s">
        <v>138</v>
      </c>
      <c r="L63" t="s">
        <v>139</v>
      </c>
    </row>
    <row r="64" spans="1:12" x14ac:dyDescent="0.25">
      <c r="A64" t="s">
        <v>135</v>
      </c>
      <c r="B64" s="2">
        <v>4439</v>
      </c>
      <c r="C64" s="2">
        <v>1712</v>
      </c>
      <c r="D64">
        <v>19</v>
      </c>
      <c r="E64" t="s">
        <v>45</v>
      </c>
      <c r="F64" t="s">
        <v>60</v>
      </c>
      <c r="G64" t="s">
        <v>47</v>
      </c>
      <c r="H64" s="1">
        <v>44618</v>
      </c>
      <c r="I64" t="s">
        <v>136</v>
      </c>
      <c r="J64" s="10" t="s">
        <v>17</v>
      </c>
      <c r="K64" t="s">
        <v>34</v>
      </c>
      <c r="L64" t="s">
        <v>137</v>
      </c>
    </row>
    <row r="65" spans="1:12" x14ac:dyDescent="0.25">
      <c r="A65" t="s">
        <v>135</v>
      </c>
      <c r="B65" s="2">
        <v>4439</v>
      </c>
      <c r="C65" s="2">
        <v>1712</v>
      </c>
      <c r="D65">
        <v>19</v>
      </c>
      <c r="E65" t="s">
        <v>45</v>
      </c>
      <c r="F65" t="s">
        <v>60</v>
      </c>
      <c r="G65" t="s">
        <v>47</v>
      </c>
      <c r="H65" s="1">
        <v>44291</v>
      </c>
      <c r="I65" t="s">
        <v>91</v>
      </c>
      <c r="J65" s="10" t="s">
        <v>71</v>
      </c>
      <c r="K65" t="s">
        <v>138</v>
      </c>
      <c r="L65" t="s">
        <v>139</v>
      </c>
    </row>
    <row r="66" spans="1:12" x14ac:dyDescent="0.25">
      <c r="A66" t="s">
        <v>140</v>
      </c>
      <c r="B66" s="2">
        <v>1016</v>
      </c>
      <c r="C66" s="2">
        <v>172</v>
      </c>
      <c r="D66">
        <v>20</v>
      </c>
      <c r="E66" t="s">
        <v>45</v>
      </c>
      <c r="F66" t="s">
        <v>46</v>
      </c>
      <c r="G66" t="s">
        <v>32</v>
      </c>
      <c r="H66" s="1">
        <v>44151</v>
      </c>
      <c r="I66" t="s">
        <v>141</v>
      </c>
      <c r="J66" s="10" t="s">
        <v>25</v>
      </c>
      <c r="K66" t="s">
        <v>26</v>
      </c>
      <c r="L66" t="s">
        <v>80</v>
      </c>
    </row>
    <row r="67" spans="1:12" x14ac:dyDescent="0.25">
      <c r="A67" t="s">
        <v>140</v>
      </c>
      <c r="B67" s="2">
        <v>5768</v>
      </c>
      <c r="C67" s="2">
        <v>2059</v>
      </c>
      <c r="D67">
        <v>14</v>
      </c>
      <c r="E67" t="s">
        <v>45</v>
      </c>
      <c r="F67" t="s">
        <v>46</v>
      </c>
      <c r="G67" t="s">
        <v>15</v>
      </c>
      <c r="H67" s="1">
        <v>44151</v>
      </c>
      <c r="I67" t="s">
        <v>141</v>
      </c>
      <c r="J67" s="10" t="s">
        <v>25</v>
      </c>
      <c r="K67" t="s">
        <v>26</v>
      </c>
      <c r="L67" t="s">
        <v>80</v>
      </c>
    </row>
    <row r="68" spans="1:12" x14ac:dyDescent="0.25">
      <c r="A68" t="s">
        <v>140</v>
      </c>
      <c r="B68" s="2">
        <v>1217</v>
      </c>
      <c r="C68" s="2">
        <v>151</v>
      </c>
      <c r="D68">
        <v>3</v>
      </c>
      <c r="E68" t="s">
        <v>45</v>
      </c>
      <c r="F68" t="s">
        <v>46</v>
      </c>
      <c r="G68" t="s">
        <v>47</v>
      </c>
      <c r="H68" s="1">
        <v>44151</v>
      </c>
      <c r="I68" t="s">
        <v>141</v>
      </c>
      <c r="J68" s="10" t="s">
        <v>25</v>
      </c>
      <c r="K68" t="s">
        <v>26</v>
      </c>
      <c r="L68" t="s">
        <v>80</v>
      </c>
    </row>
    <row r="69" spans="1:12" x14ac:dyDescent="0.25">
      <c r="A69" t="s">
        <v>142</v>
      </c>
      <c r="B69" s="2">
        <v>953</v>
      </c>
      <c r="C69" s="2">
        <v>93</v>
      </c>
      <c r="D69">
        <v>2</v>
      </c>
      <c r="E69" t="s">
        <v>30</v>
      </c>
      <c r="F69" t="s">
        <v>64</v>
      </c>
      <c r="G69" t="s">
        <v>32</v>
      </c>
      <c r="H69" s="1">
        <v>45638</v>
      </c>
      <c r="I69" t="s">
        <v>143</v>
      </c>
      <c r="J69" s="10" t="s">
        <v>98</v>
      </c>
      <c r="K69" t="s">
        <v>117</v>
      </c>
      <c r="L69" t="s">
        <v>23</v>
      </c>
    </row>
    <row r="70" spans="1:12" x14ac:dyDescent="0.25">
      <c r="A70" t="s">
        <v>142</v>
      </c>
      <c r="B70" s="2">
        <v>953</v>
      </c>
      <c r="C70" s="2">
        <v>93</v>
      </c>
      <c r="D70">
        <v>2</v>
      </c>
      <c r="E70" t="s">
        <v>30</v>
      </c>
      <c r="F70" t="s">
        <v>64</v>
      </c>
      <c r="G70" t="s">
        <v>32</v>
      </c>
      <c r="H70" s="1">
        <v>45022</v>
      </c>
      <c r="I70" t="s">
        <v>144</v>
      </c>
      <c r="J70" s="10" t="s">
        <v>42</v>
      </c>
      <c r="K70" t="s">
        <v>43</v>
      </c>
      <c r="L70" t="s">
        <v>145</v>
      </c>
    </row>
    <row r="71" spans="1:12" x14ac:dyDescent="0.25">
      <c r="A71" t="s">
        <v>142</v>
      </c>
      <c r="B71" s="2">
        <v>7355</v>
      </c>
      <c r="C71" s="2">
        <v>1034</v>
      </c>
      <c r="D71">
        <v>3</v>
      </c>
      <c r="E71" t="s">
        <v>45</v>
      </c>
      <c r="F71" t="s">
        <v>60</v>
      </c>
      <c r="G71" t="s">
        <v>65</v>
      </c>
      <c r="H71" s="1">
        <v>45638</v>
      </c>
      <c r="I71" t="s">
        <v>143</v>
      </c>
      <c r="J71" s="10" t="s">
        <v>98</v>
      </c>
      <c r="K71" t="s">
        <v>117</v>
      </c>
      <c r="L71" t="s">
        <v>23</v>
      </c>
    </row>
    <row r="72" spans="1:12" x14ac:dyDescent="0.25">
      <c r="A72" t="s">
        <v>142</v>
      </c>
      <c r="B72" s="2">
        <v>7355</v>
      </c>
      <c r="C72" s="2">
        <v>1034</v>
      </c>
      <c r="D72">
        <v>3</v>
      </c>
      <c r="E72" t="s">
        <v>45</v>
      </c>
      <c r="F72" t="s">
        <v>60</v>
      </c>
      <c r="G72" t="s">
        <v>65</v>
      </c>
      <c r="H72" s="1">
        <v>45022</v>
      </c>
      <c r="I72" t="s">
        <v>144</v>
      </c>
      <c r="J72" s="10" t="s">
        <v>42</v>
      </c>
      <c r="K72" t="s">
        <v>43</v>
      </c>
      <c r="L72" t="s">
        <v>145</v>
      </c>
    </row>
    <row r="73" spans="1:12" x14ac:dyDescent="0.25">
      <c r="A73" t="s">
        <v>142</v>
      </c>
      <c r="B73" s="2">
        <v>1843</v>
      </c>
      <c r="C73" s="2">
        <v>248</v>
      </c>
      <c r="D73">
        <v>3</v>
      </c>
      <c r="E73" t="s">
        <v>13</v>
      </c>
      <c r="F73" t="s">
        <v>82</v>
      </c>
      <c r="G73" t="s">
        <v>47</v>
      </c>
      <c r="H73" s="1">
        <v>45638</v>
      </c>
      <c r="I73" t="s">
        <v>143</v>
      </c>
      <c r="J73" s="10" t="s">
        <v>98</v>
      </c>
      <c r="K73" t="s">
        <v>117</v>
      </c>
      <c r="L73" t="s">
        <v>23</v>
      </c>
    </row>
    <row r="74" spans="1:12" x14ac:dyDescent="0.25">
      <c r="A74" t="s">
        <v>142</v>
      </c>
      <c r="B74" s="2">
        <v>1843</v>
      </c>
      <c r="C74" s="2">
        <v>248</v>
      </c>
      <c r="D74">
        <v>3</v>
      </c>
      <c r="E74" t="s">
        <v>13</v>
      </c>
      <c r="F74" t="s">
        <v>82</v>
      </c>
      <c r="G74" t="s">
        <v>47</v>
      </c>
      <c r="H74" s="1">
        <v>45022</v>
      </c>
      <c r="I74" t="s">
        <v>144</v>
      </c>
      <c r="J74" s="10" t="s">
        <v>42</v>
      </c>
      <c r="K74" t="s">
        <v>43</v>
      </c>
      <c r="L74" t="s">
        <v>145</v>
      </c>
    </row>
    <row r="75" spans="1:12" x14ac:dyDescent="0.25">
      <c r="A75" t="s">
        <v>142</v>
      </c>
      <c r="B75" s="2">
        <v>1603</v>
      </c>
      <c r="C75" s="2">
        <v>361</v>
      </c>
      <c r="D75">
        <v>10</v>
      </c>
      <c r="E75" t="s">
        <v>30</v>
      </c>
      <c r="F75" t="s">
        <v>31</v>
      </c>
      <c r="G75" t="s">
        <v>32</v>
      </c>
      <c r="H75" s="1">
        <v>45638</v>
      </c>
      <c r="I75" t="s">
        <v>143</v>
      </c>
      <c r="J75" s="10" t="s">
        <v>98</v>
      </c>
      <c r="K75" t="s">
        <v>117</v>
      </c>
      <c r="L75" t="s">
        <v>23</v>
      </c>
    </row>
    <row r="76" spans="1:12" x14ac:dyDescent="0.25">
      <c r="A76" t="s">
        <v>142</v>
      </c>
      <c r="B76" s="2">
        <v>1603</v>
      </c>
      <c r="C76" s="2">
        <v>361</v>
      </c>
      <c r="D76">
        <v>10</v>
      </c>
      <c r="E76" t="s">
        <v>30</v>
      </c>
      <c r="F76" t="s">
        <v>31</v>
      </c>
      <c r="G76" t="s">
        <v>32</v>
      </c>
      <c r="H76" s="1">
        <v>45022</v>
      </c>
      <c r="I76" t="s">
        <v>144</v>
      </c>
      <c r="J76" s="10" t="s">
        <v>42</v>
      </c>
      <c r="K76" t="s">
        <v>43</v>
      </c>
      <c r="L76" t="s">
        <v>145</v>
      </c>
    </row>
    <row r="77" spans="1:12" x14ac:dyDescent="0.25">
      <c r="A77" t="s">
        <v>146</v>
      </c>
      <c r="B77" s="2">
        <v>2025</v>
      </c>
      <c r="C77" s="2">
        <v>528</v>
      </c>
      <c r="D77">
        <v>1</v>
      </c>
      <c r="E77" t="s">
        <v>30</v>
      </c>
      <c r="F77" t="s">
        <v>31</v>
      </c>
      <c r="G77" t="s">
        <v>47</v>
      </c>
      <c r="H77" s="1">
        <v>45319</v>
      </c>
      <c r="I77" t="s">
        <v>147</v>
      </c>
      <c r="J77" s="10" t="s">
        <v>17</v>
      </c>
      <c r="K77" t="s">
        <v>18</v>
      </c>
      <c r="L77" t="s">
        <v>76</v>
      </c>
    </row>
    <row r="78" spans="1:12" x14ac:dyDescent="0.25">
      <c r="A78" t="s">
        <v>146</v>
      </c>
      <c r="B78" s="2">
        <v>6800</v>
      </c>
      <c r="C78" s="2">
        <v>167</v>
      </c>
      <c r="D78">
        <v>16</v>
      </c>
      <c r="E78" t="s">
        <v>30</v>
      </c>
      <c r="F78" t="s">
        <v>78</v>
      </c>
      <c r="G78" t="s">
        <v>40</v>
      </c>
      <c r="H78" s="1">
        <v>45319</v>
      </c>
      <c r="I78" t="s">
        <v>147</v>
      </c>
      <c r="J78" s="10" t="s">
        <v>17</v>
      </c>
      <c r="K78" t="s">
        <v>18</v>
      </c>
      <c r="L78" t="s">
        <v>76</v>
      </c>
    </row>
    <row r="79" spans="1:12" x14ac:dyDescent="0.25">
      <c r="A79" t="s">
        <v>148</v>
      </c>
      <c r="B79" s="2">
        <v>1126</v>
      </c>
      <c r="C79" s="2">
        <v>55</v>
      </c>
      <c r="D79">
        <v>1</v>
      </c>
      <c r="E79" t="s">
        <v>45</v>
      </c>
      <c r="F79" t="s">
        <v>109</v>
      </c>
      <c r="G79" t="s">
        <v>15</v>
      </c>
      <c r="H79" s="1">
        <v>44577</v>
      </c>
      <c r="I79" t="s">
        <v>149</v>
      </c>
      <c r="J79" s="10" t="s">
        <v>17</v>
      </c>
      <c r="K79" t="s">
        <v>150</v>
      </c>
      <c r="L79" t="s">
        <v>87</v>
      </c>
    </row>
    <row r="80" spans="1:12" x14ac:dyDescent="0.25">
      <c r="A80" t="s">
        <v>148</v>
      </c>
      <c r="B80" s="2">
        <v>1126</v>
      </c>
      <c r="C80" s="2">
        <v>55</v>
      </c>
      <c r="D80">
        <v>1</v>
      </c>
      <c r="E80" t="s">
        <v>45</v>
      </c>
      <c r="F80" t="s">
        <v>109</v>
      </c>
      <c r="G80" t="s">
        <v>15</v>
      </c>
      <c r="H80" s="1">
        <v>44911</v>
      </c>
      <c r="I80" t="s">
        <v>151</v>
      </c>
      <c r="J80" s="10" t="s">
        <v>25</v>
      </c>
      <c r="K80" t="s">
        <v>26</v>
      </c>
      <c r="L80" t="s">
        <v>152</v>
      </c>
    </row>
    <row r="81" spans="1:12" x14ac:dyDescent="0.25">
      <c r="A81" t="s">
        <v>153</v>
      </c>
      <c r="B81" s="2">
        <v>7533</v>
      </c>
      <c r="C81" s="2">
        <v>3508</v>
      </c>
      <c r="D81">
        <v>12</v>
      </c>
      <c r="E81" t="s">
        <v>45</v>
      </c>
      <c r="F81" t="s">
        <v>46</v>
      </c>
      <c r="G81" t="s">
        <v>15</v>
      </c>
      <c r="H81" s="1">
        <v>45120</v>
      </c>
      <c r="I81" t="s">
        <v>154</v>
      </c>
      <c r="J81" s="10" t="s">
        <v>42</v>
      </c>
      <c r="K81" t="s">
        <v>75</v>
      </c>
      <c r="L81" t="s">
        <v>105</v>
      </c>
    </row>
    <row r="82" spans="1:12" x14ac:dyDescent="0.25">
      <c r="A82" t="s">
        <v>153</v>
      </c>
      <c r="B82" s="2">
        <v>4734</v>
      </c>
      <c r="C82" s="2">
        <v>1178</v>
      </c>
      <c r="D82">
        <v>16</v>
      </c>
      <c r="E82" t="s">
        <v>30</v>
      </c>
      <c r="F82" t="s">
        <v>78</v>
      </c>
      <c r="G82" t="s">
        <v>47</v>
      </c>
      <c r="H82" s="1">
        <v>45120</v>
      </c>
      <c r="I82" t="s">
        <v>154</v>
      </c>
      <c r="J82" s="10" t="s">
        <v>42</v>
      </c>
      <c r="K82" t="s">
        <v>75</v>
      </c>
      <c r="L82" t="s">
        <v>105</v>
      </c>
    </row>
    <row r="83" spans="1:12" x14ac:dyDescent="0.25">
      <c r="A83" t="s">
        <v>153</v>
      </c>
      <c r="B83" s="2">
        <v>4074</v>
      </c>
      <c r="C83" s="2">
        <v>1175</v>
      </c>
      <c r="D83">
        <v>6</v>
      </c>
      <c r="E83" t="s">
        <v>13</v>
      </c>
      <c r="F83" t="s">
        <v>14</v>
      </c>
      <c r="G83" t="s">
        <v>32</v>
      </c>
      <c r="H83" s="1">
        <v>45120</v>
      </c>
      <c r="I83" t="s">
        <v>154</v>
      </c>
      <c r="J83" s="10" t="s">
        <v>42</v>
      </c>
      <c r="K83" t="s">
        <v>75</v>
      </c>
      <c r="L83" t="s">
        <v>105</v>
      </c>
    </row>
    <row r="84" spans="1:12" x14ac:dyDescent="0.25">
      <c r="A84" t="s">
        <v>153</v>
      </c>
      <c r="B84" s="2">
        <v>2334</v>
      </c>
      <c r="C84" s="2">
        <v>484</v>
      </c>
      <c r="D84">
        <v>3</v>
      </c>
      <c r="E84" t="s">
        <v>45</v>
      </c>
      <c r="F84" t="s">
        <v>60</v>
      </c>
      <c r="G84" t="s">
        <v>47</v>
      </c>
      <c r="H84" s="1">
        <v>45120</v>
      </c>
      <c r="I84" t="s">
        <v>154</v>
      </c>
      <c r="J84" s="10" t="s">
        <v>42</v>
      </c>
      <c r="K84" t="s">
        <v>75</v>
      </c>
      <c r="L84" t="s">
        <v>105</v>
      </c>
    </row>
    <row r="85" spans="1:12" x14ac:dyDescent="0.25">
      <c r="A85" t="s">
        <v>155</v>
      </c>
      <c r="B85" s="2">
        <v>2750</v>
      </c>
      <c r="C85" s="2">
        <v>1239</v>
      </c>
      <c r="D85">
        <v>11</v>
      </c>
      <c r="E85" t="s">
        <v>13</v>
      </c>
      <c r="F85" t="s">
        <v>82</v>
      </c>
      <c r="G85" t="s">
        <v>32</v>
      </c>
      <c r="H85" s="1">
        <v>45726</v>
      </c>
      <c r="I85" t="s">
        <v>156</v>
      </c>
      <c r="J85" s="10" t="s">
        <v>25</v>
      </c>
      <c r="K85" t="s">
        <v>26</v>
      </c>
      <c r="L85" t="s">
        <v>157</v>
      </c>
    </row>
    <row r="86" spans="1:12" x14ac:dyDescent="0.25">
      <c r="A86" t="s">
        <v>155</v>
      </c>
      <c r="B86" s="2">
        <v>2750</v>
      </c>
      <c r="C86" s="2">
        <v>1239</v>
      </c>
      <c r="D86">
        <v>11</v>
      </c>
      <c r="E86" t="s">
        <v>13</v>
      </c>
      <c r="F86" t="s">
        <v>82</v>
      </c>
      <c r="G86" t="s">
        <v>32</v>
      </c>
      <c r="H86" s="1">
        <v>45559</v>
      </c>
      <c r="I86" t="s">
        <v>158</v>
      </c>
      <c r="J86" s="10" t="s">
        <v>98</v>
      </c>
      <c r="K86" t="s">
        <v>117</v>
      </c>
      <c r="L86" t="s">
        <v>159</v>
      </c>
    </row>
    <row r="87" spans="1:12" x14ac:dyDescent="0.25">
      <c r="A87" t="s">
        <v>155</v>
      </c>
      <c r="B87" s="2">
        <v>8639</v>
      </c>
      <c r="C87" s="2">
        <v>3104</v>
      </c>
      <c r="D87">
        <v>19</v>
      </c>
      <c r="E87" t="s">
        <v>30</v>
      </c>
      <c r="F87" t="s">
        <v>31</v>
      </c>
      <c r="G87" t="s">
        <v>40</v>
      </c>
      <c r="H87" s="1">
        <v>45726</v>
      </c>
      <c r="I87" t="s">
        <v>156</v>
      </c>
      <c r="J87" s="10" t="s">
        <v>25</v>
      </c>
      <c r="K87" t="s">
        <v>26</v>
      </c>
      <c r="L87" t="s">
        <v>157</v>
      </c>
    </row>
    <row r="88" spans="1:12" x14ac:dyDescent="0.25">
      <c r="A88" t="s">
        <v>155</v>
      </c>
      <c r="B88" s="2">
        <v>8639</v>
      </c>
      <c r="C88" s="2">
        <v>3104</v>
      </c>
      <c r="D88">
        <v>19</v>
      </c>
      <c r="E88" t="s">
        <v>30</v>
      </c>
      <c r="F88" t="s">
        <v>31</v>
      </c>
      <c r="G88" t="s">
        <v>40</v>
      </c>
      <c r="H88" s="1">
        <v>45559</v>
      </c>
      <c r="I88" t="s">
        <v>158</v>
      </c>
      <c r="J88" s="10" t="s">
        <v>98</v>
      </c>
      <c r="K88" t="s">
        <v>117</v>
      </c>
      <c r="L88" t="s">
        <v>159</v>
      </c>
    </row>
    <row r="89" spans="1:12" x14ac:dyDescent="0.25">
      <c r="A89" t="s">
        <v>160</v>
      </c>
      <c r="B89" s="2">
        <v>3808</v>
      </c>
      <c r="C89" s="2">
        <v>1192</v>
      </c>
      <c r="D89">
        <v>4</v>
      </c>
      <c r="E89" t="s">
        <v>30</v>
      </c>
      <c r="F89" t="s">
        <v>57</v>
      </c>
      <c r="G89" t="s">
        <v>15</v>
      </c>
      <c r="H89" s="1">
        <v>43934</v>
      </c>
      <c r="I89" t="s">
        <v>161</v>
      </c>
      <c r="J89" s="10" t="s">
        <v>25</v>
      </c>
      <c r="K89" t="s">
        <v>51</v>
      </c>
      <c r="L89" t="s">
        <v>162</v>
      </c>
    </row>
    <row r="90" spans="1:12" x14ac:dyDescent="0.25">
      <c r="A90" t="s">
        <v>160</v>
      </c>
      <c r="B90" s="2">
        <v>2588</v>
      </c>
      <c r="C90" s="2">
        <v>705</v>
      </c>
      <c r="D90">
        <v>16</v>
      </c>
      <c r="E90" t="s">
        <v>30</v>
      </c>
      <c r="F90" t="s">
        <v>31</v>
      </c>
      <c r="G90" t="s">
        <v>47</v>
      </c>
      <c r="H90" s="1">
        <v>43934</v>
      </c>
      <c r="I90" t="s">
        <v>161</v>
      </c>
      <c r="J90" s="10" t="s">
        <v>25</v>
      </c>
      <c r="K90" t="s">
        <v>51</v>
      </c>
      <c r="L90" t="s">
        <v>162</v>
      </c>
    </row>
    <row r="91" spans="1:12" x14ac:dyDescent="0.25">
      <c r="A91" t="s">
        <v>163</v>
      </c>
      <c r="B91" s="2">
        <v>1591</v>
      </c>
      <c r="C91" s="2">
        <v>727</v>
      </c>
      <c r="D91">
        <v>5</v>
      </c>
      <c r="E91" t="s">
        <v>13</v>
      </c>
      <c r="F91" t="s">
        <v>14</v>
      </c>
      <c r="G91" t="s">
        <v>47</v>
      </c>
      <c r="H91" s="1">
        <v>44739</v>
      </c>
      <c r="I91" t="s">
        <v>164</v>
      </c>
      <c r="J91" s="10" t="s">
        <v>21</v>
      </c>
      <c r="K91" t="s">
        <v>63</v>
      </c>
      <c r="L91" t="s">
        <v>165</v>
      </c>
    </row>
    <row r="92" spans="1:12" x14ac:dyDescent="0.25">
      <c r="A92" t="s">
        <v>163</v>
      </c>
      <c r="B92" s="2">
        <v>1591</v>
      </c>
      <c r="C92" s="2">
        <v>727</v>
      </c>
      <c r="D92">
        <v>5</v>
      </c>
      <c r="E92" t="s">
        <v>13</v>
      </c>
      <c r="F92" t="s">
        <v>14</v>
      </c>
      <c r="G92" t="s">
        <v>47</v>
      </c>
      <c r="H92" s="1">
        <v>44269</v>
      </c>
      <c r="I92" t="s">
        <v>166</v>
      </c>
      <c r="J92" s="10" t="s">
        <v>17</v>
      </c>
      <c r="K92" t="s">
        <v>150</v>
      </c>
      <c r="L92" t="s">
        <v>167</v>
      </c>
    </row>
    <row r="93" spans="1:12" x14ac:dyDescent="0.25">
      <c r="A93" t="s">
        <v>163</v>
      </c>
      <c r="B93" s="2">
        <v>1591</v>
      </c>
      <c r="C93" s="2">
        <v>727</v>
      </c>
      <c r="D93">
        <v>5</v>
      </c>
      <c r="E93" t="s">
        <v>13</v>
      </c>
      <c r="F93" t="s">
        <v>14</v>
      </c>
      <c r="G93" t="s">
        <v>47</v>
      </c>
      <c r="H93" s="1">
        <v>44615</v>
      </c>
      <c r="I93" t="s">
        <v>168</v>
      </c>
      <c r="J93" s="10" t="s">
        <v>98</v>
      </c>
      <c r="K93" t="s">
        <v>107</v>
      </c>
      <c r="L93" t="s">
        <v>137</v>
      </c>
    </row>
    <row r="94" spans="1:12" x14ac:dyDescent="0.25">
      <c r="A94" t="s">
        <v>169</v>
      </c>
      <c r="B94" s="2">
        <v>1757</v>
      </c>
      <c r="C94" s="2">
        <v>622</v>
      </c>
      <c r="D94">
        <v>10</v>
      </c>
      <c r="E94" t="s">
        <v>45</v>
      </c>
      <c r="F94" t="s">
        <v>49</v>
      </c>
      <c r="G94" t="s">
        <v>15</v>
      </c>
      <c r="H94" s="1">
        <v>44649</v>
      </c>
      <c r="I94" t="s">
        <v>170</v>
      </c>
      <c r="J94" s="10" t="s">
        <v>98</v>
      </c>
      <c r="K94" t="s">
        <v>117</v>
      </c>
      <c r="L94" t="s">
        <v>134</v>
      </c>
    </row>
    <row r="95" spans="1:12" x14ac:dyDescent="0.25">
      <c r="A95" t="s">
        <v>169</v>
      </c>
      <c r="B95" s="2">
        <v>1757</v>
      </c>
      <c r="C95" s="2">
        <v>622</v>
      </c>
      <c r="D95">
        <v>10</v>
      </c>
      <c r="E95" t="s">
        <v>45</v>
      </c>
      <c r="F95" t="s">
        <v>49</v>
      </c>
      <c r="G95" t="s">
        <v>15</v>
      </c>
      <c r="H95" s="1">
        <v>44885</v>
      </c>
      <c r="I95" t="s">
        <v>171</v>
      </c>
      <c r="J95" s="10" t="s">
        <v>21</v>
      </c>
      <c r="K95" t="s">
        <v>172</v>
      </c>
      <c r="L95" t="s">
        <v>44</v>
      </c>
    </row>
    <row r="96" spans="1:12" x14ac:dyDescent="0.25">
      <c r="A96" t="s">
        <v>173</v>
      </c>
      <c r="B96" s="2">
        <v>6940</v>
      </c>
      <c r="C96" s="2">
        <v>253</v>
      </c>
      <c r="D96">
        <v>15</v>
      </c>
      <c r="E96" t="s">
        <v>45</v>
      </c>
      <c r="F96" t="s">
        <v>109</v>
      </c>
      <c r="G96" t="s">
        <v>32</v>
      </c>
      <c r="H96" s="1">
        <v>44512</v>
      </c>
      <c r="I96" t="s">
        <v>174</v>
      </c>
      <c r="J96" s="10" t="s">
        <v>17</v>
      </c>
      <c r="K96" t="s">
        <v>34</v>
      </c>
      <c r="L96" t="s">
        <v>175</v>
      </c>
    </row>
    <row r="97" spans="1:12" x14ac:dyDescent="0.25">
      <c r="A97" t="s">
        <v>173</v>
      </c>
      <c r="B97" s="2">
        <v>5105</v>
      </c>
      <c r="C97" s="2">
        <v>465</v>
      </c>
      <c r="D97">
        <v>5</v>
      </c>
      <c r="E97" t="s">
        <v>13</v>
      </c>
      <c r="F97" t="s">
        <v>28</v>
      </c>
      <c r="G97" t="s">
        <v>15</v>
      </c>
      <c r="H97" s="1">
        <v>44512</v>
      </c>
      <c r="I97" t="s">
        <v>174</v>
      </c>
      <c r="J97" s="10" t="s">
        <v>17</v>
      </c>
      <c r="K97" t="s">
        <v>34</v>
      </c>
      <c r="L97" t="s">
        <v>175</v>
      </c>
    </row>
    <row r="98" spans="1:12" x14ac:dyDescent="0.25">
      <c r="A98" t="s">
        <v>176</v>
      </c>
      <c r="B98" s="2">
        <v>5578</v>
      </c>
      <c r="C98" s="2">
        <v>277</v>
      </c>
      <c r="D98">
        <v>16</v>
      </c>
      <c r="E98" t="s">
        <v>45</v>
      </c>
      <c r="F98" t="s">
        <v>46</v>
      </c>
      <c r="G98" t="s">
        <v>65</v>
      </c>
      <c r="H98" s="1">
        <v>44425</v>
      </c>
      <c r="I98" t="s">
        <v>177</v>
      </c>
      <c r="J98" s="10" t="s">
        <v>17</v>
      </c>
      <c r="K98" t="s">
        <v>18</v>
      </c>
      <c r="L98" t="s">
        <v>178</v>
      </c>
    </row>
    <row r="99" spans="1:12" x14ac:dyDescent="0.25">
      <c r="A99" t="s">
        <v>176</v>
      </c>
      <c r="B99" s="2">
        <v>5578</v>
      </c>
      <c r="C99" s="2">
        <v>277</v>
      </c>
      <c r="D99">
        <v>16</v>
      </c>
      <c r="E99" t="s">
        <v>45</v>
      </c>
      <c r="F99" t="s">
        <v>46</v>
      </c>
      <c r="G99" t="s">
        <v>65</v>
      </c>
      <c r="H99" s="1">
        <v>44697</v>
      </c>
      <c r="I99" t="s">
        <v>179</v>
      </c>
      <c r="J99" s="10" t="s">
        <v>98</v>
      </c>
      <c r="K99" t="s">
        <v>99</v>
      </c>
      <c r="L99" t="s">
        <v>180</v>
      </c>
    </row>
    <row r="100" spans="1:12" x14ac:dyDescent="0.25">
      <c r="A100" t="s">
        <v>181</v>
      </c>
      <c r="B100" s="2">
        <v>5224</v>
      </c>
      <c r="C100" s="2">
        <v>1958</v>
      </c>
      <c r="D100">
        <v>16</v>
      </c>
      <c r="E100" t="s">
        <v>45</v>
      </c>
      <c r="F100" t="s">
        <v>49</v>
      </c>
      <c r="G100" t="s">
        <v>47</v>
      </c>
      <c r="H100" s="1">
        <v>45123</v>
      </c>
      <c r="I100" t="s">
        <v>182</v>
      </c>
      <c r="J100" s="10" t="s">
        <v>71</v>
      </c>
      <c r="K100" t="s">
        <v>138</v>
      </c>
      <c r="L100" t="s">
        <v>105</v>
      </c>
    </row>
    <row r="101" spans="1:12" x14ac:dyDescent="0.25">
      <c r="A101" t="s">
        <v>181</v>
      </c>
      <c r="B101" s="2">
        <v>5002</v>
      </c>
      <c r="C101" s="2">
        <v>1801</v>
      </c>
      <c r="D101">
        <v>11</v>
      </c>
      <c r="E101" t="s">
        <v>30</v>
      </c>
      <c r="F101" t="s">
        <v>57</v>
      </c>
      <c r="G101" t="s">
        <v>47</v>
      </c>
      <c r="H101" s="1">
        <v>45123</v>
      </c>
      <c r="I101" t="s">
        <v>182</v>
      </c>
      <c r="J101" s="10" t="s">
        <v>71</v>
      </c>
      <c r="K101" t="s">
        <v>138</v>
      </c>
      <c r="L101" t="s">
        <v>105</v>
      </c>
    </row>
    <row r="102" spans="1:12" x14ac:dyDescent="0.25">
      <c r="A102" t="s">
        <v>181</v>
      </c>
      <c r="B102" s="2">
        <v>7380</v>
      </c>
      <c r="C102" s="2">
        <v>1673</v>
      </c>
      <c r="D102">
        <v>18</v>
      </c>
      <c r="E102" t="s">
        <v>30</v>
      </c>
      <c r="F102" t="s">
        <v>57</v>
      </c>
      <c r="G102" t="s">
        <v>65</v>
      </c>
      <c r="H102" s="1">
        <v>45123</v>
      </c>
      <c r="I102" t="s">
        <v>182</v>
      </c>
      <c r="J102" s="10" t="s">
        <v>71</v>
      </c>
      <c r="K102" t="s">
        <v>138</v>
      </c>
      <c r="L102" t="s">
        <v>105</v>
      </c>
    </row>
    <row r="103" spans="1:12" x14ac:dyDescent="0.25">
      <c r="A103" t="s">
        <v>183</v>
      </c>
      <c r="B103" s="2">
        <v>7595</v>
      </c>
      <c r="C103" s="2">
        <v>2873</v>
      </c>
      <c r="D103">
        <v>4</v>
      </c>
      <c r="E103" t="s">
        <v>45</v>
      </c>
      <c r="F103" t="s">
        <v>49</v>
      </c>
      <c r="G103" t="s">
        <v>32</v>
      </c>
      <c r="H103" s="1">
        <v>44061</v>
      </c>
      <c r="I103" t="s">
        <v>184</v>
      </c>
      <c r="J103" s="10" t="s">
        <v>42</v>
      </c>
      <c r="K103" t="s">
        <v>43</v>
      </c>
      <c r="L103" t="s">
        <v>185</v>
      </c>
    </row>
    <row r="104" spans="1:12" x14ac:dyDescent="0.25">
      <c r="A104" t="s">
        <v>183</v>
      </c>
      <c r="B104" s="2">
        <v>7595</v>
      </c>
      <c r="C104" s="2">
        <v>2873</v>
      </c>
      <c r="D104">
        <v>4</v>
      </c>
      <c r="E104" t="s">
        <v>45</v>
      </c>
      <c r="F104" t="s">
        <v>49</v>
      </c>
      <c r="G104" t="s">
        <v>32</v>
      </c>
      <c r="H104" s="1">
        <v>44670</v>
      </c>
      <c r="I104" t="s">
        <v>186</v>
      </c>
      <c r="J104" s="10" t="s">
        <v>25</v>
      </c>
      <c r="K104" t="s">
        <v>68</v>
      </c>
      <c r="L104" t="s">
        <v>187</v>
      </c>
    </row>
    <row r="105" spans="1:12" x14ac:dyDescent="0.25">
      <c r="A105" t="s">
        <v>188</v>
      </c>
      <c r="B105" s="2">
        <v>1954</v>
      </c>
      <c r="C105" s="2">
        <v>294</v>
      </c>
      <c r="D105">
        <v>7</v>
      </c>
      <c r="E105" t="s">
        <v>45</v>
      </c>
      <c r="F105" t="s">
        <v>60</v>
      </c>
      <c r="G105" t="s">
        <v>32</v>
      </c>
      <c r="H105" s="1">
        <v>44918</v>
      </c>
      <c r="I105" t="s">
        <v>189</v>
      </c>
      <c r="J105" s="10" t="s">
        <v>71</v>
      </c>
      <c r="K105" t="s">
        <v>86</v>
      </c>
      <c r="L105" t="s">
        <v>152</v>
      </c>
    </row>
    <row r="106" spans="1:12" x14ac:dyDescent="0.25">
      <c r="A106" t="s">
        <v>190</v>
      </c>
      <c r="B106" s="2">
        <v>523</v>
      </c>
      <c r="C106" s="2">
        <v>95</v>
      </c>
      <c r="D106">
        <v>20</v>
      </c>
      <c r="E106" t="s">
        <v>13</v>
      </c>
      <c r="F106" t="s">
        <v>28</v>
      </c>
      <c r="G106" t="s">
        <v>40</v>
      </c>
      <c r="H106" s="1">
        <v>45633</v>
      </c>
      <c r="I106" t="s">
        <v>191</v>
      </c>
      <c r="J106" s="10" t="s">
        <v>71</v>
      </c>
      <c r="K106" t="s">
        <v>72</v>
      </c>
      <c r="L106" t="s">
        <v>23</v>
      </c>
    </row>
    <row r="107" spans="1:12" x14ac:dyDescent="0.25">
      <c r="A107" t="s">
        <v>192</v>
      </c>
      <c r="B107" s="2">
        <v>5704</v>
      </c>
      <c r="C107" s="2">
        <v>714</v>
      </c>
      <c r="D107">
        <v>13</v>
      </c>
      <c r="E107" t="s">
        <v>13</v>
      </c>
      <c r="F107" t="s">
        <v>39</v>
      </c>
      <c r="G107" t="s">
        <v>40</v>
      </c>
      <c r="H107" s="1">
        <v>44595</v>
      </c>
      <c r="I107" t="s">
        <v>193</v>
      </c>
      <c r="J107" s="10" t="s">
        <v>71</v>
      </c>
      <c r="K107" t="s">
        <v>86</v>
      </c>
      <c r="L107" t="s">
        <v>137</v>
      </c>
    </row>
    <row r="108" spans="1:12" x14ac:dyDescent="0.25">
      <c r="A108" t="s">
        <v>192</v>
      </c>
      <c r="B108" s="2">
        <v>5704</v>
      </c>
      <c r="C108" s="2">
        <v>714</v>
      </c>
      <c r="D108">
        <v>13</v>
      </c>
      <c r="E108" t="s">
        <v>13</v>
      </c>
      <c r="F108" t="s">
        <v>39</v>
      </c>
      <c r="G108" t="s">
        <v>40</v>
      </c>
      <c r="H108" s="1">
        <v>44542</v>
      </c>
      <c r="I108" t="s">
        <v>194</v>
      </c>
      <c r="J108" s="10" t="s">
        <v>42</v>
      </c>
      <c r="K108" t="s">
        <v>75</v>
      </c>
      <c r="L108" t="s">
        <v>90</v>
      </c>
    </row>
    <row r="109" spans="1:12" x14ac:dyDescent="0.25">
      <c r="A109" t="s">
        <v>192</v>
      </c>
      <c r="B109" s="2">
        <v>8797</v>
      </c>
      <c r="C109" s="2">
        <v>1010</v>
      </c>
      <c r="D109">
        <v>8</v>
      </c>
      <c r="E109" t="s">
        <v>45</v>
      </c>
      <c r="F109" t="s">
        <v>46</v>
      </c>
      <c r="G109" t="s">
        <v>15</v>
      </c>
      <c r="H109" s="1">
        <v>44595</v>
      </c>
      <c r="I109" t="s">
        <v>193</v>
      </c>
      <c r="J109" s="10" t="s">
        <v>71</v>
      </c>
      <c r="K109" t="s">
        <v>86</v>
      </c>
      <c r="L109" t="s">
        <v>137</v>
      </c>
    </row>
    <row r="110" spans="1:12" x14ac:dyDescent="0.25">
      <c r="A110" t="s">
        <v>192</v>
      </c>
      <c r="B110" s="2">
        <v>8797</v>
      </c>
      <c r="C110" s="2">
        <v>1010</v>
      </c>
      <c r="D110">
        <v>8</v>
      </c>
      <c r="E110" t="s">
        <v>45</v>
      </c>
      <c r="F110" t="s">
        <v>46</v>
      </c>
      <c r="G110" t="s">
        <v>15</v>
      </c>
      <c r="H110" s="1">
        <v>44542</v>
      </c>
      <c r="I110" t="s">
        <v>194</v>
      </c>
      <c r="J110" s="10" t="s">
        <v>42</v>
      </c>
      <c r="K110" t="s">
        <v>75</v>
      </c>
      <c r="L110" t="s">
        <v>90</v>
      </c>
    </row>
    <row r="111" spans="1:12" x14ac:dyDescent="0.25">
      <c r="A111" t="s">
        <v>192</v>
      </c>
      <c r="B111" s="2">
        <v>9236</v>
      </c>
      <c r="C111" s="2">
        <v>2899</v>
      </c>
      <c r="D111">
        <v>5</v>
      </c>
      <c r="E111" t="s">
        <v>13</v>
      </c>
      <c r="F111" t="s">
        <v>39</v>
      </c>
      <c r="G111" t="s">
        <v>32</v>
      </c>
      <c r="H111" s="1">
        <v>44595</v>
      </c>
      <c r="I111" t="s">
        <v>193</v>
      </c>
      <c r="J111" s="10" t="s">
        <v>71</v>
      </c>
      <c r="K111" t="s">
        <v>86</v>
      </c>
      <c r="L111" t="s">
        <v>137</v>
      </c>
    </row>
    <row r="112" spans="1:12" x14ac:dyDescent="0.25">
      <c r="A112" t="s">
        <v>192</v>
      </c>
      <c r="B112" s="2">
        <v>9236</v>
      </c>
      <c r="C112" s="2">
        <v>2899</v>
      </c>
      <c r="D112">
        <v>5</v>
      </c>
      <c r="E112" t="s">
        <v>13</v>
      </c>
      <c r="F112" t="s">
        <v>39</v>
      </c>
      <c r="G112" t="s">
        <v>32</v>
      </c>
      <c r="H112" s="1">
        <v>44542</v>
      </c>
      <c r="I112" t="s">
        <v>194</v>
      </c>
      <c r="J112" s="10" t="s">
        <v>42</v>
      </c>
      <c r="K112" t="s">
        <v>75</v>
      </c>
      <c r="L112" t="s">
        <v>90</v>
      </c>
    </row>
    <row r="113" spans="1:12" x14ac:dyDescent="0.25">
      <c r="A113" t="s">
        <v>195</v>
      </c>
      <c r="B113" s="2">
        <v>9109</v>
      </c>
      <c r="C113" s="2">
        <v>586</v>
      </c>
      <c r="D113">
        <v>17</v>
      </c>
      <c r="E113" t="s">
        <v>45</v>
      </c>
      <c r="F113" t="s">
        <v>60</v>
      </c>
      <c r="G113" t="s">
        <v>40</v>
      </c>
      <c r="H113" s="1">
        <v>43968</v>
      </c>
      <c r="I113" t="s">
        <v>196</v>
      </c>
      <c r="J113" s="10" t="s">
        <v>17</v>
      </c>
      <c r="K113" t="s">
        <v>18</v>
      </c>
      <c r="L113" t="s">
        <v>59</v>
      </c>
    </row>
    <row r="114" spans="1:12" x14ac:dyDescent="0.25">
      <c r="A114" t="s">
        <v>197</v>
      </c>
      <c r="B114" s="2">
        <v>4358</v>
      </c>
      <c r="C114" s="2">
        <v>526</v>
      </c>
      <c r="D114">
        <v>19</v>
      </c>
      <c r="E114" t="s">
        <v>13</v>
      </c>
      <c r="F114" t="s">
        <v>82</v>
      </c>
      <c r="G114" t="s">
        <v>47</v>
      </c>
      <c r="H114" s="1">
        <v>44900</v>
      </c>
      <c r="I114" t="s">
        <v>198</v>
      </c>
      <c r="J114" s="10" t="s">
        <v>71</v>
      </c>
      <c r="K114" t="s">
        <v>72</v>
      </c>
      <c r="L114" t="s">
        <v>152</v>
      </c>
    </row>
    <row r="115" spans="1:12" x14ac:dyDescent="0.25">
      <c r="A115" t="s">
        <v>197</v>
      </c>
      <c r="B115" s="2">
        <v>4358</v>
      </c>
      <c r="C115" s="2">
        <v>526</v>
      </c>
      <c r="D115">
        <v>19</v>
      </c>
      <c r="E115" t="s">
        <v>13</v>
      </c>
      <c r="F115" t="s">
        <v>82</v>
      </c>
      <c r="G115" t="s">
        <v>47</v>
      </c>
      <c r="H115" s="1">
        <v>45552</v>
      </c>
      <c r="I115" t="s">
        <v>199</v>
      </c>
      <c r="J115" s="10" t="s">
        <v>42</v>
      </c>
      <c r="K115" t="s">
        <v>92</v>
      </c>
      <c r="L115" t="s">
        <v>159</v>
      </c>
    </row>
    <row r="116" spans="1:12" x14ac:dyDescent="0.25">
      <c r="A116" t="s">
        <v>197</v>
      </c>
      <c r="B116" s="2">
        <v>6459</v>
      </c>
      <c r="C116" s="2">
        <v>825</v>
      </c>
      <c r="D116">
        <v>8</v>
      </c>
      <c r="E116" t="s">
        <v>13</v>
      </c>
      <c r="F116" t="s">
        <v>82</v>
      </c>
      <c r="G116" t="s">
        <v>47</v>
      </c>
      <c r="H116" s="1">
        <v>44900</v>
      </c>
      <c r="I116" t="s">
        <v>198</v>
      </c>
      <c r="J116" s="10" t="s">
        <v>71</v>
      </c>
      <c r="K116" t="s">
        <v>72</v>
      </c>
      <c r="L116" t="s">
        <v>152</v>
      </c>
    </row>
    <row r="117" spans="1:12" x14ac:dyDescent="0.25">
      <c r="A117" t="s">
        <v>197</v>
      </c>
      <c r="B117" s="2">
        <v>6459</v>
      </c>
      <c r="C117" s="2">
        <v>825</v>
      </c>
      <c r="D117">
        <v>8</v>
      </c>
      <c r="E117" t="s">
        <v>13</v>
      </c>
      <c r="F117" t="s">
        <v>82</v>
      </c>
      <c r="G117" t="s">
        <v>47</v>
      </c>
      <c r="H117" s="1">
        <v>45552</v>
      </c>
      <c r="I117" t="s">
        <v>199</v>
      </c>
      <c r="J117" s="10" t="s">
        <v>42</v>
      </c>
      <c r="K117" t="s">
        <v>92</v>
      </c>
      <c r="L117" t="s">
        <v>159</v>
      </c>
    </row>
    <row r="118" spans="1:12" x14ac:dyDescent="0.25">
      <c r="A118" t="s">
        <v>200</v>
      </c>
      <c r="B118" s="2">
        <v>2478</v>
      </c>
      <c r="C118" s="2">
        <v>92</v>
      </c>
      <c r="D118">
        <v>12</v>
      </c>
      <c r="E118" t="s">
        <v>45</v>
      </c>
      <c r="F118" t="s">
        <v>109</v>
      </c>
      <c r="G118" t="s">
        <v>65</v>
      </c>
      <c r="H118" s="1">
        <v>45054</v>
      </c>
      <c r="I118" t="s">
        <v>201</v>
      </c>
      <c r="J118" s="10" t="s">
        <v>42</v>
      </c>
      <c r="K118" t="s">
        <v>92</v>
      </c>
      <c r="L118" t="s">
        <v>127</v>
      </c>
    </row>
    <row r="119" spans="1:12" x14ac:dyDescent="0.25">
      <c r="A119" t="s">
        <v>200</v>
      </c>
      <c r="B119" s="2">
        <v>2478</v>
      </c>
      <c r="C119" s="2">
        <v>92</v>
      </c>
      <c r="D119">
        <v>12</v>
      </c>
      <c r="E119" t="s">
        <v>45</v>
      </c>
      <c r="F119" t="s">
        <v>109</v>
      </c>
      <c r="G119" t="s">
        <v>65</v>
      </c>
      <c r="H119" s="1">
        <v>44258</v>
      </c>
      <c r="I119" t="s">
        <v>202</v>
      </c>
      <c r="J119" s="10" t="s">
        <v>25</v>
      </c>
      <c r="K119" t="s">
        <v>51</v>
      </c>
      <c r="L119" t="s">
        <v>167</v>
      </c>
    </row>
    <row r="120" spans="1:12" x14ac:dyDescent="0.25">
      <c r="A120" t="s">
        <v>200</v>
      </c>
      <c r="B120" s="2">
        <v>2478</v>
      </c>
      <c r="C120" s="2">
        <v>92</v>
      </c>
      <c r="D120">
        <v>12</v>
      </c>
      <c r="E120" t="s">
        <v>45</v>
      </c>
      <c r="F120" t="s">
        <v>109</v>
      </c>
      <c r="G120" t="s">
        <v>65</v>
      </c>
      <c r="H120" s="1">
        <v>44273</v>
      </c>
      <c r="I120" t="s">
        <v>203</v>
      </c>
      <c r="J120" s="10" t="s">
        <v>42</v>
      </c>
      <c r="K120" t="s">
        <v>92</v>
      </c>
      <c r="L120" t="s">
        <v>167</v>
      </c>
    </row>
    <row r="121" spans="1:12" x14ac:dyDescent="0.25">
      <c r="A121" t="s">
        <v>200</v>
      </c>
      <c r="B121" s="2">
        <v>2478</v>
      </c>
      <c r="C121" s="2">
        <v>92</v>
      </c>
      <c r="D121">
        <v>12</v>
      </c>
      <c r="E121" t="s">
        <v>45</v>
      </c>
      <c r="F121" t="s">
        <v>109</v>
      </c>
      <c r="G121" t="s">
        <v>65</v>
      </c>
      <c r="H121" s="1">
        <v>45040</v>
      </c>
      <c r="I121" t="s">
        <v>204</v>
      </c>
      <c r="J121" s="10" t="s">
        <v>98</v>
      </c>
      <c r="K121" t="s">
        <v>117</v>
      </c>
      <c r="L121" t="s">
        <v>145</v>
      </c>
    </row>
    <row r="122" spans="1:12" x14ac:dyDescent="0.25">
      <c r="A122" t="s">
        <v>205</v>
      </c>
      <c r="B122" s="2">
        <v>9992</v>
      </c>
      <c r="C122" s="2">
        <v>3696</v>
      </c>
      <c r="D122">
        <v>20</v>
      </c>
      <c r="E122" t="s">
        <v>30</v>
      </c>
      <c r="F122" t="s">
        <v>31</v>
      </c>
      <c r="G122" t="s">
        <v>32</v>
      </c>
      <c r="H122" s="1">
        <v>44478</v>
      </c>
      <c r="I122" t="s">
        <v>206</v>
      </c>
      <c r="J122" s="10" t="s">
        <v>25</v>
      </c>
      <c r="K122" t="s">
        <v>68</v>
      </c>
      <c r="L122" t="s">
        <v>37</v>
      </c>
    </row>
    <row r="123" spans="1:12" x14ac:dyDescent="0.25">
      <c r="A123" t="s">
        <v>205</v>
      </c>
      <c r="B123" s="2">
        <v>9992</v>
      </c>
      <c r="C123" s="2">
        <v>3696</v>
      </c>
      <c r="D123">
        <v>20</v>
      </c>
      <c r="E123" t="s">
        <v>30</v>
      </c>
      <c r="F123" t="s">
        <v>31</v>
      </c>
      <c r="G123" t="s">
        <v>32</v>
      </c>
      <c r="H123" s="1">
        <v>44666</v>
      </c>
      <c r="I123" t="s">
        <v>207</v>
      </c>
      <c r="J123" s="10" t="s">
        <v>71</v>
      </c>
      <c r="K123" t="s">
        <v>86</v>
      </c>
      <c r="L123" t="s">
        <v>187</v>
      </c>
    </row>
    <row r="124" spans="1:12" x14ac:dyDescent="0.25">
      <c r="A124" t="s">
        <v>205</v>
      </c>
      <c r="B124" s="2">
        <v>9992</v>
      </c>
      <c r="C124" s="2">
        <v>3696</v>
      </c>
      <c r="D124">
        <v>20</v>
      </c>
      <c r="E124" t="s">
        <v>30</v>
      </c>
      <c r="F124" t="s">
        <v>31</v>
      </c>
      <c r="G124" t="s">
        <v>32</v>
      </c>
      <c r="H124" s="1">
        <v>44802</v>
      </c>
      <c r="I124" t="s">
        <v>208</v>
      </c>
      <c r="J124" s="10" t="s">
        <v>25</v>
      </c>
      <c r="K124" t="s">
        <v>68</v>
      </c>
      <c r="L124" t="s">
        <v>209</v>
      </c>
    </row>
    <row r="125" spans="1:12" x14ac:dyDescent="0.25">
      <c r="A125" t="s">
        <v>205</v>
      </c>
      <c r="B125" s="2">
        <v>9619</v>
      </c>
      <c r="C125" s="2">
        <v>3420</v>
      </c>
      <c r="D125">
        <v>7</v>
      </c>
      <c r="E125" t="s">
        <v>30</v>
      </c>
      <c r="F125" t="s">
        <v>78</v>
      </c>
      <c r="G125" t="s">
        <v>15</v>
      </c>
      <c r="H125" s="1">
        <v>44478</v>
      </c>
      <c r="I125" t="s">
        <v>206</v>
      </c>
      <c r="J125" s="10" t="s">
        <v>25</v>
      </c>
      <c r="K125" t="s">
        <v>68</v>
      </c>
      <c r="L125" t="s">
        <v>37</v>
      </c>
    </row>
    <row r="126" spans="1:12" x14ac:dyDescent="0.25">
      <c r="A126" t="s">
        <v>205</v>
      </c>
      <c r="B126" s="2">
        <v>9619</v>
      </c>
      <c r="C126" s="2">
        <v>3420</v>
      </c>
      <c r="D126">
        <v>7</v>
      </c>
      <c r="E126" t="s">
        <v>30</v>
      </c>
      <c r="F126" t="s">
        <v>78</v>
      </c>
      <c r="G126" t="s">
        <v>15</v>
      </c>
      <c r="H126" s="1">
        <v>44666</v>
      </c>
      <c r="I126" t="s">
        <v>207</v>
      </c>
      <c r="J126" s="10" t="s">
        <v>71</v>
      </c>
      <c r="K126" t="s">
        <v>86</v>
      </c>
      <c r="L126" t="s">
        <v>187</v>
      </c>
    </row>
    <row r="127" spans="1:12" x14ac:dyDescent="0.25">
      <c r="A127" t="s">
        <v>205</v>
      </c>
      <c r="B127" s="2">
        <v>9619</v>
      </c>
      <c r="C127" s="2">
        <v>3420</v>
      </c>
      <c r="D127">
        <v>7</v>
      </c>
      <c r="E127" t="s">
        <v>30</v>
      </c>
      <c r="F127" t="s">
        <v>78</v>
      </c>
      <c r="G127" t="s">
        <v>15</v>
      </c>
      <c r="H127" s="1">
        <v>44802</v>
      </c>
      <c r="I127" t="s">
        <v>208</v>
      </c>
      <c r="J127" s="10" t="s">
        <v>25</v>
      </c>
      <c r="K127" t="s">
        <v>68</v>
      </c>
      <c r="L127" t="s">
        <v>209</v>
      </c>
    </row>
    <row r="128" spans="1:12" x14ac:dyDescent="0.25">
      <c r="A128" t="s">
        <v>210</v>
      </c>
      <c r="B128" s="2">
        <v>9538</v>
      </c>
      <c r="C128" s="2">
        <v>3158</v>
      </c>
      <c r="D128">
        <v>20</v>
      </c>
      <c r="E128" t="s">
        <v>13</v>
      </c>
      <c r="F128" t="s">
        <v>28</v>
      </c>
      <c r="G128" t="s">
        <v>47</v>
      </c>
      <c r="H128" s="1">
        <v>45539</v>
      </c>
      <c r="I128" t="s">
        <v>211</v>
      </c>
      <c r="J128" s="10" t="s">
        <v>42</v>
      </c>
      <c r="K128" t="s">
        <v>92</v>
      </c>
      <c r="L128" t="s">
        <v>159</v>
      </c>
    </row>
    <row r="129" spans="1:12" x14ac:dyDescent="0.25">
      <c r="A129" t="s">
        <v>210</v>
      </c>
      <c r="B129" s="2">
        <v>9538</v>
      </c>
      <c r="C129" s="2">
        <v>3158</v>
      </c>
      <c r="D129">
        <v>20</v>
      </c>
      <c r="E129" t="s">
        <v>13</v>
      </c>
      <c r="F129" t="s">
        <v>28</v>
      </c>
      <c r="G129" t="s">
        <v>47</v>
      </c>
      <c r="H129" s="1">
        <v>44334</v>
      </c>
      <c r="I129" t="s">
        <v>212</v>
      </c>
      <c r="J129" s="10" t="s">
        <v>98</v>
      </c>
      <c r="K129" t="s">
        <v>117</v>
      </c>
      <c r="L129" t="s">
        <v>108</v>
      </c>
    </row>
    <row r="130" spans="1:12" x14ac:dyDescent="0.25">
      <c r="A130" t="s">
        <v>210</v>
      </c>
      <c r="B130" s="2">
        <v>9035</v>
      </c>
      <c r="C130" s="2">
        <v>1227</v>
      </c>
      <c r="D130">
        <v>14</v>
      </c>
      <c r="E130" t="s">
        <v>45</v>
      </c>
      <c r="F130" t="s">
        <v>49</v>
      </c>
      <c r="G130" t="s">
        <v>40</v>
      </c>
      <c r="H130" s="1">
        <v>45539</v>
      </c>
      <c r="I130" t="s">
        <v>211</v>
      </c>
      <c r="J130" s="10" t="s">
        <v>42</v>
      </c>
      <c r="K130" t="s">
        <v>92</v>
      </c>
      <c r="L130" t="s">
        <v>159</v>
      </c>
    </row>
    <row r="131" spans="1:12" x14ac:dyDescent="0.25">
      <c r="A131" t="s">
        <v>210</v>
      </c>
      <c r="B131" s="2">
        <v>9035</v>
      </c>
      <c r="C131" s="2">
        <v>1227</v>
      </c>
      <c r="D131">
        <v>14</v>
      </c>
      <c r="E131" t="s">
        <v>45</v>
      </c>
      <c r="F131" t="s">
        <v>49</v>
      </c>
      <c r="G131" t="s">
        <v>40</v>
      </c>
      <c r="H131" s="1">
        <v>44334</v>
      </c>
      <c r="I131" t="s">
        <v>212</v>
      </c>
      <c r="J131" s="10" t="s">
        <v>98</v>
      </c>
      <c r="K131" t="s">
        <v>117</v>
      </c>
      <c r="L131" t="s">
        <v>108</v>
      </c>
    </row>
    <row r="132" spans="1:12" x14ac:dyDescent="0.25">
      <c r="A132" t="s">
        <v>213</v>
      </c>
      <c r="B132" s="2">
        <v>2684</v>
      </c>
      <c r="C132" s="2">
        <v>670</v>
      </c>
      <c r="D132">
        <v>2</v>
      </c>
      <c r="E132" t="s">
        <v>30</v>
      </c>
      <c r="F132" t="s">
        <v>64</v>
      </c>
      <c r="G132" t="s">
        <v>65</v>
      </c>
      <c r="H132" s="1">
        <v>45475</v>
      </c>
      <c r="I132" t="s">
        <v>214</v>
      </c>
      <c r="J132" s="10" t="s">
        <v>17</v>
      </c>
      <c r="K132" t="s">
        <v>150</v>
      </c>
      <c r="L132" t="s">
        <v>215</v>
      </c>
    </row>
    <row r="133" spans="1:12" x14ac:dyDescent="0.25">
      <c r="A133" t="s">
        <v>213</v>
      </c>
      <c r="B133" s="2">
        <v>822</v>
      </c>
      <c r="C133" s="2">
        <v>147</v>
      </c>
      <c r="D133">
        <v>5</v>
      </c>
      <c r="E133" t="s">
        <v>45</v>
      </c>
      <c r="F133" t="s">
        <v>60</v>
      </c>
      <c r="G133" t="s">
        <v>47</v>
      </c>
      <c r="H133" s="1">
        <v>45475</v>
      </c>
      <c r="I133" t="s">
        <v>214</v>
      </c>
      <c r="J133" s="10" t="s">
        <v>17</v>
      </c>
      <c r="K133" t="s">
        <v>150</v>
      </c>
      <c r="L133" t="s">
        <v>215</v>
      </c>
    </row>
    <row r="134" spans="1:12" x14ac:dyDescent="0.25">
      <c r="A134" t="s">
        <v>213</v>
      </c>
      <c r="B134" s="2">
        <v>9730</v>
      </c>
      <c r="C134" s="2">
        <v>2341</v>
      </c>
      <c r="D134">
        <v>2</v>
      </c>
      <c r="E134" t="s">
        <v>45</v>
      </c>
      <c r="F134" t="s">
        <v>49</v>
      </c>
      <c r="G134" t="s">
        <v>40</v>
      </c>
      <c r="H134" s="1">
        <v>45475</v>
      </c>
      <c r="I134" t="s">
        <v>214</v>
      </c>
      <c r="J134" s="10" t="s">
        <v>17</v>
      </c>
      <c r="K134" t="s">
        <v>150</v>
      </c>
      <c r="L134" t="s">
        <v>215</v>
      </c>
    </row>
    <row r="135" spans="1:12" x14ac:dyDescent="0.25">
      <c r="A135" t="s">
        <v>213</v>
      </c>
      <c r="B135" s="2">
        <v>2483</v>
      </c>
      <c r="C135" s="2">
        <v>236</v>
      </c>
      <c r="D135">
        <v>2</v>
      </c>
      <c r="E135" t="s">
        <v>13</v>
      </c>
      <c r="F135" t="s">
        <v>14</v>
      </c>
      <c r="G135" t="s">
        <v>65</v>
      </c>
      <c r="H135" s="1">
        <v>45475</v>
      </c>
      <c r="I135" t="s">
        <v>214</v>
      </c>
      <c r="J135" s="10" t="s">
        <v>17</v>
      </c>
      <c r="K135" t="s">
        <v>150</v>
      </c>
      <c r="L135" t="s">
        <v>215</v>
      </c>
    </row>
    <row r="136" spans="1:12" x14ac:dyDescent="0.25">
      <c r="A136" t="s">
        <v>216</v>
      </c>
      <c r="B136" s="2">
        <v>1297</v>
      </c>
      <c r="C136" s="2">
        <v>600</v>
      </c>
      <c r="D136">
        <v>7</v>
      </c>
      <c r="E136" t="s">
        <v>30</v>
      </c>
      <c r="F136" t="s">
        <v>78</v>
      </c>
      <c r="G136" t="s">
        <v>47</v>
      </c>
      <c r="H136" s="1">
        <v>45338</v>
      </c>
      <c r="I136" t="s">
        <v>217</v>
      </c>
      <c r="J136" s="10" t="s">
        <v>17</v>
      </c>
      <c r="K136" t="s">
        <v>34</v>
      </c>
      <c r="L136" t="s">
        <v>218</v>
      </c>
    </row>
    <row r="137" spans="1:12" x14ac:dyDescent="0.25">
      <c r="A137" t="s">
        <v>216</v>
      </c>
      <c r="B137" s="2">
        <v>7909</v>
      </c>
      <c r="C137" s="2">
        <v>1942</v>
      </c>
      <c r="D137">
        <v>19</v>
      </c>
      <c r="E137" t="s">
        <v>13</v>
      </c>
      <c r="F137" t="s">
        <v>82</v>
      </c>
      <c r="G137" t="s">
        <v>65</v>
      </c>
      <c r="H137" s="1">
        <v>45338</v>
      </c>
      <c r="I137" t="s">
        <v>217</v>
      </c>
      <c r="J137" s="10" t="s">
        <v>17</v>
      </c>
      <c r="K137" t="s">
        <v>34</v>
      </c>
      <c r="L137" t="s">
        <v>218</v>
      </c>
    </row>
    <row r="138" spans="1:12" x14ac:dyDescent="0.25">
      <c r="A138" t="s">
        <v>219</v>
      </c>
      <c r="B138" s="2">
        <v>9768</v>
      </c>
      <c r="C138" s="2">
        <v>4518</v>
      </c>
      <c r="D138">
        <v>8</v>
      </c>
      <c r="E138" t="s">
        <v>45</v>
      </c>
      <c r="F138" t="s">
        <v>46</v>
      </c>
      <c r="G138" t="s">
        <v>47</v>
      </c>
      <c r="H138" s="1">
        <v>44526</v>
      </c>
      <c r="I138" t="s">
        <v>220</v>
      </c>
      <c r="J138" s="10" t="s">
        <v>71</v>
      </c>
      <c r="K138" t="s">
        <v>72</v>
      </c>
      <c r="L138" t="s">
        <v>175</v>
      </c>
    </row>
    <row r="139" spans="1:12" x14ac:dyDescent="0.25">
      <c r="A139" t="s">
        <v>219</v>
      </c>
      <c r="B139" s="2">
        <v>4968</v>
      </c>
      <c r="C139" s="2">
        <v>934</v>
      </c>
      <c r="D139">
        <v>5</v>
      </c>
      <c r="E139" t="s">
        <v>45</v>
      </c>
      <c r="F139" t="s">
        <v>60</v>
      </c>
      <c r="G139" t="s">
        <v>32</v>
      </c>
      <c r="H139" s="1">
        <v>44526</v>
      </c>
      <c r="I139" t="s">
        <v>220</v>
      </c>
      <c r="J139" s="10" t="s">
        <v>71</v>
      </c>
      <c r="K139" t="s">
        <v>72</v>
      </c>
      <c r="L139" t="s">
        <v>175</v>
      </c>
    </row>
    <row r="140" spans="1:12" x14ac:dyDescent="0.25">
      <c r="A140" t="s">
        <v>219</v>
      </c>
      <c r="B140" s="2">
        <v>1731</v>
      </c>
      <c r="C140" s="2">
        <v>149</v>
      </c>
      <c r="D140">
        <v>4</v>
      </c>
      <c r="E140" t="s">
        <v>13</v>
      </c>
      <c r="F140" t="s">
        <v>39</v>
      </c>
      <c r="G140" t="s">
        <v>40</v>
      </c>
      <c r="H140" s="1">
        <v>44526</v>
      </c>
      <c r="I140" t="s">
        <v>220</v>
      </c>
      <c r="J140" s="10" t="s">
        <v>71</v>
      </c>
      <c r="K140" t="s">
        <v>72</v>
      </c>
      <c r="L140" t="s">
        <v>175</v>
      </c>
    </row>
    <row r="141" spans="1:12" x14ac:dyDescent="0.25">
      <c r="A141" t="s">
        <v>221</v>
      </c>
      <c r="B141" s="2">
        <v>3433</v>
      </c>
      <c r="C141" s="2">
        <v>1169</v>
      </c>
      <c r="D141">
        <v>10</v>
      </c>
      <c r="E141" t="s">
        <v>30</v>
      </c>
      <c r="F141" t="s">
        <v>78</v>
      </c>
      <c r="G141" t="s">
        <v>65</v>
      </c>
      <c r="H141" s="1">
        <v>45323</v>
      </c>
      <c r="I141" t="s">
        <v>222</v>
      </c>
      <c r="J141" s="10" t="s">
        <v>42</v>
      </c>
      <c r="K141" t="s">
        <v>92</v>
      </c>
      <c r="L141" t="s">
        <v>218</v>
      </c>
    </row>
    <row r="142" spans="1:12" x14ac:dyDescent="0.25">
      <c r="A142" t="s">
        <v>221</v>
      </c>
      <c r="B142" s="2">
        <v>3433</v>
      </c>
      <c r="C142" s="2">
        <v>1169</v>
      </c>
      <c r="D142">
        <v>10</v>
      </c>
      <c r="E142" t="s">
        <v>30</v>
      </c>
      <c r="F142" t="s">
        <v>78</v>
      </c>
      <c r="G142" t="s">
        <v>65</v>
      </c>
      <c r="H142" s="1">
        <v>44448</v>
      </c>
      <c r="I142" t="s">
        <v>223</v>
      </c>
      <c r="J142" s="10" t="s">
        <v>21</v>
      </c>
      <c r="K142" t="s">
        <v>63</v>
      </c>
      <c r="L142" t="s">
        <v>224</v>
      </c>
    </row>
    <row r="143" spans="1:12" x14ac:dyDescent="0.25">
      <c r="A143" t="s">
        <v>221</v>
      </c>
      <c r="B143" s="2">
        <v>3433</v>
      </c>
      <c r="C143" s="2">
        <v>1169</v>
      </c>
      <c r="D143">
        <v>10</v>
      </c>
      <c r="E143" t="s">
        <v>30</v>
      </c>
      <c r="F143" t="s">
        <v>78</v>
      </c>
      <c r="G143" t="s">
        <v>65</v>
      </c>
      <c r="H143" s="1">
        <v>44447</v>
      </c>
      <c r="I143" t="s">
        <v>225</v>
      </c>
      <c r="J143" s="10" t="s">
        <v>42</v>
      </c>
      <c r="K143" t="s">
        <v>75</v>
      </c>
      <c r="L143" t="s">
        <v>224</v>
      </c>
    </row>
    <row r="144" spans="1:12" x14ac:dyDescent="0.25">
      <c r="A144" t="s">
        <v>221</v>
      </c>
      <c r="B144" s="2">
        <v>3887</v>
      </c>
      <c r="C144" s="2">
        <v>1490</v>
      </c>
      <c r="D144">
        <v>1</v>
      </c>
      <c r="E144" t="s">
        <v>30</v>
      </c>
      <c r="F144" t="s">
        <v>78</v>
      </c>
      <c r="G144" t="s">
        <v>32</v>
      </c>
      <c r="H144" s="1">
        <v>45323</v>
      </c>
      <c r="I144" t="s">
        <v>222</v>
      </c>
      <c r="J144" s="10" t="s">
        <v>42</v>
      </c>
      <c r="K144" t="s">
        <v>92</v>
      </c>
      <c r="L144" t="s">
        <v>218</v>
      </c>
    </row>
    <row r="145" spans="1:12" x14ac:dyDescent="0.25">
      <c r="A145" t="s">
        <v>221</v>
      </c>
      <c r="B145" s="2">
        <v>3887</v>
      </c>
      <c r="C145" s="2">
        <v>1490</v>
      </c>
      <c r="D145">
        <v>1</v>
      </c>
      <c r="E145" t="s">
        <v>30</v>
      </c>
      <c r="F145" t="s">
        <v>78</v>
      </c>
      <c r="G145" t="s">
        <v>32</v>
      </c>
      <c r="H145" s="1">
        <v>44448</v>
      </c>
      <c r="I145" t="s">
        <v>223</v>
      </c>
      <c r="J145" s="10" t="s">
        <v>21</v>
      </c>
      <c r="K145" t="s">
        <v>63</v>
      </c>
      <c r="L145" t="s">
        <v>224</v>
      </c>
    </row>
    <row r="146" spans="1:12" x14ac:dyDescent="0.25">
      <c r="A146" t="s">
        <v>221</v>
      </c>
      <c r="B146" s="2">
        <v>3887</v>
      </c>
      <c r="C146" s="2">
        <v>1490</v>
      </c>
      <c r="D146">
        <v>1</v>
      </c>
      <c r="E146" t="s">
        <v>30</v>
      </c>
      <c r="F146" t="s">
        <v>78</v>
      </c>
      <c r="G146" t="s">
        <v>32</v>
      </c>
      <c r="H146" s="1">
        <v>44447</v>
      </c>
      <c r="I146" t="s">
        <v>225</v>
      </c>
      <c r="J146" s="10" t="s">
        <v>42</v>
      </c>
      <c r="K146" t="s">
        <v>75</v>
      </c>
      <c r="L146" t="s">
        <v>224</v>
      </c>
    </row>
    <row r="147" spans="1:12" x14ac:dyDescent="0.25">
      <c r="A147" t="s">
        <v>226</v>
      </c>
      <c r="B147" s="2">
        <v>1801</v>
      </c>
      <c r="C147" s="2">
        <v>641</v>
      </c>
      <c r="D147">
        <v>20</v>
      </c>
      <c r="E147" t="s">
        <v>30</v>
      </c>
      <c r="F147" t="s">
        <v>57</v>
      </c>
      <c r="G147" t="s">
        <v>47</v>
      </c>
      <c r="H147" s="1">
        <v>45482</v>
      </c>
      <c r="I147" t="s">
        <v>227</v>
      </c>
      <c r="J147" s="10" t="s">
        <v>42</v>
      </c>
      <c r="K147" t="s">
        <v>43</v>
      </c>
      <c r="L147" t="s">
        <v>215</v>
      </c>
    </row>
    <row r="148" spans="1:12" x14ac:dyDescent="0.25">
      <c r="A148" t="s">
        <v>226</v>
      </c>
      <c r="B148" s="2">
        <v>5301</v>
      </c>
      <c r="C148" s="2">
        <v>817</v>
      </c>
      <c r="D148">
        <v>10</v>
      </c>
      <c r="E148" t="s">
        <v>45</v>
      </c>
      <c r="F148" t="s">
        <v>46</v>
      </c>
      <c r="G148" t="s">
        <v>32</v>
      </c>
      <c r="H148" s="1">
        <v>45482</v>
      </c>
      <c r="I148" t="s">
        <v>227</v>
      </c>
      <c r="J148" s="10" t="s">
        <v>42</v>
      </c>
      <c r="K148" t="s">
        <v>43</v>
      </c>
      <c r="L148" t="s">
        <v>215</v>
      </c>
    </row>
    <row r="149" spans="1:12" x14ac:dyDescent="0.25">
      <c r="A149" t="s">
        <v>226</v>
      </c>
      <c r="B149" s="2">
        <v>1166</v>
      </c>
      <c r="C149" s="2">
        <v>520</v>
      </c>
      <c r="D149">
        <v>12</v>
      </c>
      <c r="E149" t="s">
        <v>30</v>
      </c>
      <c r="F149" t="s">
        <v>64</v>
      </c>
      <c r="G149" t="s">
        <v>32</v>
      </c>
      <c r="H149" s="1">
        <v>45482</v>
      </c>
      <c r="I149" t="s">
        <v>227</v>
      </c>
      <c r="J149" s="10" t="s">
        <v>42</v>
      </c>
      <c r="K149" t="s">
        <v>43</v>
      </c>
      <c r="L149" t="s">
        <v>215</v>
      </c>
    </row>
    <row r="150" spans="1:12" x14ac:dyDescent="0.25">
      <c r="A150" t="s">
        <v>226</v>
      </c>
      <c r="B150" s="2">
        <v>3196</v>
      </c>
      <c r="C150" s="2">
        <v>1411</v>
      </c>
      <c r="D150">
        <v>15</v>
      </c>
      <c r="E150" t="s">
        <v>30</v>
      </c>
      <c r="F150" t="s">
        <v>64</v>
      </c>
      <c r="G150" t="s">
        <v>32</v>
      </c>
      <c r="H150" s="1">
        <v>45482</v>
      </c>
      <c r="I150" t="s">
        <v>227</v>
      </c>
      <c r="J150" s="10" t="s">
        <v>42</v>
      </c>
      <c r="K150" t="s">
        <v>43</v>
      </c>
      <c r="L150" t="s">
        <v>215</v>
      </c>
    </row>
    <row r="151" spans="1:12" x14ac:dyDescent="0.25">
      <c r="A151" t="s">
        <v>228</v>
      </c>
      <c r="B151" s="2">
        <v>3428</v>
      </c>
      <c r="C151" s="2">
        <v>350</v>
      </c>
      <c r="D151">
        <v>1</v>
      </c>
      <c r="E151" t="s">
        <v>45</v>
      </c>
      <c r="F151" t="s">
        <v>49</v>
      </c>
      <c r="G151" t="s">
        <v>47</v>
      </c>
      <c r="H151" s="1">
        <v>44985</v>
      </c>
      <c r="I151" t="s">
        <v>229</v>
      </c>
      <c r="J151" s="10" t="s">
        <v>21</v>
      </c>
      <c r="K151" t="s">
        <v>63</v>
      </c>
      <c r="L151" t="s">
        <v>93</v>
      </c>
    </row>
    <row r="152" spans="1:12" x14ac:dyDescent="0.25">
      <c r="A152" t="s">
        <v>228</v>
      </c>
      <c r="B152" s="2">
        <v>7223</v>
      </c>
      <c r="C152" s="2">
        <v>2433</v>
      </c>
      <c r="D152">
        <v>12</v>
      </c>
      <c r="E152" t="s">
        <v>30</v>
      </c>
      <c r="F152" t="s">
        <v>78</v>
      </c>
      <c r="G152" t="s">
        <v>47</v>
      </c>
      <c r="H152" s="1">
        <v>44985</v>
      </c>
      <c r="I152" t="s">
        <v>229</v>
      </c>
      <c r="J152" s="10" t="s">
        <v>21</v>
      </c>
      <c r="K152" t="s">
        <v>63</v>
      </c>
      <c r="L152" t="s">
        <v>93</v>
      </c>
    </row>
    <row r="153" spans="1:12" x14ac:dyDescent="0.25">
      <c r="A153" t="s">
        <v>228</v>
      </c>
      <c r="B153" s="2">
        <v>3731</v>
      </c>
      <c r="C153" s="2">
        <v>647</v>
      </c>
      <c r="D153">
        <v>1</v>
      </c>
      <c r="E153" t="s">
        <v>30</v>
      </c>
      <c r="F153" t="s">
        <v>31</v>
      </c>
      <c r="G153" t="s">
        <v>47</v>
      </c>
      <c r="H153" s="1">
        <v>44985</v>
      </c>
      <c r="I153" t="s">
        <v>229</v>
      </c>
      <c r="J153" s="10" t="s">
        <v>21</v>
      </c>
      <c r="K153" t="s">
        <v>63</v>
      </c>
      <c r="L153" t="s">
        <v>93</v>
      </c>
    </row>
    <row r="154" spans="1:12" x14ac:dyDescent="0.25">
      <c r="A154" t="s">
        <v>230</v>
      </c>
      <c r="B154" s="2">
        <v>8903</v>
      </c>
      <c r="C154" s="2">
        <v>4401</v>
      </c>
      <c r="D154">
        <v>18</v>
      </c>
      <c r="E154" t="s">
        <v>30</v>
      </c>
      <c r="F154" t="s">
        <v>31</v>
      </c>
      <c r="G154" t="s">
        <v>47</v>
      </c>
      <c r="H154" s="1">
        <v>44781</v>
      </c>
      <c r="I154" t="s">
        <v>231</v>
      </c>
      <c r="J154" s="10" t="s">
        <v>98</v>
      </c>
      <c r="K154" t="s">
        <v>99</v>
      </c>
      <c r="L154" t="s">
        <v>209</v>
      </c>
    </row>
    <row r="155" spans="1:12" x14ac:dyDescent="0.25">
      <c r="A155" t="s">
        <v>232</v>
      </c>
      <c r="B155" s="2">
        <v>6009</v>
      </c>
      <c r="C155" s="2">
        <v>2107</v>
      </c>
      <c r="D155">
        <v>7</v>
      </c>
      <c r="E155" t="s">
        <v>13</v>
      </c>
      <c r="F155" t="s">
        <v>82</v>
      </c>
      <c r="G155" t="s">
        <v>15</v>
      </c>
      <c r="H155" s="1">
        <v>44902</v>
      </c>
      <c r="I155" t="s">
        <v>233</v>
      </c>
      <c r="J155" s="10" t="s">
        <v>21</v>
      </c>
      <c r="K155" t="s">
        <v>22</v>
      </c>
      <c r="L155" t="s">
        <v>152</v>
      </c>
    </row>
    <row r="156" spans="1:12" x14ac:dyDescent="0.25">
      <c r="A156" t="s">
        <v>232</v>
      </c>
      <c r="B156" s="2">
        <v>6009</v>
      </c>
      <c r="C156" s="2">
        <v>2107</v>
      </c>
      <c r="D156">
        <v>7</v>
      </c>
      <c r="E156" t="s">
        <v>13</v>
      </c>
      <c r="F156" t="s">
        <v>82</v>
      </c>
      <c r="G156" t="s">
        <v>15</v>
      </c>
      <c r="H156" s="1">
        <v>45411</v>
      </c>
      <c r="I156" t="s">
        <v>234</v>
      </c>
      <c r="J156" s="10" t="s">
        <v>71</v>
      </c>
      <c r="K156" t="s">
        <v>86</v>
      </c>
      <c r="L156" t="s">
        <v>235</v>
      </c>
    </row>
    <row r="157" spans="1:12" x14ac:dyDescent="0.25">
      <c r="A157" t="s">
        <v>232</v>
      </c>
      <c r="B157" s="2">
        <v>2858</v>
      </c>
      <c r="C157" s="2">
        <v>230</v>
      </c>
      <c r="D157">
        <v>3</v>
      </c>
      <c r="E157" t="s">
        <v>45</v>
      </c>
      <c r="F157" t="s">
        <v>46</v>
      </c>
      <c r="G157" t="s">
        <v>47</v>
      </c>
      <c r="H157" s="1">
        <v>44902</v>
      </c>
      <c r="I157" t="s">
        <v>233</v>
      </c>
      <c r="J157" s="10" t="s">
        <v>21</v>
      </c>
      <c r="K157" t="s">
        <v>22</v>
      </c>
      <c r="L157" t="s">
        <v>152</v>
      </c>
    </row>
    <row r="158" spans="1:12" x14ac:dyDescent="0.25">
      <c r="A158" t="s">
        <v>232</v>
      </c>
      <c r="B158" s="2">
        <v>2858</v>
      </c>
      <c r="C158" s="2">
        <v>230</v>
      </c>
      <c r="D158">
        <v>3</v>
      </c>
      <c r="E158" t="s">
        <v>45</v>
      </c>
      <c r="F158" t="s">
        <v>46</v>
      </c>
      <c r="G158" t="s">
        <v>47</v>
      </c>
      <c r="H158" s="1">
        <v>45411</v>
      </c>
      <c r="I158" t="s">
        <v>234</v>
      </c>
      <c r="J158" s="10" t="s">
        <v>71</v>
      </c>
      <c r="K158" t="s">
        <v>86</v>
      </c>
      <c r="L158" t="s">
        <v>235</v>
      </c>
    </row>
    <row r="159" spans="1:12" x14ac:dyDescent="0.25">
      <c r="A159" t="s">
        <v>232</v>
      </c>
      <c r="B159" s="2">
        <v>8175</v>
      </c>
      <c r="C159" s="2">
        <v>525</v>
      </c>
      <c r="D159">
        <v>7</v>
      </c>
      <c r="E159" t="s">
        <v>45</v>
      </c>
      <c r="F159" t="s">
        <v>60</v>
      </c>
      <c r="G159" t="s">
        <v>47</v>
      </c>
      <c r="H159" s="1">
        <v>44902</v>
      </c>
      <c r="I159" t="s">
        <v>233</v>
      </c>
      <c r="J159" s="10" t="s">
        <v>21</v>
      </c>
      <c r="K159" t="s">
        <v>22</v>
      </c>
      <c r="L159" t="s">
        <v>152</v>
      </c>
    </row>
    <row r="160" spans="1:12" x14ac:dyDescent="0.25">
      <c r="A160" t="s">
        <v>232</v>
      </c>
      <c r="B160" s="2">
        <v>8175</v>
      </c>
      <c r="C160" s="2">
        <v>525</v>
      </c>
      <c r="D160">
        <v>7</v>
      </c>
      <c r="E160" t="s">
        <v>45</v>
      </c>
      <c r="F160" t="s">
        <v>60</v>
      </c>
      <c r="G160" t="s">
        <v>47</v>
      </c>
      <c r="H160" s="1">
        <v>45411</v>
      </c>
      <c r="I160" t="s">
        <v>234</v>
      </c>
      <c r="J160" s="10" t="s">
        <v>71</v>
      </c>
      <c r="K160" t="s">
        <v>86</v>
      </c>
      <c r="L160" t="s">
        <v>235</v>
      </c>
    </row>
    <row r="161" spans="1:12" x14ac:dyDescent="0.25">
      <c r="A161" t="s">
        <v>232</v>
      </c>
      <c r="B161" s="2">
        <v>5846</v>
      </c>
      <c r="C161" s="2">
        <v>586</v>
      </c>
      <c r="D161">
        <v>18</v>
      </c>
      <c r="E161" t="s">
        <v>45</v>
      </c>
      <c r="F161" t="s">
        <v>60</v>
      </c>
      <c r="G161" t="s">
        <v>15</v>
      </c>
      <c r="H161" s="1">
        <v>44902</v>
      </c>
      <c r="I161" t="s">
        <v>233</v>
      </c>
      <c r="J161" s="10" t="s">
        <v>21</v>
      </c>
      <c r="K161" t="s">
        <v>22</v>
      </c>
      <c r="L161" t="s">
        <v>152</v>
      </c>
    </row>
    <row r="162" spans="1:12" x14ac:dyDescent="0.25">
      <c r="A162" t="s">
        <v>232</v>
      </c>
      <c r="B162" s="2">
        <v>5846</v>
      </c>
      <c r="C162" s="2">
        <v>586</v>
      </c>
      <c r="D162">
        <v>18</v>
      </c>
      <c r="E162" t="s">
        <v>45</v>
      </c>
      <c r="F162" t="s">
        <v>60</v>
      </c>
      <c r="G162" t="s">
        <v>15</v>
      </c>
      <c r="H162" s="1">
        <v>45411</v>
      </c>
      <c r="I162" t="s">
        <v>234</v>
      </c>
      <c r="J162" s="10" t="s">
        <v>71</v>
      </c>
      <c r="K162" t="s">
        <v>86</v>
      </c>
      <c r="L162" t="s">
        <v>235</v>
      </c>
    </row>
    <row r="163" spans="1:12" x14ac:dyDescent="0.25">
      <c r="A163" t="s">
        <v>236</v>
      </c>
      <c r="B163" s="2">
        <v>706</v>
      </c>
      <c r="C163" s="2">
        <v>197</v>
      </c>
      <c r="D163">
        <v>11</v>
      </c>
      <c r="E163" t="s">
        <v>13</v>
      </c>
      <c r="F163" t="s">
        <v>39</v>
      </c>
      <c r="G163" t="s">
        <v>47</v>
      </c>
      <c r="H163" s="1">
        <v>44563</v>
      </c>
      <c r="I163" t="s">
        <v>237</v>
      </c>
      <c r="J163" s="10" t="s">
        <v>71</v>
      </c>
      <c r="K163" t="s">
        <v>86</v>
      </c>
      <c r="L163" t="s">
        <v>87</v>
      </c>
    </row>
    <row r="164" spans="1:12" x14ac:dyDescent="0.25">
      <c r="A164" t="s">
        <v>238</v>
      </c>
      <c r="B164" s="2">
        <v>9835</v>
      </c>
      <c r="C164" s="2">
        <v>2571</v>
      </c>
      <c r="D164">
        <v>16</v>
      </c>
      <c r="E164" t="s">
        <v>45</v>
      </c>
      <c r="F164" t="s">
        <v>46</v>
      </c>
      <c r="G164" t="s">
        <v>65</v>
      </c>
      <c r="H164" s="1">
        <v>44722</v>
      </c>
      <c r="I164" t="s">
        <v>239</v>
      </c>
      <c r="J164" s="10" t="s">
        <v>71</v>
      </c>
      <c r="K164" t="s">
        <v>72</v>
      </c>
      <c r="L164" t="s">
        <v>165</v>
      </c>
    </row>
    <row r="165" spans="1:12" x14ac:dyDescent="0.25">
      <c r="A165" t="s">
        <v>238</v>
      </c>
      <c r="B165" s="2">
        <v>9835</v>
      </c>
      <c r="C165" s="2">
        <v>2571</v>
      </c>
      <c r="D165">
        <v>16</v>
      </c>
      <c r="E165" t="s">
        <v>45</v>
      </c>
      <c r="F165" t="s">
        <v>46</v>
      </c>
      <c r="G165" t="s">
        <v>65</v>
      </c>
      <c r="H165" s="1">
        <v>44516</v>
      </c>
      <c r="I165" t="s">
        <v>240</v>
      </c>
      <c r="J165" s="10" t="s">
        <v>17</v>
      </c>
      <c r="K165" t="s">
        <v>34</v>
      </c>
      <c r="L165" t="s">
        <v>175</v>
      </c>
    </row>
    <row r="166" spans="1:12" x14ac:dyDescent="0.25">
      <c r="A166" t="s">
        <v>238</v>
      </c>
      <c r="B166" s="2">
        <v>9835</v>
      </c>
      <c r="C166" s="2">
        <v>2571</v>
      </c>
      <c r="D166">
        <v>16</v>
      </c>
      <c r="E166" t="s">
        <v>45</v>
      </c>
      <c r="F166" t="s">
        <v>46</v>
      </c>
      <c r="G166" t="s">
        <v>65</v>
      </c>
      <c r="H166" s="1">
        <v>44790</v>
      </c>
      <c r="I166" t="s">
        <v>241</v>
      </c>
      <c r="J166" s="10" t="s">
        <v>42</v>
      </c>
      <c r="K166" t="s">
        <v>43</v>
      </c>
      <c r="L166" t="s">
        <v>209</v>
      </c>
    </row>
    <row r="167" spans="1:12" x14ac:dyDescent="0.25">
      <c r="A167" t="s">
        <v>238</v>
      </c>
      <c r="B167" s="2">
        <v>9691</v>
      </c>
      <c r="C167" s="2">
        <v>3056</v>
      </c>
      <c r="D167">
        <v>13</v>
      </c>
      <c r="E167" t="s">
        <v>30</v>
      </c>
      <c r="F167" t="s">
        <v>57</v>
      </c>
      <c r="G167" t="s">
        <v>47</v>
      </c>
      <c r="H167" s="1">
        <v>44722</v>
      </c>
      <c r="I167" t="s">
        <v>239</v>
      </c>
      <c r="J167" s="10" t="s">
        <v>71</v>
      </c>
      <c r="K167" t="s">
        <v>72</v>
      </c>
      <c r="L167" t="s">
        <v>165</v>
      </c>
    </row>
    <row r="168" spans="1:12" x14ac:dyDescent="0.25">
      <c r="A168" t="s">
        <v>238</v>
      </c>
      <c r="B168" s="2">
        <v>9691</v>
      </c>
      <c r="C168" s="2">
        <v>3056</v>
      </c>
      <c r="D168">
        <v>13</v>
      </c>
      <c r="E168" t="s">
        <v>30</v>
      </c>
      <c r="F168" t="s">
        <v>57</v>
      </c>
      <c r="G168" t="s">
        <v>47</v>
      </c>
      <c r="H168" s="1">
        <v>44516</v>
      </c>
      <c r="I168" t="s">
        <v>240</v>
      </c>
      <c r="J168" s="10" t="s">
        <v>17</v>
      </c>
      <c r="K168" t="s">
        <v>34</v>
      </c>
      <c r="L168" t="s">
        <v>175</v>
      </c>
    </row>
    <row r="169" spans="1:12" x14ac:dyDescent="0.25">
      <c r="A169" t="s">
        <v>238</v>
      </c>
      <c r="B169" s="2">
        <v>9691</v>
      </c>
      <c r="C169" s="2">
        <v>3056</v>
      </c>
      <c r="D169">
        <v>13</v>
      </c>
      <c r="E169" t="s">
        <v>30</v>
      </c>
      <c r="F169" t="s">
        <v>57</v>
      </c>
      <c r="G169" t="s">
        <v>47</v>
      </c>
      <c r="H169" s="1">
        <v>44790</v>
      </c>
      <c r="I169" t="s">
        <v>241</v>
      </c>
      <c r="J169" s="10" t="s">
        <v>42</v>
      </c>
      <c r="K169" t="s">
        <v>43</v>
      </c>
      <c r="L169" t="s">
        <v>209</v>
      </c>
    </row>
    <row r="170" spans="1:12" x14ac:dyDescent="0.25">
      <c r="A170" t="s">
        <v>238</v>
      </c>
      <c r="B170" s="2">
        <v>7826</v>
      </c>
      <c r="C170" s="2">
        <v>1221</v>
      </c>
      <c r="D170">
        <v>14</v>
      </c>
      <c r="E170" t="s">
        <v>45</v>
      </c>
      <c r="F170" t="s">
        <v>109</v>
      </c>
      <c r="G170" t="s">
        <v>15</v>
      </c>
      <c r="H170" s="1">
        <v>44722</v>
      </c>
      <c r="I170" t="s">
        <v>239</v>
      </c>
      <c r="J170" s="10" t="s">
        <v>71</v>
      </c>
      <c r="K170" t="s">
        <v>72</v>
      </c>
      <c r="L170" t="s">
        <v>165</v>
      </c>
    </row>
    <row r="171" spans="1:12" x14ac:dyDescent="0.25">
      <c r="A171" t="s">
        <v>238</v>
      </c>
      <c r="B171" s="2">
        <v>7826</v>
      </c>
      <c r="C171" s="2">
        <v>1221</v>
      </c>
      <c r="D171">
        <v>14</v>
      </c>
      <c r="E171" t="s">
        <v>45</v>
      </c>
      <c r="F171" t="s">
        <v>109</v>
      </c>
      <c r="G171" t="s">
        <v>15</v>
      </c>
      <c r="H171" s="1">
        <v>44516</v>
      </c>
      <c r="I171" t="s">
        <v>240</v>
      </c>
      <c r="J171" s="10" t="s">
        <v>17</v>
      </c>
      <c r="K171" t="s">
        <v>34</v>
      </c>
      <c r="L171" t="s">
        <v>175</v>
      </c>
    </row>
    <row r="172" spans="1:12" x14ac:dyDescent="0.25">
      <c r="A172" t="s">
        <v>238</v>
      </c>
      <c r="B172" s="2">
        <v>7826</v>
      </c>
      <c r="C172" s="2">
        <v>1221</v>
      </c>
      <c r="D172">
        <v>14</v>
      </c>
      <c r="E172" t="s">
        <v>45</v>
      </c>
      <c r="F172" t="s">
        <v>109</v>
      </c>
      <c r="G172" t="s">
        <v>15</v>
      </c>
      <c r="H172" s="1">
        <v>44790</v>
      </c>
      <c r="I172" t="s">
        <v>241</v>
      </c>
      <c r="J172" s="10" t="s">
        <v>42</v>
      </c>
      <c r="K172" t="s">
        <v>43</v>
      </c>
      <c r="L172" t="s">
        <v>209</v>
      </c>
    </row>
    <row r="173" spans="1:12" x14ac:dyDescent="0.25">
      <c r="A173" t="s">
        <v>242</v>
      </c>
      <c r="B173" s="2">
        <v>770</v>
      </c>
      <c r="C173" s="2">
        <v>241</v>
      </c>
      <c r="D173">
        <v>11</v>
      </c>
      <c r="E173" t="s">
        <v>45</v>
      </c>
      <c r="F173" t="s">
        <v>60</v>
      </c>
      <c r="G173" t="s">
        <v>65</v>
      </c>
      <c r="H173" s="1">
        <v>44523</v>
      </c>
      <c r="I173" t="s">
        <v>243</v>
      </c>
      <c r="J173" s="10" t="s">
        <v>71</v>
      </c>
      <c r="K173" t="s">
        <v>86</v>
      </c>
      <c r="L173" t="s">
        <v>175</v>
      </c>
    </row>
    <row r="174" spans="1:12" x14ac:dyDescent="0.25">
      <c r="A174" t="s">
        <v>242</v>
      </c>
      <c r="B174" s="2">
        <v>770</v>
      </c>
      <c r="C174" s="2">
        <v>241</v>
      </c>
      <c r="D174">
        <v>11</v>
      </c>
      <c r="E174" t="s">
        <v>45</v>
      </c>
      <c r="F174" t="s">
        <v>60</v>
      </c>
      <c r="G174" t="s">
        <v>65</v>
      </c>
      <c r="H174" s="1">
        <v>44989</v>
      </c>
      <c r="I174" t="s">
        <v>244</v>
      </c>
      <c r="J174" s="10" t="s">
        <v>98</v>
      </c>
      <c r="K174" t="s">
        <v>107</v>
      </c>
      <c r="L174" t="s">
        <v>245</v>
      </c>
    </row>
    <row r="175" spans="1:12" x14ac:dyDescent="0.25">
      <c r="A175" t="s">
        <v>246</v>
      </c>
      <c r="B175" s="2">
        <v>9895</v>
      </c>
      <c r="C175" s="2">
        <v>1598</v>
      </c>
      <c r="D175">
        <v>20</v>
      </c>
      <c r="E175" t="s">
        <v>45</v>
      </c>
      <c r="F175" t="s">
        <v>109</v>
      </c>
      <c r="G175" t="s">
        <v>65</v>
      </c>
      <c r="H175" s="1">
        <v>45276</v>
      </c>
      <c r="I175" t="s">
        <v>247</v>
      </c>
      <c r="J175" s="10" t="s">
        <v>25</v>
      </c>
      <c r="K175" t="s">
        <v>68</v>
      </c>
      <c r="L175" t="s">
        <v>102</v>
      </c>
    </row>
    <row r="176" spans="1:12" x14ac:dyDescent="0.25">
      <c r="A176" t="s">
        <v>248</v>
      </c>
      <c r="B176" s="2">
        <v>6517</v>
      </c>
      <c r="C176" s="2">
        <v>1581</v>
      </c>
      <c r="D176">
        <v>10</v>
      </c>
      <c r="E176" t="s">
        <v>30</v>
      </c>
      <c r="F176" t="s">
        <v>64</v>
      </c>
      <c r="G176" t="s">
        <v>32</v>
      </c>
      <c r="H176" s="1">
        <v>45431</v>
      </c>
      <c r="I176" t="s">
        <v>249</v>
      </c>
      <c r="J176" s="10" t="s">
        <v>17</v>
      </c>
      <c r="K176" t="s">
        <v>18</v>
      </c>
      <c r="L176" t="s">
        <v>35</v>
      </c>
    </row>
    <row r="177" spans="1:12" x14ac:dyDescent="0.25">
      <c r="A177" t="s">
        <v>248</v>
      </c>
      <c r="B177" s="2">
        <v>6517</v>
      </c>
      <c r="C177" s="2">
        <v>1581</v>
      </c>
      <c r="D177">
        <v>10</v>
      </c>
      <c r="E177" t="s">
        <v>30</v>
      </c>
      <c r="F177" t="s">
        <v>64</v>
      </c>
      <c r="G177" t="s">
        <v>32</v>
      </c>
      <c r="H177" s="1">
        <v>43965</v>
      </c>
      <c r="I177" t="s">
        <v>250</v>
      </c>
      <c r="J177" s="10" t="s">
        <v>17</v>
      </c>
      <c r="K177" t="s">
        <v>150</v>
      </c>
      <c r="L177" t="s">
        <v>59</v>
      </c>
    </row>
    <row r="178" spans="1:12" x14ac:dyDescent="0.25">
      <c r="A178" t="s">
        <v>248</v>
      </c>
      <c r="B178" s="2">
        <v>1166</v>
      </c>
      <c r="C178" s="2">
        <v>349</v>
      </c>
      <c r="D178">
        <v>11</v>
      </c>
      <c r="E178" t="s">
        <v>45</v>
      </c>
      <c r="F178" t="s">
        <v>46</v>
      </c>
      <c r="G178" t="s">
        <v>47</v>
      </c>
      <c r="H178" s="1">
        <v>45431</v>
      </c>
      <c r="I178" t="s">
        <v>249</v>
      </c>
      <c r="J178" s="10" t="s">
        <v>17</v>
      </c>
      <c r="K178" t="s">
        <v>18</v>
      </c>
      <c r="L178" t="s">
        <v>35</v>
      </c>
    </row>
    <row r="179" spans="1:12" x14ac:dyDescent="0.25">
      <c r="A179" t="s">
        <v>248</v>
      </c>
      <c r="B179" s="2">
        <v>1166</v>
      </c>
      <c r="C179" s="2">
        <v>349</v>
      </c>
      <c r="D179">
        <v>11</v>
      </c>
      <c r="E179" t="s">
        <v>45</v>
      </c>
      <c r="F179" t="s">
        <v>46</v>
      </c>
      <c r="G179" t="s">
        <v>47</v>
      </c>
      <c r="H179" s="1">
        <v>43965</v>
      </c>
      <c r="I179" t="s">
        <v>250</v>
      </c>
      <c r="J179" s="10" t="s">
        <v>17</v>
      </c>
      <c r="K179" t="s">
        <v>150</v>
      </c>
      <c r="L179" t="s">
        <v>59</v>
      </c>
    </row>
    <row r="180" spans="1:12" x14ac:dyDescent="0.25">
      <c r="A180" t="s">
        <v>251</v>
      </c>
      <c r="B180" s="2">
        <v>9820</v>
      </c>
      <c r="C180" s="2">
        <v>793</v>
      </c>
      <c r="D180">
        <v>16</v>
      </c>
      <c r="E180" t="s">
        <v>45</v>
      </c>
      <c r="F180" t="s">
        <v>49</v>
      </c>
      <c r="G180" t="s">
        <v>47</v>
      </c>
      <c r="H180" s="1">
        <v>44437</v>
      </c>
      <c r="I180" t="s">
        <v>252</v>
      </c>
      <c r="J180" s="10" t="s">
        <v>25</v>
      </c>
      <c r="K180" t="s">
        <v>26</v>
      </c>
      <c r="L180" t="s">
        <v>178</v>
      </c>
    </row>
    <row r="181" spans="1:12" x14ac:dyDescent="0.25">
      <c r="A181" t="s">
        <v>253</v>
      </c>
      <c r="B181" s="2">
        <v>8563</v>
      </c>
      <c r="C181" s="2">
        <v>2624</v>
      </c>
      <c r="D181">
        <v>8</v>
      </c>
      <c r="E181" t="s">
        <v>30</v>
      </c>
      <c r="F181" t="s">
        <v>78</v>
      </c>
      <c r="G181" t="s">
        <v>65</v>
      </c>
      <c r="H181" s="1">
        <v>45606</v>
      </c>
      <c r="I181" t="s">
        <v>254</v>
      </c>
      <c r="J181" s="10" t="s">
        <v>71</v>
      </c>
      <c r="K181" t="s">
        <v>72</v>
      </c>
      <c r="L181" t="s">
        <v>255</v>
      </c>
    </row>
    <row r="182" spans="1:12" x14ac:dyDescent="0.25">
      <c r="A182" t="s">
        <v>253</v>
      </c>
      <c r="B182" s="2">
        <v>4441</v>
      </c>
      <c r="C182" s="2">
        <v>281</v>
      </c>
      <c r="D182">
        <v>20</v>
      </c>
      <c r="E182" t="s">
        <v>13</v>
      </c>
      <c r="F182" t="s">
        <v>28</v>
      </c>
      <c r="G182" t="s">
        <v>65</v>
      </c>
      <c r="H182" s="1">
        <v>45606</v>
      </c>
      <c r="I182" t="s">
        <v>254</v>
      </c>
      <c r="J182" s="10" t="s">
        <v>71</v>
      </c>
      <c r="K182" t="s">
        <v>72</v>
      </c>
      <c r="L182" t="s">
        <v>255</v>
      </c>
    </row>
    <row r="183" spans="1:12" x14ac:dyDescent="0.25">
      <c r="A183" t="s">
        <v>256</v>
      </c>
      <c r="B183" s="2">
        <v>7340</v>
      </c>
      <c r="C183" s="2">
        <v>2271</v>
      </c>
      <c r="D183">
        <v>8</v>
      </c>
      <c r="E183" t="s">
        <v>30</v>
      </c>
      <c r="F183" t="s">
        <v>64</v>
      </c>
      <c r="G183" t="s">
        <v>40</v>
      </c>
      <c r="H183" s="1">
        <v>44535</v>
      </c>
      <c r="I183" t="s">
        <v>257</v>
      </c>
      <c r="J183" s="10" t="s">
        <v>17</v>
      </c>
      <c r="K183" t="s">
        <v>34</v>
      </c>
      <c r="L183" t="s">
        <v>90</v>
      </c>
    </row>
    <row r="184" spans="1:12" x14ac:dyDescent="0.25">
      <c r="A184" t="s">
        <v>256</v>
      </c>
      <c r="B184" s="2">
        <v>5442</v>
      </c>
      <c r="C184" s="2">
        <v>1610</v>
      </c>
      <c r="D184">
        <v>1</v>
      </c>
      <c r="E184" t="s">
        <v>13</v>
      </c>
      <c r="F184" t="s">
        <v>82</v>
      </c>
      <c r="G184" t="s">
        <v>40</v>
      </c>
      <c r="H184" s="1">
        <v>44535</v>
      </c>
      <c r="I184" t="s">
        <v>257</v>
      </c>
      <c r="J184" s="10" t="s">
        <v>17</v>
      </c>
      <c r="K184" t="s">
        <v>34</v>
      </c>
      <c r="L184" t="s">
        <v>90</v>
      </c>
    </row>
    <row r="185" spans="1:12" x14ac:dyDescent="0.25">
      <c r="A185" t="s">
        <v>258</v>
      </c>
      <c r="B185" s="2">
        <v>1895</v>
      </c>
      <c r="C185" s="2">
        <v>391</v>
      </c>
      <c r="D185">
        <v>14</v>
      </c>
      <c r="E185" t="s">
        <v>45</v>
      </c>
      <c r="F185" t="s">
        <v>46</v>
      </c>
      <c r="G185" t="s">
        <v>15</v>
      </c>
      <c r="H185" s="1">
        <v>45478</v>
      </c>
      <c r="I185" t="s">
        <v>259</v>
      </c>
      <c r="J185" s="10" t="s">
        <v>17</v>
      </c>
      <c r="K185" t="s">
        <v>150</v>
      </c>
      <c r="L185" t="s">
        <v>215</v>
      </c>
    </row>
    <row r="186" spans="1:12" x14ac:dyDescent="0.25">
      <c r="A186" t="s">
        <v>258</v>
      </c>
      <c r="B186" s="2">
        <v>5323</v>
      </c>
      <c r="C186" s="2">
        <v>322</v>
      </c>
      <c r="D186">
        <v>13</v>
      </c>
      <c r="E186" t="s">
        <v>30</v>
      </c>
      <c r="F186" t="s">
        <v>78</v>
      </c>
      <c r="G186" t="s">
        <v>65</v>
      </c>
      <c r="H186" s="1">
        <v>45478</v>
      </c>
      <c r="I186" t="s">
        <v>259</v>
      </c>
      <c r="J186" s="10" t="s">
        <v>17</v>
      </c>
      <c r="K186" t="s">
        <v>150</v>
      </c>
      <c r="L186" t="s">
        <v>215</v>
      </c>
    </row>
    <row r="187" spans="1:12" x14ac:dyDescent="0.25">
      <c r="A187" t="s">
        <v>260</v>
      </c>
      <c r="B187" s="2">
        <v>8850</v>
      </c>
      <c r="C187" s="2">
        <v>279</v>
      </c>
      <c r="D187">
        <v>13</v>
      </c>
      <c r="E187" t="s">
        <v>30</v>
      </c>
      <c r="F187" t="s">
        <v>57</v>
      </c>
      <c r="G187" t="s">
        <v>32</v>
      </c>
      <c r="H187" s="1">
        <v>45468</v>
      </c>
      <c r="I187" t="s">
        <v>261</v>
      </c>
      <c r="J187" s="10" t="s">
        <v>17</v>
      </c>
      <c r="K187" t="s">
        <v>18</v>
      </c>
      <c r="L187" t="s">
        <v>262</v>
      </c>
    </row>
    <row r="188" spans="1:12" x14ac:dyDescent="0.25">
      <c r="A188" t="s">
        <v>260</v>
      </c>
      <c r="B188" s="2">
        <v>8667</v>
      </c>
      <c r="C188" s="2">
        <v>1266</v>
      </c>
      <c r="D188">
        <v>6</v>
      </c>
      <c r="E188" t="s">
        <v>30</v>
      </c>
      <c r="F188" t="s">
        <v>64</v>
      </c>
      <c r="G188" t="s">
        <v>32</v>
      </c>
      <c r="H188" s="1">
        <v>45468</v>
      </c>
      <c r="I188" t="s">
        <v>261</v>
      </c>
      <c r="J188" s="10" t="s">
        <v>17</v>
      </c>
      <c r="K188" t="s">
        <v>18</v>
      </c>
      <c r="L188" t="s">
        <v>262</v>
      </c>
    </row>
    <row r="189" spans="1:12" x14ac:dyDescent="0.25">
      <c r="A189" t="s">
        <v>263</v>
      </c>
      <c r="B189" s="2">
        <v>6903</v>
      </c>
      <c r="C189" s="2">
        <v>105</v>
      </c>
      <c r="D189">
        <v>1</v>
      </c>
      <c r="E189" t="s">
        <v>45</v>
      </c>
      <c r="F189" t="s">
        <v>46</v>
      </c>
      <c r="G189" t="s">
        <v>65</v>
      </c>
      <c r="H189" s="1">
        <v>45443</v>
      </c>
      <c r="I189" t="s">
        <v>264</v>
      </c>
      <c r="J189" s="10" t="s">
        <v>21</v>
      </c>
      <c r="K189" t="s">
        <v>22</v>
      </c>
      <c r="L189" t="s">
        <v>35</v>
      </c>
    </row>
    <row r="190" spans="1:12" x14ac:dyDescent="0.25">
      <c r="A190" t="s">
        <v>263</v>
      </c>
      <c r="B190" s="2">
        <v>8793</v>
      </c>
      <c r="C190" s="2">
        <v>3010</v>
      </c>
      <c r="D190">
        <v>7</v>
      </c>
      <c r="E190" t="s">
        <v>30</v>
      </c>
      <c r="F190" t="s">
        <v>31</v>
      </c>
      <c r="G190" t="s">
        <v>65</v>
      </c>
      <c r="H190" s="1">
        <v>45443</v>
      </c>
      <c r="I190" t="s">
        <v>264</v>
      </c>
      <c r="J190" s="10" t="s">
        <v>21</v>
      </c>
      <c r="K190" t="s">
        <v>22</v>
      </c>
      <c r="L190" t="s">
        <v>35</v>
      </c>
    </row>
    <row r="191" spans="1:12" x14ac:dyDescent="0.25">
      <c r="A191" t="s">
        <v>265</v>
      </c>
      <c r="B191" s="2">
        <v>9883</v>
      </c>
      <c r="C191" s="2">
        <v>4812</v>
      </c>
      <c r="D191">
        <v>16</v>
      </c>
      <c r="E191" t="s">
        <v>30</v>
      </c>
      <c r="F191" t="s">
        <v>64</v>
      </c>
      <c r="G191" t="s">
        <v>15</v>
      </c>
      <c r="H191" s="1">
        <v>44124</v>
      </c>
      <c r="I191" t="s">
        <v>266</v>
      </c>
      <c r="J191" s="10" t="s">
        <v>25</v>
      </c>
      <c r="K191" t="s">
        <v>26</v>
      </c>
      <c r="L191" t="s">
        <v>119</v>
      </c>
    </row>
    <row r="192" spans="1:12" x14ac:dyDescent="0.25">
      <c r="A192" t="s">
        <v>265</v>
      </c>
      <c r="B192" s="2">
        <v>9883</v>
      </c>
      <c r="C192" s="2">
        <v>4812</v>
      </c>
      <c r="D192">
        <v>16</v>
      </c>
      <c r="E192" t="s">
        <v>30</v>
      </c>
      <c r="F192" t="s">
        <v>64</v>
      </c>
      <c r="G192" t="s">
        <v>15</v>
      </c>
      <c r="H192" s="1">
        <v>44784</v>
      </c>
      <c r="I192" t="s">
        <v>267</v>
      </c>
      <c r="J192" s="10" t="s">
        <v>17</v>
      </c>
      <c r="K192" t="s">
        <v>34</v>
      </c>
      <c r="L192" t="s">
        <v>209</v>
      </c>
    </row>
    <row r="193" spans="1:12" x14ac:dyDescent="0.25">
      <c r="A193" t="s">
        <v>265</v>
      </c>
      <c r="B193" s="2">
        <v>9883</v>
      </c>
      <c r="C193" s="2">
        <v>4812</v>
      </c>
      <c r="D193">
        <v>16</v>
      </c>
      <c r="E193" t="s">
        <v>30</v>
      </c>
      <c r="F193" t="s">
        <v>64</v>
      </c>
      <c r="G193" t="s">
        <v>15</v>
      </c>
      <c r="H193" s="1">
        <v>44486</v>
      </c>
      <c r="I193" t="s">
        <v>268</v>
      </c>
      <c r="J193" s="10" t="s">
        <v>21</v>
      </c>
      <c r="K193" t="s">
        <v>63</v>
      </c>
      <c r="L193" t="s">
        <v>37</v>
      </c>
    </row>
    <row r="194" spans="1:12" x14ac:dyDescent="0.25">
      <c r="A194" t="s">
        <v>265</v>
      </c>
      <c r="B194" s="2">
        <v>5210</v>
      </c>
      <c r="C194" s="2">
        <v>1185</v>
      </c>
      <c r="D194">
        <v>7</v>
      </c>
      <c r="E194" t="s">
        <v>30</v>
      </c>
      <c r="F194" t="s">
        <v>64</v>
      </c>
      <c r="G194" t="s">
        <v>15</v>
      </c>
      <c r="H194" s="1">
        <v>44124</v>
      </c>
      <c r="I194" t="s">
        <v>266</v>
      </c>
      <c r="J194" s="10" t="s">
        <v>25</v>
      </c>
      <c r="K194" t="s">
        <v>26</v>
      </c>
      <c r="L194" t="s">
        <v>119</v>
      </c>
    </row>
    <row r="195" spans="1:12" x14ac:dyDescent="0.25">
      <c r="A195" t="s">
        <v>265</v>
      </c>
      <c r="B195" s="2">
        <v>5210</v>
      </c>
      <c r="C195" s="2">
        <v>1185</v>
      </c>
      <c r="D195">
        <v>7</v>
      </c>
      <c r="E195" t="s">
        <v>30</v>
      </c>
      <c r="F195" t="s">
        <v>64</v>
      </c>
      <c r="G195" t="s">
        <v>15</v>
      </c>
      <c r="H195" s="1">
        <v>44784</v>
      </c>
      <c r="I195" t="s">
        <v>267</v>
      </c>
      <c r="J195" s="10" t="s">
        <v>17</v>
      </c>
      <c r="K195" t="s">
        <v>34</v>
      </c>
      <c r="L195" t="s">
        <v>209</v>
      </c>
    </row>
    <row r="196" spans="1:12" x14ac:dyDescent="0.25">
      <c r="A196" t="s">
        <v>265</v>
      </c>
      <c r="B196" s="2">
        <v>5210</v>
      </c>
      <c r="C196" s="2">
        <v>1185</v>
      </c>
      <c r="D196">
        <v>7</v>
      </c>
      <c r="E196" t="s">
        <v>30</v>
      </c>
      <c r="F196" t="s">
        <v>64</v>
      </c>
      <c r="G196" t="s">
        <v>15</v>
      </c>
      <c r="H196" s="1">
        <v>44486</v>
      </c>
      <c r="I196" t="s">
        <v>268</v>
      </c>
      <c r="J196" s="10" t="s">
        <v>21</v>
      </c>
      <c r="K196" t="s">
        <v>63</v>
      </c>
      <c r="L196" t="s">
        <v>37</v>
      </c>
    </row>
    <row r="197" spans="1:12" x14ac:dyDescent="0.25">
      <c r="A197" t="s">
        <v>269</v>
      </c>
      <c r="B197" s="2">
        <v>3574</v>
      </c>
      <c r="C197" s="2">
        <v>851</v>
      </c>
      <c r="D197">
        <v>4</v>
      </c>
      <c r="E197" t="s">
        <v>13</v>
      </c>
      <c r="F197" t="s">
        <v>28</v>
      </c>
      <c r="G197" t="s">
        <v>47</v>
      </c>
      <c r="H197" s="1">
        <v>44615</v>
      </c>
      <c r="I197" t="s">
        <v>270</v>
      </c>
      <c r="J197" s="10" t="s">
        <v>42</v>
      </c>
      <c r="K197" t="s">
        <v>43</v>
      </c>
      <c r="L197" t="s">
        <v>137</v>
      </c>
    </row>
    <row r="198" spans="1:12" x14ac:dyDescent="0.25">
      <c r="A198" t="s">
        <v>269</v>
      </c>
      <c r="B198" s="2">
        <v>576</v>
      </c>
      <c r="C198" s="2">
        <v>76</v>
      </c>
      <c r="D198">
        <v>13</v>
      </c>
      <c r="E198" t="s">
        <v>45</v>
      </c>
      <c r="F198" t="s">
        <v>60</v>
      </c>
      <c r="G198" t="s">
        <v>15</v>
      </c>
      <c r="H198" s="1">
        <v>44615</v>
      </c>
      <c r="I198" t="s">
        <v>270</v>
      </c>
      <c r="J198" s="10" t="s">
        <v>42</v>
      </c>
      <c r="K198" t="s">
        <v>43</v>
      </c>
      <c r="L198" t="s">
        <v>137</v>
      </c>
    </row>
    <row r="199" spans="1:12" x14ac:dyDescent="0.25">
      <c r="A199" t="s">
        <v>271</v>
      </c>
      <c r="B199" s="2">
        <v>1860</v>
      </c>
      <c r="C199" s="2">
        <v>457</v>
      </c>
      <c r="D199">
        <v>13</v>
      </c>
      <c r="E199" t="s">
        <v>13</v>
      </c>
      <c r="F199" t="s">
        <v>28</v>
      </c>
      <c r="G199" t="s">
        <v>40</v>
      </c>
      <c r="H199" s="1">
        <v>45189</v>
      </c>
      <c r="I199" t="s">
        <v>272</v>
      </c>
      <c r="J199" s="10" t="s">
        <v>98</v>
      </c>
      <c r="K199" t="s">
        <v>117</v>
      </c>
      <c r="L199" t="s">
        <v>273</v>
      </c>
    </row>
    <row r="200" spans="1:12" x14ac:dyDescent="0.25">
      <c r="A200" t="s">
        <v>274</v>
      </c>
      <c r="B200" s="2">
        <v>782</v>
      </c>
      <c r="C200" s="2">
        <v>374</v>
      </c>
      <c r="D200">
        <v>8</v>
      </c>
      <c r="E200" t="s">
        <v>30</v>
      </c>
      <c r="F200" t="s">
        <v>31</v>
      </c>
      <c r="G200" t="s">
        <v>40</v>
      </c>
      <c r="H200" s="1">
        <v>44215</v>
      </c>
      <c r="I200" t="s">
        <v>275</v>
      </c>
      <c r="J200" s="10" t="s">
        <v>21</v>
      </c>
      <c r="K200" t="s">
        <v>172</v>
      </c>
      <c r="L200" t="s">
        <v>276</v>
      </c>
    </row>
    <row r="201" spans="1:12" x14ac:dyDescent="0.25">
      <c r="A201" t="s">
        <v>274</v>
      </c>
      <c r="B201" s="2">
        <v>4371</v>
      </c>
      <c r="C201" s="2">
        <v>1852</v>
      </c>
      <c r="D201">
        <v>1</v>
      </c>
      <c r="E201" t="s">
        <v>13</v>
      </c>
      <c r="F201" t="s">
        <v>39</v>
      </c>
      <c r="G201" t="s">
        <v>15</v>
      </c>
      <c r="H201" s="1">
        <v>44215</v>
      </c>
      <c r="I201" t="s">
        <v>275</v>
      </c>
      <c r="J201" s="10" t="s">
        <v>21</v>
      </c>
      <c r="K201" t="s">
        <v>172</v>
      </c>
      <c r="L201" t="s">
        <v>276</v>
      </c>
    </row>
    <row r="202" spans="1:12" x14ac:dyDescent="0.25">
      <c r="A202" t="s">
        <v>277</v>
      </c>
      <c r="B202" s="2">
        <v>8346</v>
      </c>
      <c r="C202" s="2">
        <v>1176</v>
      </c>
      <c r="D202">
        <v>1</v>
      </c>
      <c r="E202" t="s">
        <v>13</v>
      </c>
      <c r="F202" t="s">
        <v>82</v>
      </c>
      <c r="G202" t="s">
        <v>65</v>
      </c>
      <c r="H202" s="1">
        <v>44064</v>
      </c>
      <c r="I202" t="s">
        <v>278</v>
      </c>
      <c r="J202" s="10" t="s">
        <v>71</v>
      </c>
      <c r="K202" t="s">
        <v>138</v>
      </c>
      <c r="L202" t="s">
        <v>185</v>
      </c>
    </row>
    <row r="203" spans="1:12" x14ac:dyDescent="0.25">
      <c r="A203" t="s">
        <v>277</v>
      </c>
      <c r="B203" s="2">
        <v>8346</v>
      </c>
      <c r="C203" s="2">
        <v>1176</v>
      </c>
      <c r="D203">
        <v>1</v>
      </c>
      <c r="E203" t="s">
        <v>13</v>
      </c>
      <c r="F203" t="s">
        <v>82</v>
      </c>
      <c r="G203" t="s">
        <v>65</v>
      </c>
      <c r="H203" s="1">
        <v>45033</v>
      </c>
      <c r="I203" t="s">
        <v>279</v>
      </c>
      <c r="J203" s="10" t="s">
        <v>21</v>
      </c>
      <c r="K203" t="s">
        <v>22</v>
      </c>
      <c r="L203" t="s">
        <v>145</v>
      </c>
    </row>
    <row r="204" spans="1:12" x14ac:dyDescent="0.25">
      <c r="A204" t="s">
        <v>277</v>
      </c>
      <c r="B204" s="2">
        <v>8346</v>
      </c>
      <c r="C204" s="2">
        <v>1176</v>
      </c>
      <c r="D204">
        <v>1</v>
      </c>
      <c r="E204" t="s">
        <v>13</v>
      </c>
      <c r="F204" t="s">
        <v>82</v>
      </c>
      <c r="G204" t="s">
        <v>65</v>
      </c>
      <c r="H204" s="1">
        <v>45284</v>
      </c>
      <c r="I204" t="s">
        <v>280</v>
      </c>
      <c r="J204" s="10" t="s">
        <v>42</v>
      </c>
      <c r="K204" t="s">
        <v>92</v>
      </c>
      <c r="L204" t="s">
        <v>102</v>
      </c>
    </row>
    <row r="205" spans="1:12" x14ac:dyDescent="0.25">
      <c r="A205" t="s">
        <v>277</v>
      </c>
      <c r="B205" s="2">
        <v>6218</v>
      </c>
      <c r="C205" s="2">
        <v>1125</v>
      </c>
      <c r="D205">
        <v>5</v>
      </c>
      <c r="E205" t="s">
        <v>45</v>
      </c>
      <c r="F205" t="s">
        <v>46</v>
      </c>
      <c r="G205" t="s">
        <v>32</v>
      </c>
      <c r="H205" s="1">
        <v>44064</v>
      </c>
      <c r="I205" t="s">
        <v>278</v>
      </c>
      <c r="J205" s="10" t="s">
        <v>71</v>
      </c>
      <c r="K205" t="s">
        <v>138</v>
      </c>
      <c r="L205" t="s">
        <v>185</v>
      </c>
    </row>
    <row r="206" spans="1:12" x14ac:dyDescent="0.25">
      <c r="A206" t="s">
        <v>277</v>
      </c>
      <c r="B206" s="2">
        <v>6218</v>
      </c>
      <c r="C206" s="2">
        <v>1125</v>
      </c>
      <c r="D206">
        <v>5</v>
      </c>
      <c r="E206" t="s">
        <v>45</v>
      </c>
      <c r="F206" t="s">
        <v>46</v>
      </c>
      <c r="G206" t="s">
        <v>32</v>
      </c>
      <c r="H206" s="1">
        <v>45033</v>
      </c>
      <c r="I206" t="s">
        <v>279</v>
      </c>
      <c r="J206" s="10" t="s">
        <v>21</v>
      </c>
      <c r="K206" t="s">
        <v>22</v>
      </c>
      <c r="L206" t="s">
        <v>145</v>
      </c>
    </row>
    <row r="207" spans="1:12" x14ac:dyDescent="0.25">
      <c r="A207" t="s">
        <v>277</v>
      </c>
      <c r="B207" s="2">
        <v>6218</v>
      </c>
      <c r="C207" s="2">
        <v>1125</v>
      </c>
      <c r="D207">
        <v>5</v>
      </c>
      <c r="E207" t="s">
        <v>45</v>
      </c>
      <c r="F207" t="s">
        <v>46</v>
      </c>
      <c r="G207" t="s">
        <v>32</v>
      </c>
      <c r="H207" s="1">
        <v>45284</v>
      </c>
      <c r="I207" t="s">
        <v>280</v>
      </c>
      <c r="J207" s="10" t="s">
        <v>42</v>
      </c>
      <c r="K207" t="s">
        <v>92</v>
      </c>
      <c r="L207" t="s">
        <v>102</v>
      </c>
    </row>
    <row r="208" spans="1:12" x14ac:dyDescent="0.25">
      <c r="A208" t="s">
        <v>277</v>
      </c>
      <c r="B208" s="2">
        <v>5167</v>
      </c>
      <c r="C208" s="2">
        <v>253</v>
      </c>
      <c r="D208">
        <v>14</v>
      </c>
      <c r="E208" t="s">
        <v>13</v>
      </c>
      <c r="F208" t="s">
        <v>28</v>
      </c>
      <c r="G208" t="s">
        <v>47</v>
      </c>
      <c r="H208" s="1">
        <v>44064</v>
      </c>
      <c r="I208" t="s">
        <v>278</v>
      </c>
      <c r="J208" s="10" t="s">
        <v>71</v>
      </c>
      <c r="K208" t="s">
        <v>138</v>
      </c>
      <c r="L208" t="s">
        <v>185</v>
      </c>
    </row>
    <row r="209" spans="1:12" x14ac:dyDescent="0.25">
      <c r="A209" t="s">
        <v>277</v>
      </c>
      <c r="B209" s="2">
        <v>5167</v>
      </c>
      <c r="C209" s="2">
        <v>253</v>
      </c>
      <c r="D209">
        <v>14</v>
      </c>
      <c r="E209" t="s">
        <v>13</v>
      </c>
      <c r="F209" t="s">
        <v>28</v>
      </c>
      <c r="G209" t="s">
        <v>47</v>
      </c>
      <c r="H209" s="1">
        <v>45033</v>
      </c>
      <c r="I209" t="s">
        <v>279</v>
      </c>
      <c r="J209" s="10" t="s">
        <v>21</v>
      </c>
      <c r="K209" t="s">
        <v>22</v>
      </c>
      <c r="L209" t="s">
        <v>145</v>
      </c>
    </row>
    <row r="210" spans="1:12" x14ac:dyDescent="0.25">
      <c r="A210" t="s">
        <v>277</v>
      </c>
      <c r="B210" s="2">
        <v>5167</v>
      </c>
      <c r="C210" s="2">
        <v>253</v>
      </c>
      <c r="D210">
        <v>14</v>
      </c>
      <c r="E210" t="s">
        <v>13</v>
      </c>
      <c r="F210" t="s">
        <v>28</v>
      </c>
      <c r="G210" t="s">
        <v>47</v>
      </c>
      <c r="H210" s="1">
        <v>45284</v>
      </c>
      <c r="I210" t="s">
        <v>280</v>
      </c>
      <c r="J210" s="10" t="s">
        <v>42</v>
      </c>
      <c r="K210" t="s">
        <v>92</v>
      </c>
      <c r="L210" t="s">
        <v>102</v>
      </c>
    </row>
    <row r="211" spans="1:12" x14ac:dyDescent="0.25">
      <c r="A211" t="s">
        <v>277</v>
      </c>
      <c r="B211" s="2">
        <v>2799</v>
      </c>
      <c r="C211" s="2">
        <v>1239</v>
      </c>
      <c r="D211">
        <v>5</v>
      </c>
      <c r="E211" t="s">
        <v>45</v>
      </c>
      <c r="F211" t="s">
        <v>60</v>
      </c>
      <c r="G211" t="s">
        <v>32</v>
      </c>
      <c r="H211" s="1">
        <v>44064</v>
      </c>
      <c r="I211" t="s">
        <v>278</v>
      </c>
      <c r="J211" s="10" t="s">
        <v>71</v>
      </c>
      <c r="K211" t="s">
        <v>138</v>
      </c>
      <c r="L211" t="s">
        <v>185</v>
      </c>
    </row>
    <row r="212" spans="1:12" x14ac:dyDescent="0.25">
      <c r="A212" t="s">
        <v>277</v>
      </c>
      <c r="B212" s="2">
        <v>2799</v>
      </c>
      <c r="C212" s="2">
        <v>1239</v>
      </c>
      <c r="D212">
        <v>5</v>
      </c>
      <c r="E212" t="s">
        <v>45</v>
      </c>
      <c r="F212" t="s">
        <v>60</v>
      </c>
      <c r="G212" t="s">
        <v>32</v>
      </c>
      <c r="H212" s="1">
        <v>45033</v>
      </c>
      <c r="I212" t="s">
        <v>279</v>
      </c>
      <c r="J212" s="10" t="s">
        <v>21</v>
      </c>
      <c r="K212" t="s">
        <v>22</v>
      </c>
      <c r="L212" t="s">
        <v>145</v>
      </c>
    </row>
    <row r="213" spans="1:12" x14ac:dyDescent="0.25">
      <c r="A213" t="s">
        <v>277</v>
      </c>
      <c r="B213" s="2">
        <v>2799</v>
      </c>
      <c r="C213" s="2">
        <v>1239</v>
      </c>
      <c r="D213">
        <v>5</v>
      </c>
      <c r="E213" t="s">
        <v>45</v>
      </c>
      <c r="F213" t="s">
        <v>60</v>
      </c>
      <c r="G213" t="s">
        <v>32</v>
      </c>
      <c r="H213" s="1">
        <v>45284</v>
      </c>
      <c r="I213" t="s">
        <v>280</v>
      </c>
      <c r="J213" s="10" t="s">
        <v>42</v>
      </c>
      <c r="K213" t="s">
        <v>92</v>
      </c>
      <c r="L213" t="s">
        <v>102</v>
      </c>
    </row>
    <row r="214" spans="1:12" x14ac:dyDescent="0.25">
      <c r="A214" t="s">
        <v>281</v>
      </c>
      <c r="B214" s="2">
        <v>3234</v>
      </c>
      <c r="C214" s="2">
        <v>1029</v>
      </c>
      <c r="D214">
        <v>20</v>
      </c>
      <c r="E214" t="s">
        <v>30</v>
      </c>
      <c r="F214" t="s">
        <v>57</v>
      </c>
      <c r="G214" t="s">
        <v>47</v>
      </c>
      <c r="H214" s="1">
        <v>44640</v>
      </c>
      <c r="I214" t="s">
        <v>282</v>
      </c>
      <c r="J214" s="10" t="s">
        <v>17</v>
      </c>
      <c r="K214" t="s">
        <v>18</v>
      </c>
      <c r="L214" t="s">
        <v>134</v>
      </c>
    </row>
    <row r="215" spans="1:12" x14ac:dyDescent="0.25">
      <c r="A215" t="s">
        <v>283</v>
      </c>
      <c r="B215" s="2">
        <v>4920</v>
      </c>
      <c r="C215" s="2">
        <v>775</v>
      </c>
      <c r="D215">
        <v>12</v>
      </c>
      <c r="E215" t="s">
        <v>45</v>
      </c>
      <c r="F215" t="s">
        <v>46</v>
      </c>
      <c r="G215" t="s">
        <v>32</v>
      </c>
      <c r="H215" s="1">
        <v>44420</v>
      </c>
      <c r="I215" t="s">
        <v>284</v>
      </c>
      <c r="J215" s="10" t="s">
        <v>21</v>
      </c>
      <c r="K215" t="s">
        <v>63</v>
      </c>
      <c r="L215" t="s">
        <v>178</v>
      </c>
    </row>
    <row r="216" spans="1:12" x14ac:dyDescent="0.25">
      <c r="A216" t="s">
        <v>283</v>
      </c>
      <c r="B216" s="2">
        <v>9078</v>
      </c>
      <c r="C216" s="2">
        <v>2213</v>
      </c>
      <c r="D216">
        <v>15</v>
      </c>
      <c r="E216" t="s">
        <v>45</v>
      </c>
      <c r="F216" t="s">
        <v>109</v>
      </c>
      <c r="G216" t="s">
        <v>40</v>
      </c>
      <c r="H216" s="1">
        <v>44420</v>
      </c>
      <c r="I216" t="s">
        <v>284</v>
      </c>
      <c r="J216" s="10" t="s">
        <v>21</v>
      </c>
      <c r="K216" t="s">
        <v>63</v>
      </c>
      <c r="L216" t="s">
        <v>178</v>
      </c>
    </row>
    <row r="217" spans="1:12" x14ac:dyDescent="0.25">
      <c r="A217" t="s">
        <v>285</v>
      </c>
      <c r="B217" s="2">
        <v>8586</v>
      </c>
      <c r="C217" s="2">
        <v>3826</v>
      </c>
      <c r="D217">
        <v>7</v>
      </c>
      <c r="E217" t="s">
        <v>45</v>
      </c>
      <c r="F217" t="s">
        <v>109</v>
      </c>
      <c r="G217" t="s">
        <v>15</v>
      </c>
      <c r="H217" s="1">
        <v>44186</v>
      </c>
      <c r="I217" t="s">
        <v>286</v>
      </c>
      <c r="J217" s="10" t="s">
        <v>17</v>
      </c>
      <c r="K217" t="s">
        <v>18</v>
      </c>
      <c r="L217" t="s">
        <v>287</v>
      </c>
    </row>
    <row r="218" spans="1:12" x14ac:dyDescent="0.25">
      <c r="A218" t="s">
        <v>285</v>
      </c>
      <c r="B218" s="2">
        <v>8586</v>
      </c>
      <c r="C218" s="2">
        <v>3826</v>
      </c>
      <c r="D218">
        <v>7</v>
      </c>
      <c r="E218" t="s">
        <v>45</v>
      </c>
      <c r="F218" t="s">
        <v>109</v>
      </c>
      <c r="G218" t="s">
        <v>15</v>
      </c>
      <c r="H218" s="1">
        <v>45114</v>
      </c>
      <c r="I218" t="s">
        <v>288</v>
      </c>
      <c r="J218" s="10" t="s">
        <v>17</v>
      </c>
      <c r="K218" t="s">
        <v>150</v>
      </c>
      <c r="L218" t="s">
        <v>105</v>
      </c>
    </row>
    <row r="219" spans="1:12" x14ac:dyDescent="0.25">
      <c r="A219" t="s">
        <v>289</v>
      </c>
      <c r="B219" s="2">
        <v>5047</v>
      </c>
      <c r="C219" s="2">
        <v>2211</v>
      </c>
      <c r="D219">
        <v>13</v>
      </c>
      <c r="E219" t="s">
        <v>45</v>
      </c>
      <c r="F219" t="s">
        <v>60</v>
      </c>
      <c r="G219" t="s">
        <v>40</v>
      </c>
      <c r="H219" s="1">
        <v>45151</v>
      </c>
      <c r="I219" t="s">
        <v>290</v>
      </c>
      <c r="J219" s="10" t="s">
        <v>42</v>
      </c>
      <c r="K219" t="s">
        <v>92</v>
      </c>
      <c r="L219" t="s">
        <v>121</v>
      </c>
    </row>
    <row r="220" spans="1:12" x14ac:dyDescent="0.25">
      <c r="A220" t="s">
        <v>289</v>
      </c>
      <c r="B220" s="2">
        <v>5047</v>
      </c>
      <c r="C220" s="2">
        <v>2211</v>
      </c>
      <c r="D220">
        <v>13</v>
      </c>
      <c r="E220" t="s">
        <v>45</v>
      </c>
      <c r="F220" t="s">
        <v>60</v>
      </c>
      <c r="G220" t="s">
        <v>40</v>
      </c>
      <c r="H220" s="1">
        <v>44231</v>
      </c>
      <c r="I220" t="s">
        <v>291</v>
      </c>
      <c r="J220" s="10" t="s">
        <v>21</v>
      </c>
      <c r="K220" t="s">
        <v>22</v>
      </c>
      <c r="L220" t="s">
        <v>292</v>
      </c>
    </row>
    <row r="221" spans="1:12" x14ac:dyDescent="0.25">
      <c r="A221" t="s">
        <v>289</v>
      </c>
      <c r="B221" s="2">
        <v>5047</v>
      </c>
      <c r="C221" s="2">
        <v>2211</v>
      </c>
      <c r="D221">
        <v>13</v>
      </c>
      <c r="E221" t="s">
        <v>45</v>
      </c>
      <c r="F221" t="s">
        <v>60</v>
      </c>
      <c r="G221" t="s">
        <v>40</v>
      </c>
      <c r="H221" s="1">
        <v>44820</v>
      </c>
      <c r="I221" t="s">
        <v>293</v>
      </c>
      <c r="J221" s="10" t="s">
        <v>21</v>
      </c>
      <c r="K221" t="s">
        <v>172</v>
      </c>
      <c r="L221" t="s">
        <v>131</v>
      </c>
    </row>
    <row r="222" spans="1:12" x14ac:dyDescent="0.25">
      <c r="A222" t="s">
        <v>289</v>
      </c>
      <c r="B222" s="2">
        <v>5047</v>
      </c>
      <c r="C222" s="2">
        <v>2211</v>
      </c>
      <c r="D222">
        <v>13</v>
      </c>
      <c r="E222" t="s">
        <v>45</v>
      </c>
      <c r="F222" t="s">
        <v>60</v>
      </c>
      <c r="G222" t="s">
        <v>40</v>
      </c>
      <c r="H222" s="1">
        <v>44687</v>
      </c>
      <c r="I222" t="s">
        <v>294</v>
      </c>
      <c r="J222" s="10" t="s">
        <v>25</v>
      </c>
      <c r="K222" t="s">
        <v>26</v>
      </c>
      <c r="L222" t="s">
        <v>180</v>
      </c>
    </row>
    <row r="223" spans="1:12" x14ac:dyDescent="0.25">
      <c r="A223" t="s">
        <v>295</v>
      </c>
      <c r="B223" s="2">
        <v>3657</v>
      </c>
      <c r="C223" s="2">
        <v>163</v>
      </c>
      <c r="D223">
        <v>1</v>
      </c>
      <c r="E223" t="s">
        <v>45</v>
      </c>
      <c r="F223" t="s">
        <v>60</v>
      </c>
      <c r="G223" t="s">
        <v>15</v>
      </c>
      <c r="H223" s="1">
        <v>44344</v>
      </c>
      <c r="I223" t="s">
        <v>296</v>
      </c>
      <c r="J223" s="10" t="s">
        <v>42</v>
      </c>
      <c r="K223" t="s">
        <v>92</v>
      </c>
      <c r="L223" t="s">
        <v>108</v>
      </c>
    </row>
    <row r="224" spans="1:12" x14ac:dyDescent="0.25">
      <c r="A224" t="s">
        <v>297</v>
      </c>
      <c r="B224" s="2">
        <v>6471</v>
      </c>
      <c r="C224" s="2">
        <v>2842</v>
      </c>
      <c r="D224">
        <v>18</v>
      </c>
      <c r="E224" t="s">
        <v>13</v>
      </c>
      <c r="F224" t="s">
        <v>14</v>
      </c>
      <c r="G224" t="s">
        <v>15</v>
      </c>
      <c r="H224" s="1">
        <v>45491</v>
      </c>
      <c r="I224" t="s">
        <v>298</v>
      </c>
      <c r="J224" s="10" t="s">
        <v>21</v>
      </c>
      <c r="K224" t="s">
        <v>172</v>
      </c>
      <c r="L224" t="s">
        <v>215</v>
      </c>
    </row>
    <row r="225" spans="1:12" x14ac:dyDescent="0.25">
      <c r="A225" t="s">
        <v>299</v>
      </c>
      <c r="B225" s="2">
        <v>949</v>
      </c>
      <c r="C225" s="2">
        <v>301</v>
      </c>
      <c r="D225">
        <v>9</v>
      </c>
      <c r="E225" t="s">
        <v>30</v>
      </c>
      <c r="F225" t="s">
        <v>78</v>
      </c>
      <c r="G225" t="s">
        <v>15</v>
      </c>
      <c r="H225" s="1">
        <v>45632</v>
      </c>
      <c r="I225" t="s">
        <v>300</v>
      </c>
      <c r="J225" s="10" t="s">
        <v>98</v>
      </c>
      <c r="K225" t="s">
        <v>117</v>
      </c>
      <c r="L225" t="s">
        <v>23</v>
      </c>
    </row>
    <row r="226" spans="1:12" x14ac:dyDescent="0.25">
      <c r="A226" t="s">
        <v>299</v>
      </c>
      <c r="B226" s="2">
        <v>6823</v>
      </c>
      <c r="C226" s="2">
        <v>771</v>
      </c>
      <c r="D226">
        <v>6</v>
      </c>
      <c r="E226" t="s">
        <v>30</v>
      </c>
      <c r="F226" t="s">
        <v>78</v>
      </c>
      <c r="G226" t="s">
        <v>40</v>
      </c>
      <c r="H226" s="1">
        <v>45632</v>
      </c>
      <c r="I226" t="s">
        <v>300</v>
      </c>
      <c r="J226" s="10" t="s">
        <v>98</v>
      </c>
      <c r="K226" t="s">
        <v>117</v>
      </c>
      <c r="L226" t="s">
        <v>23</v>
      </c>
    </row>
    <row r="227" spans="1:12" x14ac:dyDescent="0.25">
      <c r="A227" t="s">
        <v>299</v>
      </c>
      <c r="B227" s="2">
        <v>4364</v>
      </c>
      <c r="C227" s="2">
        <v>831</v>
      </c>
      <c r="D227">
        <v>2</v>
      </c>
      <c r="E227" t="s">
        <v>45</v>
      </c>
      <c r="F227" t="s">
        <v>46</v>
      </c>
      <c r="G227" t="s">
        <v>40</v>
      </c>
      <c r="H227" s="1">
        <v>45632</v>
      </c>
      <c r="I227" t="s">
        <v>300</v>
      </c>
      <c r="J227" s="10" t="s">
        <v>98</v>
      </c>
      <c r="K227" t="s">
        <v>117</v>
      </c>
      <c r="L227" t="s">
        <v>23</v>
      </c>
    </row>
    <row r="228" spans="1:12" x14ac:dyDescent="0.25">
      <c r="A228" t="s">
        <v>301</v>
      </c>
      <c r="B228" s="2">
        <v>6671</v>
      </c>
      <c r="C228" s="2">
        <v>2797</v>
      </c>
      <c r="D228">
        <v>10</v>
      </c>
      <c r="E228" t="s">
        <v>13</v>
      </c>
      <c r="F228" t="s">
        <v>82</v>
      </c>
      <c r="G228" t="s">
        <v>15</v>
      </c>
      <c r="H228" s="1">
        <v>44907</v>
      </c>
      <c r="I228" t="s">
        <v>302</v>
      </c>
      <c r="J228" s="10" t="s">
        <v>21</v>
      </c>
      <c r="K228" t="s">
        <v>172</v>
      </c>
      <c r="L228" t="s">
        <v>152</v>
      </c>
    </row>
    <row r="229" spans="1:12" x14ac:dyDescent="0.25">
      <c r="A229" t="s">
        <v>303</v>
      </c>
      <c r="B229" s="2">
        <v>7472</v>
      </c>
      <c r="C229" s="2">
        <v>1037</v>
      </c>
      <c r="D229">
        <v>3</v>
      </c>
      <c r="E229" t="s">
        <v>30</v>
      </c>
      <c r="F229" t="s">
        <v>64</v>
      </c>
      <c r="G229" t="s">
        <v>65</v>
      </c>
      <c r="H229" s="1">
        <v>44854</v>
      </c>
      <c r="I229" t="s">
        <v>304</v>
      </c>
      <c r="J229" s="10" t="s">
        <v>21</v>
      </c>
      <c r="K229" t="s">
        <v>63</v>
      </c>
      <c r="L229" t="s">
        <v>96</v>
      </c>
    </row>
    <row r="230" spans="1:12" x14ac:dyDescent="0.25">
      <c r="A230" t="s">
        <v>303</v>
      </c>
      <c r="B230" s="2">
        <v>9548</v>
      </c>
      <c r="C230" s="2">
        <v>1806</v>
      </c>
      <c r="D230">
        <v>9</v>
      </c>
      <c r="E230" t="s">
        <v>13</v>
      </c>
      <c r="F230" t="s">
        <v>28</v>
      </c>
      <c r="G230" t="s">
        <v>65</v>
      </c>
      <c r="H230" s="1">
        <v>44854</v>
      </c>
      <c r="I230" t="s">
        <v>304</v>
      </c>
      <c r="J230" s="10" t="s">
        <v>21</v>
      </c>
      <c r="K230" t="s">
        <v>63</v>
      </c>
      <c r="L230" t="s">
        <v>96</v>
      </c>
    </row>
    <row r="231" spans="1:12" x14ac:dyDescent="0.25">
      <c r="A231" t="s">
        <v>305</v>
      </c>
      <c r="B231" s="2">
        <v>7759</v>
      </c>
      <c r="C231" s="2">
        <v>3741</v>
      </c>
      <c r="D231">
        <v>17</v>
      </c>
      <c r="E231" t="s">
        <v>13</v>
      </c>
      <c r="F231" t="s">
        <v>28</v>
      </c>
      <c r="G231" t="s">
        <v>15</v>
      </c>
      <c r="H231" s="1">
        <v>44279</v>
      </c>
      <c r="I231" t="s">
        <v>306</v>
      </c>
      <c r="J231" s="10" t="s">
        <v>17</v>
      </c>
      <c r="K231" t="s">
        <v>18</v>
      </c>
      <c r="L231" t="s">
        <v>167</v>
      </c>
    </row>
    <row r="232" spans="1:12" x14ac:dyDescent="0.25">
      <c r="A232" t="s">
        <v>305</v>
      </c>
      <c r="B232" s="2">
        <v>7759</v>
      </c>
      <c r="C232" s="2">
        <v>3741</v>
      </c>
      <c r="D232">
        <v>17</v>
      </c>
      <c r="E232" t="s">
        <v>13</v>
      </c>
      <c r="F232" t="s">
        <v>28</v>
      </c>
      <c r="G232" t="s">
        <v>15</v>
      </c>
      <c r="H232" s="1">
        <v>45663</v>
      </c>
      <c r="I232" t="s">
        <v>307</v>
      </c>
      <c r="J232" s="10" t="s">
        <v>71</v>
      </c>
      <c r="K232" t="s">
        <v>72</v>
      </c>
      <c r="L232" t="s">
        <v>308</v>
      </c>
    </row>
    <row r="233" spans="1:12" x14ac:dyDescent="0.25">
      <c r="A233" t="s">
        <v>305</v>
      </c>
      <c r="B233" s="2">
        <v>7521</v>
      </c>
      <c r="C233" s="2">
        <v>3457</v>
      </c>
      <c r="D233">
        <v>16</v>
      </c>
      <c r="E233" t="s">
        <v>30</v>
      </c>
      <c r="F233" t="s">
        <v>57</v>
      </c>
      <c r="G233" t="s">
        <v>32</v>
      </c>
      <c r="H233" s="1">
        <v>44279</v>
      </c>
      <c r="I233" t="s">
        <v>306</v>
      </c>
      <c r="J233" s="10" t="s">
        <v>17</v>
      </c>
      <c r="K233" t="s">
        <v>18</v>
      </c>
      <c r="L233" t="s">
        <v>167</v>
      </c>
    </row>
    <row r="234" spans="1:12" x14ac:dyDescent="0.25">
      <c r="A234" t="s">
        <v>305</v>
      </c>
      <c r="B234" s="2">
        <v>7521</v>
      </c>
      <c r="C234" s="2">
        <v>3457</v>
      </c>
      <c r="D234">
        <v>16</v>
      </c>
      <c r="E234" t="s">
        <v>30</v>
      </c>
      <c r="F234" t="s">
        <v>57</v>
      </c>
      <c r="G234" t="s">
        <v>32</v>
      </c>
      <c r="H234" s="1">
        <v>45663</v>
      </c>
      <c r="I234" t="s">
        <v>307</v>
      </c>
      <c r="J234" s="10" t="s">
        <v>71</v>
      </c>
      <c r="K234" t="s">
        <v>72</v>
      </c>
      <c r="L234" t="s">
        <v>308</v>
      </c>
    </row>
    <row r="235" spans="1:12" x14ac:dyDescent="0.25">
      <c r="A235" t="s">
        <v>309</v>
      </c>
      <c r="B235" s="2">
        <v>9704</v>
      </c>
      <c r="C235" s="2">
        <v>4339</v>
      </c>
      <c r="D235">
        <v>12</v>
      </c>
      <c r="E235" t="s">
        <v>30</v>
      </c>
      <c r="F235" t="s">
        <v>31</v>
      </c>
      <c r="G235" t="s">
        <v>65</v>
      </c>
      <c r="H235" s="1">
        <v>44261</v>
      </c>
      <c r="I235" t="s">
        <v>310</v>
      </c>
      <c r="J235" s="10" t="s">
        <v>71</v>
      </c>
      <c r="K235" t="s">
        <v>138</v>
      </c>
      <c r="L235" t="s">
        <v>167</v>
      </c>
    </row>
    <row r="236" spans="1:12" x14ac:dyDescent="0.25">
      <c r="A236" t="s">
        <v>309</v>
      </c>
      <c r="B236" s="2">
        <v>4948</v>
      </c>
      <c r="C236" s="2">
        <v>2356</v>
      </c>
      <c r="D236">
        <v>18</v>
      </c>
      <c r="E236" t="s">
        <v>13</v>
      </c>
      <c r="F236" t="s">
        <v>28</v>
      </c>
      <c r="G236" t="s">
        <v>32</v>
      </c>
      <c r="H236" s="1">
        <v>44261</v>
      </c>
      <c r="I236" t="s">
        <v>310</v>
      </c>
      <c r="J236" s="10" t="s">
        <v>71</v>
      </c>
      <c r="K236" t="s">
        <v>138</v>
      </c>
      <c r="L236" t="s">
        <v>167</v>
      </c>
    </row>
    <row r="237" spans="1:12" x14ac:dyDescent="0.25">
      <c r="A237" t="s">
        <v>309</v>
      </c>
      <c r="B237" s="2">
        <v>6435</v>
      </c>
      <c r="C237" s="2">
        <v>334</v>
      </c>
      <c r="D237">
        <v>10</v>
      </c>
      <c r="E237" t="s">
        <v>13</v>
      </c>
      <c r="F237" t="s">
        <v>14</v>
      </c>
      <c r="G237" t="s">
        <v>32</v>
      </c>
      <c r="H237" s="1">
        <v>44261</v>
      </c>
      <c r="I237" t="s">
        <v>310</v>
      </c>
      <c r="J237" s="10" t="s">
        <v>71</v>
      </c>
      <c r="K237" t="s">
        <v>138</v>
      </c>
      <c r="L237" t="s">
        <v>167</v>
      </c>
    </row>
    <row r="238" spans="1:12" x14ac:dyDescent="0.25">
      <c r="A238" t="s">
        <v>311</v>
      </c>
      <c r="B238" s="2">
        <v>9965</v>
      </c>
      <c r="C238" s="2">
        <v>3033</v>
      </c>
      <c r="D238">
        <v>16</v>
      </c>
      <c r="E238" t="s">
        <v>30</v>
      </c>
      <c r="F238" t="s">
        <v>57</v>
      </c>
      <c r="G238" t="s">
        <v>65</v>
      </c>
      <c r="H238" s="1">
        <v>43999</v>
      </c>
      <c r="I238" t="s">
        <v>312</v>
      </c>
      <c r="J238" s="10" t="s">
        <v>42</v>
      </c>
      <c r="K238" t="s">
        <v>92</v>
      </c>
      <c r="L238" t="s">
        <v>313</v>
      </c>
    </row>
    <row r="239" spans="1:12" x14ac:dyDescent="0.25">
      <c r="A239" t="s">
        <v>311</v>
      </c>
      <c r="B239" s="2">
        <v>9965</v>
      </c>
      <c r="C239" s="2">
        <v>3033</v>
      </c>
      <c r="D239">
        <v>16</v>
      </c>
      <c r="E239" t="s">
        <v>30</v>
      </c>
      <c r="F239" t="s">
        <v>57</v>
      </c>
      <c r="G239" t="s">
        <v>65</v>
      </c>
      <c r="H239" s="1">
        <v>45170</v>
      </c>
      <c r="I239" t="s">
        <v>314</v>
      </c>
      <c r="J239" s="10" t="s">
        <v>25</v>
      </c>
      <c r="K239" t="s">
        <v>26</v>
      </c>
      <c r="L239" t="s">
        <v>273</v>
      </c>
    </row>
    <row r="240" spans="1:12" x14ac:dyDescent="0.25">
      <c r="A240" t="s">
        <v>315</v>
      </c>
      <c r="B240" s="2">
        <v>1523</v>
      </c>
      <c r="C240" s="2">
        <v>234</v>
      </c>
      <c r="D240">
        <v>3</v>
      </c>
      <c r="E240" t="s">
        <v>45</v>
      </c>
      <c r="F240" t="s">
        <v>60</v>
      </c>
      <c r="G240" t="s">
        <v>15</v>
      </c>
      <c r="H240" s="1">
        <v>45085</v>
      </c>
      <c r="I240" t="s">
        <v>316</v>
      </c>
      <c r="J240" s="10" t="s">
        <v>25</v>
      </c>
      <c r="K240" t="s">
        <v>68</v>
      </c>
      <c r="L240" t="s">
        <v>19</v>
      </c>
    </row>
    <row r="241" spans="1:12" x14ac:dyDescent="0.25">
      <c r="A241" t="s">
        <v>315</v>
      </c>
      <c r="B241" s="2">
        <v>9073</v>
      </c>
      <c r="C241" s="2">
        <v>424</v>
      </c>
      <c r="D241">
        <v>7</v>
      </c>
      <c r="E241" t="s">
        <v>13</v>
      </c>
      <c r="F241" t="s">
        <v>14</v>
      </c>
      <c r="G241" t="s">
        <v>32</v>
      </c>
      <c r="H241" s="1">
        <v>45085</v>
      </c>
      <c r="I241" t="s">
        <v>316</v>
      </c>
      <c r="J241" s="10" t="s">
        <v>25</v>
      </c>
      <c r="K241" t="s">
        <v>68</v>
      </c>
      <c r="L241" t="s">
        <v>19</v>
      </c>
    </row>
    <row r="242" spans="1:12" x14ac:dyDescent="0.25">
      <c r="A242" t="s">
        <v>317</v>
      </c>
      <c r="B242" s="2">
        <v>6447</v>
      </c>
      <c r="C242" s="2">
        <v>3079</v>
      </c>
      <c r="D242">
        <v>20</v>
      </c>
      <c r="E242" t="s">
        <v>13</v>
      </c>
      <c r="F242" t="s">
        <v>39</v>
      </c>
      <c r="G242" t="s">
        <v>65</v>
      </c>
      <c r="H242" s="1">
        <v>44280</v>
      </c>
      <c r="I242" t="s">
        <v>318</v>
      </c>
      <c r="J242" s="10" t="s">
        <v>25</v>
      </c>
      <c r="K242" t="s">
        <v>68</v>
      </c>
      <c r="L242" t="s">
        <v>167</v>
      </c>
    </row>
    <row r="243" spans="1:12" x14ac:dyDescent="0.25">
      <c r="A243" t="s">
        <v>317</v>
      </c>
      <c r="B243" s="2">
        <v>8947</v>
      </c>
      <c r="C243" s="2">
        <v>2807</v>
      </c>
      <c r="D243">
        <v>6</v>
      </c>
      <c r="E243" t="s">
        <v>13</v>
      </c>
      <c r="F243" t="s">
        <v>14</v>
      </c>
      <c r="G243" t="s">
        <v>47</v>
      </c>
      <c r="H243" s="1">
        <v>44280</v>
      </c>
      <c r="I243" t="s">
        <v>318</v>
      </c>
      <c r="J243" s="10" t="s">
        <v>25</v>
      </c>
      <c r="K243" t="s">
        <v>68</v>
      </c>
      <c r="L243" t="s">
        <v>167</v>
      </c>
    </row>
    <row r="244" spans="1:12" x14ac:dyDescent="0.25">
      <c r="A244" t="s">
        <v>319</v>
      </c>
      <c r="B244" s="2">
        <v>914</v>
      </c>
      <c r="C244" s="2">
        <v>400</v>
      </c>
      <c r="D244">
        <v>8</v>
      </c>
      <c r="E244" t="s">
        <v>30</v>
      </c>
      <c r="F244" t="s">
        <v>31</v>
      </c>
      <c r="G244" t="s">
        <v>32</v>
      </c>
      <c r="H244" s="1">
        <v>44199</v>
      </c>
      <c r="I244" t="s">
        <v>320</v>
      </c>
      <c r="J244" s="10" t="s">
        <v>42</v>
      </c>
      <c r="K244" t="s">
        <v>43</v>
      </c>
      <c r="L244" t="s">
        <v>276</v>
      </c>
    </row>
    <row r="245" spans="1:12" x14ac:dyDescent="0.25">
      <c r="A245" t="s">
        <v>319</v>
      </c>
      <c r="B245" s="2">
        <v>1548</v>
      </c>
      <c r="C245" s="2">
        <v>666</v>
      </c>
      <c r="D245">
        <v>3</v>
      </c>
      <c r="E245" t="s">
        <v>30</v>
      </c>
      <c r="F245" t="s">
        <v>64</v>
      </c>
      <c r="G245" t="s">
        <v>47</v>
      </c>
      <c r="H245" s="1">
        <v>44199</v>
      </c>
      <c r="I245" t="s">
        <v>320</v>
      </c>
      <c r="J245" s="10" t="s">
        <v>42</v>
      </c>
      <c r="K245" t="s">
        <v>43</v>
      </c>
      <c r="L245" t="s">
        <v>276</v>
      </c>
    </row>
    <row r="246" spans="1:12" x14ac:dyDescent="0.25">
      <c r="A246" t="s">
        <v>321</v>
      </c>
      <c r="B246" s="2">
        <v>2759</v>
      </c>
      <c r="C246" s="2">
        <v>1149</v>
      </c>
      <c r="D246">
        <v>6</v>
      </c>
      <c r="E246" t="s">
        <v>45</v>
      </c>
      <c r="F246" t="s">
        <v>46</v>
      </c>
      <c r="G246" t="s">
        <v>47</v>
      </c>
      <c r="H246" s="1">
        <v>45653</v>
      </c>
      <c r="I246" t="s">
        <v>322</v>
      </c>
      <c r="J246" s="10" t="s">
        <v>25</v>
      </c>
      <c r="K246" t="s">
        <v>51</v>
      </c>
      <c r="L246" t="s">
        <v>23</v>
      </c>
    </row>
    <row r="247" spans="1:12" x14ac:dyDescent="0.25">
      <c r="A247" t="s">
        <v>323</v>
      </c>
      <c r="B247" s="2">
        <v>1341</v>
      </c>
      <c r="C247" s="2">
        <v>615</v>
      </c>
      <c r="D247">
        <v>4</v>
      </c>
      <c r="E247" t="s">
        <v>13</v>
      </c>
      <c r="F247" t="s">
        <v>39</v>
      </c>
      <c r="G247" t="s">
        <v>15</v>
      </c>
      <c r="H247" s="1">
        <v>44785</v>
      </c>
      <c r="I247" t="s">
        <v>324</v>
      </c>
      <c r="J247" s="10" t="s">
        <v>17</v>
      </c>
      <c r="K247" t="s">
        <v>34</v>
      </c>
      <c r="L247" t="s">
        <v>209</v>
      </c>
    </row>
    <row r="248" spans="1:12" x14ac:dyDescent="0.25">
      <c r="A248" t="s">
        <v>325</v>
      </c>
      <c r="B248" s="2">
        <v>9851</v>
      </c>
      <c r="C248" s="2">
        <v>2669</v>
      </c>
      <c r="D248">
        <v>19</v>
      </c>
      <c r="E248" t="s">
        <v>13</v>
      </c>
      <c r="F248" t="s">
        <v>14</v>
      </c>
      <c r="G248" t="s">
        <v>32</v>
      </c>
      <c r="H248" s="1">
        <v>44648</v>
      </c>
      <c r="I248" t="s">
        <v>326</v>
      </c>
      <c r="J248" s="10" t="s">
        <v>98</v>
      </c>
      <c r="K248" t="s">
        <v>117</v>
      </c>
      <c r="L248" t="s">
        <v>134</v>
      </c>
    </row>
    <row r="249" spans="1:12" x14ac:dyDescent="0.25">
      <c r="A249" t="s">
        <v>325</v>
      </c>
      <c r="B249" s="2">
        <v>9851</v>
      </c>
      <c r="C249" s="2">
        <v>2669</v>
      </c>
      <c r="D249">
        <v>19</v>
      </c>
      <c r="E249" t="s">
        <v>13</v>
      </c>
      <c r="F249" t="s">
        <v>14</v>
      </c>
      <c r="G249" t="s">
        <v>32</v>
      </c>
      <c r="H249" s="1">
        <v>45122</v>
      </c>
      <c r="I249" t="s">
        <v>327</v>
      </c>
      <c r="J249" s="10" t="s">
        <v>25</v>
      </c>
      <c r="K249" t="s">
        <v>26</v>
      </c>
      <c r="L249" t="s">
        <v>105</v>
      </c>
    </row>
    <row r="250" spans="1:12" x14ac:dyDescent="0.25">
      <c r="A250" t="s">
        <v>325</v>
      </c>
      <c r="B250" s="2">
        <v>9851</v>
      </c>
      <c r="C250" s="2">
        <v>2669</v>
      </c>
      <c r="D250">
        <v>19</v>
      </c>
      <c r="E250" t="s">
        <v>13</v>
      </c>
      <c r="F250" t="s">
        <v>14</v>
      </c>
      <c r="G250" t="s">
        <v>32</v>
      </c>
      <c r="H250" s="1">
        <v>44826</v>
      </c>
      <c r="I250" t="s">
        <v>328</v>
      </c>
      <c r="J250" s="10" t="s">
        <v>17</v>
      </c>
      <c r="K250" t="s">
        <v>34</v>
      </c>
      <c r="L250" t="s">
        <v>131</v>
      </c>
    </row>
    <row r="251" spans="1:12" x14ac:dyDescent="0.25">
      <c r="A251" t="s">
        <v>325</v>
      </c>
      <c r="B251" s="2">
        <v>9989</v>
      </c>
      <c r="C251" s="2">
        <v>3930</v>
      </c>
      <c r="D251">
        <v>14</v>
      </c>
      <c r="E251" t="s">
        <v>45</v>
      </c>
      <c r="F251" t="s">
        <v>46</v>
      </c>
      <c r="G251" t="s">
        <v>32</v>
      </c>
      <c r="H251" s="1">
        <v>44648</v>
      </c>
      <c r="I251" t="s">
        <v>326</v>
      </c>
      <c r="J251" s="10" t="s">
        <v>98</v>
      </c>
      <c r="K251" t="s">
        <v>117</v>
      </c>
      <c r="L251" t="s">
        <v>134</v>
      </c>
    </row>
    <row r="252" spans="1:12" x14ac:dyDescent="0.25">
      <c r="A252" t="s">
        <v>325</v>
      </c>
      <c r="B252" s="2">
        <v>9989</v>
      </c>
      <c r="C252" s="2">
        <v>3930</v>
      </c>
      <c r="D252">
        <v>14</v>
      </c>
      <c r="E252" t="s">
        <v>45</v>
      </c>
      <c r="F252" t="s">
        <v>46</v>
      </c>
      <c r="G252" t="s">
        <v>32</v>
      </c>
      <c r="H252" s="1">
        <v>45122</v>
      </c>
      <c r="I252" t="s">
        <v>327</v>
      </c>
      <c r="J252" s="10" t="s">
        <v>25</v>
      </c>
      <c r="K252" t="s">
        <v>26</v>
      </c>
      <c r="L252" t="s">
        <v>105</v>
      </c>
    </row>
    <row r="253" spans="1:12" x14ac:dyDescent="0.25">
      <c r="A253" t="s">
        <v>325</v>
      </c>
      <c r="B253" s="2">
        <v>9989</v>
      </c>
      <c r="C253" s="2">
        <v>3930</v>
      </c>
      <c r="D253">
        <v>14</v>
      </c>
      <c r="E253" t="s">
        <v>45</v>
      </c>
      <c r="F253" t="s">
        <v>46</v>
      </c>
      <c r="G253" t="s">
        <v>32</v>
      </c>
      <c r="H253" s="1">
        <v>44826</v>
      </c>
      <c r="I253" t="s">
        <v>328</v>
      </c>
      <c r="J253" s="10" t="s">
        <v>17</v>
      </c>
      <c r="K253" t="s">
        <v>34</v>
      </c>
      <c r="L253" t="s">
        <v>131</v>
      </c>
    </row>
    <row r="254" spans="1:12" x14ac:dyDescent="0.25">
      <c r="A254" t="s">
        <v>329</v>
      </c>
      <c r="B254" s="2">
        <v>7421</v>
      </c>
      <c r="C254" s="2">
        <v>958</v>
      </c>
      <c r="D254">
        <v>10</v>
      </c>
      <c r="E254" t="s">
        <v>45</v>
      </c>
      <c r="F254" t="s">
        <v>46</v>
      </c>
      <c r="G254" t="s">
        <v>65</v>
      </c>
      <c r="H254" s="1">
        <v>44915</v>
      </c>
      <c r="I254" t="s">
        <v>330</v>
      </c>
      <c r="J254" s="10" t="s">
        <v>71</v>
      </c>
      <c r="K254" t="s">
        <v>138</v>
      </c>
      <c r="L254" t="s">
        <v>152</v>
      </c>
    </row>
    <row r="255" spans="1:12" x14ac:dyDescent="0.25">
      <c r="A255" t="s">
        <v>329</v>
      </c>
      <c r="B255" s="2">
        <v>7421</v>
      </c>
      <c r="C255" s="2">
        <v>958</v>
      </c>
      <c r="D255">
        <v>10</v>
      </c>
      <c r="E255" t="s">
        <v>45</v>
      </c>
      <c r="F255" t="s">
        <v>46</v>
      </c>
      <c r="G255" t="s">
        <v>65</v>
      </c>
      <c r="H255" s="1">
        <v>44577</v>
      </c>
      <c r="I255" t="s">
        <v>331</v>
      </c>
      <c r="J255" s="10" t="s">
        <v>71</v>
      </c>
      <c r="K255" t="s">
        <v>138</v>
      </c>
      <c r="L255" t="s">
        <v>87</v>
      </c>
    </row>
    <row r="256" spans="1:12" x14ac:dyDescent="0.25">
      <c r="A256" t="s">
        <v>329</v>
      </c>
      <c r="B256" s="2">
        <v>7421</v>
      </c>
      <c r="C256" s="2">
        <v>958</v>
      </c>
      <c r="D256">
        <v>10</v>
      </c>
      <c r="E256" t="s">
        <v>45</v>
      </c>
      <c r="F256" t="s">
        <v>46</v>
      </c>
      <c r="G256" t="s">
        <v>65</v>
      </c>
      <c r="H256" s="1">
        <v>44955</v>
      </c>
      <c r="I256" t="s">
        <v>332</v>
      </c>
      <c r="J256" s="10" t="s">
        <v>71</v>
      </c>
      <c r="K256" t="s">
        <v>72</v>
      </c>
      <c r="L256" t="s">
        <v>333</v>
      </c>
    </row>
    <row r="257" spans="1:12" x14ac:dyDescent="0.25">
      <c r="A257" t="s">
        <v>334</v>
      </c>
      <c r="B257" s="2">
        <v>3099</v>
      </c>
      <c r="C257" s="2">
        <v>479</v>
      </c>
      <c r="D257">
        <v>1</v>
      </c>
      <c r="E257" t="s">
        <v>30</v>
      </c>
      <c r="F257" t="s">
        <v>64</v>
      </c>
      <c r="G257" t="s">
        <v>65</v>
      </c>
      <c r="H257" s="1">
        <v>44576</v>
      </c>
      <c r="I257" t="s">
        <v>335</v>
      </c>
      <c r="J257" s="10" t="s">
        <v>25</v>
      </c>
      <c r="K257" t="s">
        <v>26</v>
      </c>
      <c r="L257" t="s">
        <v>87</v>
      </c>
    </row>
    <row r="258" spans="1:12" x14ac:dyDescent="0.25">
      <c r="A258" t="s">
        <v>334</v>
      </c>
      <c r="B258" s="2">
        <v>2521</v>
      </c>
      <c r="C258" s="2">
        <v>906</v>
      </c>
      <c r="D258">
        <v>7</v>
      </c>
      <c r="E258" t="s">
        <v>13</v>
      </c>
      <c r="F258" t="s">
        <v>82</v>
      </c>
      <c r="G258" t="s">
        <v>65</v>
      </c>
      <c r="H258" s="1">
        <v>44576</v>
      </c>
      <c r="I258" t="s">
        <v>335</v>
      </c>
      <c r="J258" s="10" t="s">
        <v>25</v>
      </c>
      <c r="K258" t="s">
        <v>26</v>
      </c>
      <c r="L258" t="s">
        <v>87</v>
      </c>
    </row>
    <row r="259" spans="1:12" x14ac:dyDescent="0.25">
      <c r="A259" t="s">
        <v>336</v>
      </c>
      <c r="B259" s="2">
        <v>6962</v>
      </c>
      <c r="C259" s="2">
        <v>3429</v>
      </c>
      <c r="D259">
        <v>12</v>
      </c>
      <c r="E259" t="s">
        <v>13</v>
      </c>
      <c r="F259" t="s">
        <v>14</v>
      </c>
      <c r="G259" t="s">
        <v>15</v>
      </c>
      <c r="H259" s="1">
        <v>45375</v>
      </c>
      <c r="I259" t="s">
        <v>337</v>
      </c>
      <c r="J259" s="10" t="s">
        <v>71</v>
      </c>
      <c r="K259" t="s">
        <v>72</v>
      </c>
      <c r="L259" t="s">
        <v>338</v>
      </c>
    </row>
    <row r="260" spans="1:12" x14ac:dyDescent="0.25">
      <c r="A260" t="s">
        <v>336</v>
      </c>
      <c r="B260" s="2">
        <v>6962</v>
      </c>
      <c r="C260" s="2">
        <v>3429</v>
      </c>
      <c r="D260">
        <v>12</v>
      </c>
      <c r="E260" t="s">
        <v>13</v>
      </c>
      <c r="F260" t="s">
        <v>14</v>
      </c>
      <c r="G260" t="s">
        <v>15</v>
      </c>
      <c r="H260" s="1">
        <v>45707</v>
      </c>
      <c r="I260" t="s">
        <v>339</v>
      </c>
      <c r="J260" s="10" t="s">
        <v>17</v>
      </c>
      <c r="K260" t="s">
        <v>18</v>
      </c>
      <c r="L260" t="s">
        <v>73</v>
      </c>
    </row>
    <row r="261" spans="1:12" x14ac:dyDescent="0.25">
      <c r="A261" t="s">
        <v>340</v>
      </c>
      <c r="B261" s="2">
        <v>1085</v>
      </c>
      <c r="C261" s="2">
        <v>301</v>
      </c>
      <c r="D261">
        <v>20</v>
      </c>
      <c r="E261" t="s">
        <v>45</v>
      </c>
      <c r="F261" t="s">
        <v>109</v>
      </c>
      <c r="G261" t="s">
        <v>15</v>
      </c>
      <c r="H261" s="1">
        <v>45486</v>
      </c>
      <c r="I261" t="s">
        <v>341</v>
      </c>
      <c r="J261" s="10" t="s">
        <v>25</v>
      </c>
      <c r="K261" t="s">
        <v>26</v>
      </c>
      <c r="L261" t="s">
        <v>215</v>
      </c>
    </row>
    <row r="262" spans="1:12" x14ac:dyDescent="0.25">
      <c r="A262" t="s">
        <v>342</v>
      </c>
      <c r="B262" s="2">
        <v>738</v>
      </c>
      <c r="C262" s="2">
        <v>342</v>
      </c>
      <c r="D262">
        <v>2</v>
      </c>
      <c r="E262" t="s">
        <v>45</v>
      </c>
      <c r="F262" t="s">
        <v>49</v>
      </c>
      <c r="G262" t="s">
        <v>32</v>
      </c>
      <c r="H262" s="1">
        <v>45044</v>
      </c>
      <c r="I262" t="s">
        <v>343</v>
      </c>
      <c r="J262" s="10" t="s">
        <v>98</v>
      </c>
      <c r="K262" t="s">
        <v>107</v>
      </c>
      <c r="L262" t="s">
        <v>145</v>
      </c>
    </row>
    <row r="263" spans="1:12" x14ac:dyDescent="0.25">
      <c r="A263" t="s">
        <v>342</v>
      </c>
      <c r="B263" s="2">
        <v>738</v>
      </c>
      <c r="C263" s="2">
        <v>342</v>
      </c>
      <c r="D263">
        <v>2</v>
      </c>
      <c r="E263" t="s">
        <v>45</v>
      </c>
      <c r="F263" t="s">
        <v>49</v>
      </c>
      <c r="G263" t="s">
        <v>32</v>
      </c>
      <c r="H263" s="1">
        <v>44170</v>
      </c>
      <c r="I263" t="s">
        <v>344</v>
      </c>
      <c r="J263" s="10" t="s">
        <v>25</v>
      </c>
      <c r="K263" t="s">
        <v>26</v>
      </c>
      <c r="L263" t="s">
        <v>287</v>
      </c>
    </row>
    <row r="264" spans="1:12" x14ac:dyDescent="0.25">
      <c r="A264" t="s">
        <v>342</v>
      </c>
      <c r="B264" s="2">
        <v>738</v>
      </c>
      <c r="C264" s="2">
        <v>342</v>
      </c>
      <c r="D264">
        <v>2</v>
      </c>
      <c r="E264" t="s">
        <v>45</v>
      </c>
      <c r="F264" t="s">
        <v>49</v>
      </c>
      <c r="G264" t="s">
        <v>32</v>
      </c>
      <c r="H264" s="1">
        <v>45426</v>
      </c>
      <c r="I264" t="s">
        <v>345</v>
      </c>
      <c r="J264" s="10" t="s">
        <v>98</v>
      </c>
      <c r="K264" t="s">
        <v>107</v>
      </c>
      <c r="L264" t="s">
        <v>35</v>
      </c>
    </row>
    <row r="265" spans="1:12" x14ac:dyDescent="0.25">
      <c r="A265" t="s">
        <v>342</v>
      </c>
      <c r="B265" s="2">
        <v>738</v>
      </c>
      <c r="C265" s="2">
        <v>342</v>
      </c>
      <c r="D265">
        <v>2</v>
      </c>
      <c r="E265" t="s">
        <v>45</v>
      </c>
      <c r="F265" t="s">
        <v>49</v>
      </c>
      <c r="G265" t="s">
        <v>32</v>
      </c>
      <c r="H265" s="1">
        <v>44579</v>
      </c>
      <c r="I265" t="s">
        <v>346</v>
      </c>
      <c r="J265" s="10" t="s">
        <v>25</v>
      </c>
      <c r="K265" t="s">
        <v>51</v>
      </c>
      <c r="L265" t="s">
        <v>87</v>
      </c>
    </row>
    <row r="266" spans="1:12" x14ac:dyDescent="0.25">
      <c r="A266" t="s">
        <v>347</v>
      </c>
      <c r="B266" s="2">
        <v>1366</v>
      </c>
      <c r="C266" s="2">
        <v>242</v>
      </c>
      <c r="D266">
        <v>17</v>
      </c>
      <c r="E266" t="s">
        <v>13</v>
      </c>
      <c r="F266" t="s">
        <v>14</v>
      </c>
      <c r="G266" t="s">
        <v>40</v>
      </c>
      <c r="H266" s="1">
        <v>45187</v>
      </c>
      <c r="I266" t="s">
        <v>348</v>
      </c>
      <c r="J266" s="10" t="s">
        <v>98</v>
      </c>
      <c r="K266" t="s">
        <v>99</v>
      </c>
      <c r="L266" t="s">
        <v>273</v>
      </c>
    </row>
    <row r="267" spans="1:12" x14ac:dyDescent="0.25">
      <c r="A267" t="s">
        <v>347</v>
      </c>
      <c r="B267" s="2">
        <v>1518</v>
      </c>
      <c r="C267" s="2">
        <v>155</v>
      </c>
      <c r="D267">
        <v>13</v>
      </c>
      <c r="E267" t="s">
        <v>30</v>
      </c>
      <c r="F267" t="s">
        <v>57</v>
      </c>
      <c r="G267" t="s">
        <v>47</v>
      </c>
      <c r="H267" s="1">
        <v>45187</v>
      </c>
      <c r="I267" t="s">
        <v>348</v>
      </c>
      <c r="J267" s="10" t="s">
        <v>98</v>
      </c>
      <c r="K267" t="s">
        <v>99</v>
      </c>
      <c r="L267" t="s">
        <v>273</v>
      </c>
    </row>
    <row r="268" spans="1:12" x14ac:dyDescent="0.25">
      <c r="A268" t="s">
        <v>349</v>
      </c>
      <c r="B268" s="2">
        <v>2962</v>
      </c>
      <c r="C268" s="2">
        <v>1470</v>
      </c>
      <c r="D268">
        <v>1</v>
      </c>
      <c r="E268" t="s">
        <v>13</v>
      </c>
      <c r="F268" t="s">
        <v>82</v>
      </c>
      <c r="G268" t="s">
        <v>65</v>
      </c>
      <c r="H268" s="1">
        <v>44328</v>
      </c>
      <c r="I268" t="s">
        <v>350</v>
      </c>
      <c r="J268" s="10" t="s">
        <v>25</v>
      </c>
      <c r="K268" t="s">
        <v>26</v>
      </c>
      <c r="L268" t="s">
        <v>108</v>
      </c>
    </row>
    <row r="269" spans="1:12" x14ac:dyDescent="0.25">
      <c r="A269" t="s">
        <v>349</v>
      </c>
      <c r="B269" s="2">
        <v>2962</v>
      </c>
      <c r="C269" s="2">
        <v>1470</v>
      </c>
      <c r="D269">
        <v>1</v>
      </c>
      <c r="E269" t="s">
        <v>13</v>
      </c>
      <c r="F269" t="s">
        <v>82</v>
      </c>
      <c r="G269" t="s">
        <v>65</v>
      </c>
      <c r="H269" s="1">
        <v>45186</v>
      </c>
      <c r="I269" t="s">
        <v>351</v>
      </c>
      <c r="J269" s="10" t="s">
        <v>17</v>
      </c>
      <c r="K269" t="s">
        <v>150</v>
      </c>
      <c r="L269" t="s">
        <v>273</v>
      </c>
    </row>
    <row r="270" spans="1:12" x14ac:dyDescent="0.25">
      <c r="A270" t="s">
        <v>349</v>
      </c>
      <c r="B270" s="2">
        <v>7131</v>
      </c>
      <c r="C270" s="2">
        <v>718</v>
      </c>
      <c r="D270">
        <v>12</v>
      </c>
      <c r="E270" t="s">
        <v>13</v>
      </c>
      <c r="F270" t="s">
        <v>28</v>
      </c>
      <c r="G270" t="s">
        <v>15</v>
      </c>
      <c r="H270" s="1">
        <v>44328</v>
      </c>
      <c r="I270" t="s">
        <v>350</v>
      </c>
      <c r="J270" s="10" t="s">
        <v>25</v>
      </c>
      <c r="K270" t="s">
        <v>26</v>
      </c>
      <c r="L270" t="s">
        <v>108</v>
      </c>
    </row>
    <row r="271" spans="1:12" x14ac:dyDescent="0.25">
      <c r="A271" t="s">
        <v>349</v>
      </c>
      <c r="B271" s="2">
        <v>7131</v>
      </c>
      <c r="C271" s="2">
        <v>718</v>
      </c>
      <c r="D271">
        <v>12</v>
      </c>
      <c r="E271" t="s">
        <v>13</v>
      </c>
      <c r="F271" t="s">
        <v>28</v>
      </c>
      <c r="G271" t="s">
        <v>15</v>
      </c>
      <c r="H271" s="1">
        <v>45186</v>
      </c>
      <c r="I271" t="s">
        <v>351</v>
      </c>
      <c r="J271" s="10" t="s">
        <v>17</v>
      </c>
      <c r="K271" t="s">
        <v>150</v>
      </c>
      <c r="L271" t="s">
        <v>273</v>
      </c>
    </row>
    <row r="272" spans="1:12" x14ac:dyDescent="0.25">
      <c r="A272" t="s">
        <v>349</v>
      </c>
      <c r="B272" s="2">
        <v>4200</v>
      </c>
      <c r="C272" s="2">
        <v>855</v>
      </c>
      <c r="D272">
        <v>10</v>
      </c>
      <c r="E272" t="s">
        <v>30</v>
      </c>
      <c r="F272" t="s">
        <v>57</v>
      </c>
      <c r="G272" t="s">
        <v>40</v>
      </c>
      <c r="H272" s="1">
        <v>44328</v>
      </c>
      <c r="I272" t="s">
        <v>350</v>
      </c>
      <c r="J272" s="10" t="s">
        <v>25</v>
      </c>
      <c r="K272" t="s">
        <v>26</v>
      </c>
      <c r="L272" t="s">
        <v>108</v>
      </c>
    </row>
    <row r="273" spans="1:12" x14ac:dyDescent="0.25">
      <c r="A273" t="s">
        <v>349</v>
      </c>
      <c r="B273" s="2">
        <v>4200</v>
      </c>
      <c r="C273" s="2">
        <v>855</v>
      </c>
      <c r="D273">
        <v>10</v>
      </c>
      <c r="E273" t="s">
        <v>30</v>
      </c>
      <c r="F273" t="s">
        <v>57</v>
      </c>
      <c r="G273" t="s">
        <v>40</v>
      </c>
      <c r="H273" s="1">
        <v>45186</v>
      </c>
      <c r="I273" t="s">
        <v>351</v>
      </c>
      <c r="J273" s="10" t="s">
        <v>17</v>
      </c>
      <c r="K273" t="s">
        <v>150</v>
      </c>
      <c r="L273" t="s">
        <v>273</v>
      </c>
    </row>
    <row r="274" spans="1:12" x14ac:dyDescent="0.25">
      <c r="A274" t="s">
        <v>352</v>
      </c>
      <c r="B274" s="2">
        <v>5934</v>
      </c>
      <c r="C274" s="2">
        <v>1563</v>
      </c>
      <c r="D274">
        <v>2</v>
      </c>
      <c r="E274" t="s">
        <v>30</v>
      </c>
      <c r="F274" t="s">
        <v>57</v>
      </c>
      <c r="G274" t="s">
        <v>40</v>
      </c>
      <c r="H274" s="1">
        <v>45541</v>
      </c>
      <c r="I274" t="s">
        <v>353</v>
      </c>
      <c r="J274" s="10" t="s">
        <v>21</v>
      </c>
      <c r="K274" t="s">
        <v>172</v>
      </c>
      <c r="L274" t="s">
        <v>159</v>
      </c>
    </row>
    <row r="275" spans="1:12" x14ac:dyDescent="0.25">
      <c r="A275" t="s">
        <v>354</v>
      </c>
      <c r="B275" s="2">
        <v>2701</v>
      </c>
      <c r="C275" s="2">
        <v>322</v>
      </c>
      <c r="D275">
        <v>11</v>
      </c>
      <c r="E275" t="s">
        <v>13</v>
      </c>
      <c r="F275" t="s">
        <v>28</v>
      </c>
      <c r="G275" t="s">
        <v>15</v>
      </c>
      <c r="H275" s="1">
        <v>44730</v>
      </c>
      <c r="I275" t="s">
        <v>355</v>
      </c>
      <c r="J275" s="10" t="s">
        <v>25</v>
      </c>
      <c r="K275" t="s">
        <v>51</v>
      </c>
      <c r="L275" t="s">
        <v>165</v>
      </c>
    </row>
    <row r="276" spans="1:12" x14ac:dyDescent="0.25">
      <c r="A276" t="s">
        <v>354</v>
      </c>
      <c r="B276" s="2">
        <v>7273</v>
      </c>
      <c r="C276" s="2">
        <v>2702</v>
      </c>
      <c r="D276">
        <v>18</v>
      </c>
      <c r="E276" t="s">
        <v>30</v>
      </c>
      <c r="F276" t="s">
        <v>64</v>
      </c>
      <c r="G276" t="s">
        <v>65</v>
      </c>
      <c r="H276" s="1">
        <v>44730</v>
      </c>
      <c r="I276" t="s">
        <v>355</v>
      </c>
      <c r="J276" s="10" t="s">
        <v>25</v>
      </c>
      <c r="K276" t="s">
        <v>51</v>
      </c>
      <c r="L276" t="s">
        <v>165</v>
      </c>
    </row>
    <row r="277" spans="1:12" x14ac:dyDescent="0.25">
      <c r="A277" t="s">
        <v>356</v>
      </c>
      <c r="B277" s="2">
        <v>2465</v>
      </c>
      <c r="C277" s="2">
        <v>699</v>
      </c>
      <c r="D277">
        <v>18</v>
      </c>
      <c r="E277" t="s">
        <v>30</v>
      </c>
      <c r="F277" t="s">
        <v>57</v>
      </c>
      <c r="G277" t="s">
        <v>32</v>
      </c>
      <c r="H277" s="1">
        <v>43973</v>
      </c>
      <c r="I277" t="s">
        <v>357</v>
      </c>
      <c r="J277" s="10" t="s">
        <v>42</v>
      </c>
      <c r="K277" t="s">
        <v>92</v>
      </c>
      <c r="L277" t="s">
        <v>59</v>
      </c>
    </row>
    <row r="278" spans="1:12" x14ac:dyDescent="0.25">
      <c r="A278" t="s">
        <v>358</v>
      </c>
      <c r="B278" s="2">
        <v>3479</v>
      </c>
      <c r="C278" s="2">
        <v>1087</v>
      </c>
      <c r="D278">
        <v>2</v>
      </c>
      <c r="E278" t="s">
        <v>30</v>
      </c>
      <c r="F278" t="s">
        <v>57</v>
      </c>
      <c r="G278" t="s">
        <v>40</v>
      </c>
      <c r="H278" s="1">
        <v>45582</v>
      </c>
      <c r="I278" t="s">
        <v>359</v>
      </c>
      <c r="J278" s="10" t="s">
        <v>71</v>
      </c>
      <c r="K278" t="s">
        <v>72</v>
      </c>
      <c r="L278" t="s">
        <v>360</v>
      </c>
    </row>
    <row r="279" spans="1:12" x14ac:dyDescent="0.25">
      <c r="A279" t="s">
        <v>358</v>
      </c>
      <c r="B279" s="2">
        <v>5457</v>
      </c>
      <c r="C279" s="2">
        <v>1765</v>
      </c>
      <c r="D279">
        <v>7</v>
      </c>
      <c r="E279" t="s">
        <v>13</v>
      </c>
      <c r="F279" t="s">
        <v>28</v>
      </c>
      <c r="G279" t="s">
        <v>40</v>
      </c>
      <c r="H279" s="1">
        <v>45582</v>
      </c>
      <c r="I279" t="s">
        <v>359</v>
      </c>
      <c r="J279" s="10" t="s">
        <v>71</v>
      </c>
      <c r="K279" t="s">
        <v>72</v>
      </c>
      <c r="L279" t="s">
        <v>360</v>
      </c>
    </row>
    <row r="280" spans="1:12" x14ac:dyDescent="0.25">
      <c r="A280" t="s">
        <v>361</v>
      </c>
      <c r="B280" s="2">
        <v>4957</v>
      </c>
      <c r="C280" s="2">
        <v>1152</v>
      </c>
      <c r="D280">
        <v>8</v>
      </c>
      <c r="E280" t="s">
        <v>30</v>
      </c>
      <c r="F280" t="s">
        <v>57</v>
      </c>
      <c r="G280" t="s">
        <v>47</v>
      </c>
      <c r="H280" s="1">
        <v>44642</v>
      </c>
      <c r="I280" t="s">
        <v>362</v>
      </c>
      <c r="J280" s="10" t="s">
        <v>98</v>
      </c>
      <c r="K280" t="s">
        <v>117</v>
      </c>
      <c r="L280" t="s">
        <v>134</v>
      </c>
    </row>
    <row r="281" spans="1:12" x14ac:dyDescent="0.25">
      <c r="A281" t="s">
        <v>363</v>
      </c>
      <c r="B281" s="2">
        <v>4404</v>
      </c>
      <c r="C281" s="2">
        <v>858</v>
      </c>
      <c r="D281">
        <v>17</v>
      </c>
      <c r="E281" t="s">
        <v>30</v>
      </c>
      <c r="F281" t="s">
        <v>31</v>
      </c>
      <c r="G281" t="s">
        <v>32</v>
      </c>
      <c r="H281" s="1">
        <v>45368</v>
      </c>
      <c r="I281" t="s">
        <v>364</v>
      </c>
      <c r="J281" s="10" t="s">
        <v>98</v>
      </c>
      <c r="K281" t="s">
        <v>99</v>
      </c>
      <c r="L281" t="s">
        <v>338</v>
      </c>
    </row>
    <row r="282" spans="1:12" x14ac:dyDescent="0.25">
      <c r="A282" t="s">
        <v>363</v>
      </c>
      <c r="B282" s="2">
        <v>8776</v>
      </c>
      <c r="C282" s="2">
        <v>2529</v>
      </c>
      <c r="D282">
        <v>15</v>
      </c>
      <c r="E282" t="s">
        <v>45</v>
      </c>
      <c r="F282" t="s">
        <v>60</v>
      </c>
      <c r="G282" t="s">
        <v>47</v>
      </c>
      <c r="H282" s="1">
        <v>45368</v>
      </c>
      <c r="I282" t="s">
        <v>364</v>
      </c>
      <c r="J282" s="10" t="s">
        <v>98</v>
      </c>
      <c r="K282" t="s">
        <v>99</v>
      </c>
      <c r="L282" t="s">
        <v>338</v>
      </c>
    </row>
    <row r="283" spans="1:12" x14ac:dyDescent="0.25">
      <c r="A283" t="s">
        <v>365</v>
      </c>
      <c r="B283" s="2">
        <v>9536</v>
      </c>
      <c r="C283" s="2">
        <v>1437</v>
      </c>
      <c r="D283">
        <v>9</v>
      </c>
      <c r="E283" t="s">
        <v>13</v>
      </c>
      <c r="F283" t="s">
        <v>82</v>
      </c>
      <c r="G283" t="s">
        <v>15</v>
      </c>
      <c r="H283" s="1">
        <v>43923</v>
      </c>
      <c r="I283" t="s">
        <v>366</v>
      </c>
      <c r="J283" s="10" t="s">
        <v>17</v>
      </c>
      <c r="K283" t="s">
        <v>34</v>
      </c>
      <c r="L283" t="s">
        <v>162</v>
      </c>
    </row>
    <row r="284" spans="1:12" x14ac:dyDescent="0.25">
      <c r="A284" t="s">
        <v>365</v>
      </c>
      <c r="B284" s="2">
        <v>2225</v>
      </c>
      <c r="C284" s="2">
        <v>589</v>
      </c>
      <c r="D284">
        <v>7</v>
      </c>
      <c r="E284" t="s">
        <v>45</v>
      </c>
      <c r="F284" t="s">
        <v>60</v>
      </c>
      <c r="G284" t="s">
        <v>47</v>
      </c>
      <c r="H284" s="1">
        <v>43923</v>
      </c>
      <c r="I284" t="s">
        <v>366</v>
      </c>
      <c r="J284" s="10" t="s">
        <v>17</v>
      </c>
      <c r="K284" t="s">
        <v>34</v>
      </c>
      <c r="L284" t="s">
        <v>162</v>
      </c>
    </row>
    <row r="285" spans="1:12" x14ac:dyDescent="0.25">
      <c r="A285" t="s">
        <v>367</v>
      </c>
      <c r="B285" s="2">
        <v>9574</v>
      </c>
      <c r="C285" s="2">
        <v>4045</v>
      </c>
      <c r="D285">
        <v>19</v>
      </c>
      <c r="E285" t="s">
        <v>45</v>
      </c>
      <c r="F285" t="s">
        <v>109</v>
      </c>
      <c r="G285" t="s">
        <v>15</v>
      </c>
      <c r="H285" s="1">
        <v>45364</v>
      </c>
      <c r="I285" t="s">
        <v>368</v>
      </c>
      <c r="J285" s="10" t="s">
        <v>42</v>
      </c>
      <c r="K285" t="s">
        <v>92</v>
      </c>
      <c r="L285" t="s">
        <v>338</v>
      </c>
    </row>
    <row r="286" spans="1:12" x14ac:dyDescent="0.25">
      <c r="A286" t="s">
        <v>367</v>
      </c>
      <c r="B286" s="2">
        <v>4382</v>
      </c>
      <c r="C286" s="2">
        <v>482</v>
      </c>
      <c r="D286">
        <v>17</v>
      </c>
      <c r="E286" t="s">
        <v>13</v>
      </c>
      <c r="F286" t="s">
        <v>14</v>
      </c>
      <c r="G286" t="s">
        <v>65</v>
      </c>
      <c r="H286" s="1">
        <v>45364</v>
      </c>
      <c r="I286" t="s">
        <v>368</v>
      </c>
      <c r="J286" s="10" t="s">
        <v>42</v>
      </c>
      <c r="K286" t="s">
        <v>92</v>
      </c>
      <c r="L286" t="s">
        <v>338</v>
      </c>
    </row>
    <row r="287" spans="1:12" x14ac:dyDescent="0.25">
      <c r="A287" t="s">
        <v>369</v>
      </c>
      <c r="B287" s="2">
        <v>8200</v>
      </c>
      <c r="C287" s="2">
        <v>257</v>
      </c>
      <c r="D287">
        <v>19</v>
      </c>
      <c r="E287" t="s">
        <v>13</v>
      </c>
      <c r="F287" t="s">
        <v>39</v>
      </c>
      <c r="G287" t="s">
        <v>65</v>
      </c>
      <c r="H287" s="1">
        <v>45006</v>
      </c>
      <c r="I287" t="s">
        <v>370</v>
      </c>
      <c r="J287" s="10" t="s">
        <v>98</v>
      </c>
      <c r="K287" t="s">
        <v>107</v>
      </c>
      <c r="L287" t="s">
        <v>245</v>
      </c>
    </row>
    <row r="288" spans="1:12" x14ac:dyDescent="0.25">
      <c r="A288" t="s">
        <v>369</v>
      </c>
      <c r="B288" s="2">
        <v>9316</v>
      </c>
      <c r="C288" s="2">
        <v>3003</v>
      </c>
      <c r="D288">
        <v>13</v>
      </c>
      <c r="E288" t="s">
        <v>45</v>
      </c>
      <c r="F288" t="s">
        <v>60</v>
      </c>
      <c r="G288" t="s">
        <v>47</v>
      </c>
      <c r="H288" s="1">
        <v>45006</v>
      </c>
      <c r="I288" t="s">
        <v>370</v>
      </c>
      <c r="J288" s="10" t="s">
        <v>98</v>
      </c>
      <c r="K288" t="s">
        <v>107</v>
      </c>
      <c r="L288" t="s">
        <v>245</v>
      </c>
    </row>
    <row r="289" spans="1:12" x14ac:dyDescent="0.25">
      <c r="A289" t="s">
        <v>369</v>
      </c>
      <c r="B289" s="2">
        <v>6379</v>
      </c>
      <c r="C289" s="2">
        <v>3128</v>
      </c>
      <c r="D289">
        <v>15</v>
      </c>
      <c r="E289" t="s">
        <v>13</v>
      </c>
      <c r="F289" t="s">
        <v>14</v>
      </c>
      <c r="G289" t="s">
        <v>65</v>
      </c>
      <c r="H289" s="1">
        <v>45006</v>
      </c>
      <c r="I289" t="s">
        <v>370</v>
      </c>
      <c r="J289" s="10" t="s">
        <v>98</v>
      </c>
      <c r="K289" t="s">
        <v>107</v>
      </c>
      <c r="L289" t="s">
        <v>245</v>
      </c>
    </row>
    <row r="290" spans="1:12" x14ac:dyDescent="0.25">
      <c r="A290" t="s">
        <v>371</v>
      </c>
      <c r="B290" s="2">
        <v>3348</v>
      </c>
      <c r="C290" s="2">
        <v>568</v>
      </c>
      <c r="D290">
        <v>5</v>
      </c>
      <c r="E290" t="s">
        <v>30</v>
      </c>
      <c r="F290" t="s">
        <v>57</v>
      </c>
      <c r="G290" t="s">
        <v>47</v>
      </c>
      <c r="H290" s="1">
        <v>45353</v>
      </c>
      <c r="I290" t="s">
        <v>372</v>
      </c>
      <c r="J290" s="10" t="s">
        <v>98</v>
      </c>
      <c r="K290" t="s">
        <v>117</v>
      </c>
      <c r="L290" t="s">
        <v>338</v>
      </c>
    </row>
    <row r="291" spans="1:12" x14ac:dyDescent="0.25">
      <c r="A291" t="s">
        <v>371</v>
      </c>
      <c r="B291" s="2">
        <v>3348</v>
      </c>
      <c r="C291" s="2">
        <v>568</v>
      </c>
      <c r="D291">
        <v>5</v>
      </c>
      <c r="E291" t="s">
        <v>30</v>
      </c>
      <c r="F291" t="s">
        <v>57</v>
      </c>
      <c r="G291" t="s">
        <v>47</v>
      </c>
      <c r="H291" s="1">
        <v>44316</v>
      </c>
      <c r="I291" t="s">
        <v>373</v>
      </c>
      <c r="J291" s="10" t="s">
        <v>25</v>
      </c>
      <c r="K291" t="s">
        <v>68</v>
      </c>
      <c r="L291" t="s">
        <v>139</v>
      </c>
    </row>
    <row r="292" spans="1:12" x14ac:dyDescent="0.25">
      <c r="A292" t="s">
        <v>371</v>
      </c>
      <c r="B292" s="2">
        <v>8856</v>
      </c>
      <c r="C292" s="2">
        <v>2020</v>
      </c>
      <c r="D292">
        <v>9</v>
      </c>
      <c r="E292" t="s">
        <v>30</v>
      </c>
      <c r="F292" t="s">
        <v>31</v>
      </c>
      <c r="G292" t="s">
        <v>32</v>
      </c>
      <c r="H292" s="1">
        <v>45353</v>
      </c>
      <c r="I292" t="s">
        <v>372</v>
      </c>
      <c r="J292" s="10" t="s">
        <v>98</v>
      </c>
      <c r="K292" t="s">
        <v>117</v>
      </c>
      <c r="L292" t="s">
        <v>338</v>
      </c>
    </row>
    <row r="293" spans="1:12" x14ac:dyDescent="0.25">
      <c r="A293" t="s">
        <v>371</v>
      </c>
      <c r="B293" s="2">
        <v>8856</v>
      </c>
      <c r="C293" s="2">
        <v>2020</v>
      </c>
      <c r="D293">
        <v>9</v>
      </c>
      <c r="E293" t="s">
        <v>30</v>
      </c>
      <c r="F293" t="s">
        <v>31</v>
      </c>
      <c r="G293" t="s">
        <v>32</v>
      </c>
      <c r="H293" s="1">
        <v>44316</v>
      </c>
      <c r="I293" t="s">
        <v>373</v>
      </c>
      <c r="J293" s="10" t="s">
        <v>25</v>
      </c>
      <c r="K293" t="s">
        <v>68</v>
      </c>
      <c r="L293" t="s">
        <v>139</v>
      </c>
    </row>
    <row r="294" spans="1:12" x14ac:dyDescent="0.25">
      <c r="A294" t="s">
        <v>374</v>
      </c>
      <c r="B294" s="2">
        <v>1760</v>
      </c>
      <c r="C294" s="2">
        <v>619</v>
      </c>
      <c r="D294">
        <v>16</v>
      </c>
      <c r="E294" t="s">
        <v>45</v>
      </c>
      <c r="F294" t="s">
        <v>60</v>
      </c>
      <c r="G294" t="s">
        <v>32</v>
      </c>
      <c r="H294" s="1">
        <v>44454</v>
      </c>
      <c r="I294" t="s">
        <v>375</v>
      </c>
      <c r="J294" s="10" t="s">
        <v>98</v>
      </c>
      <c r="K294" t="s">
        <v>99</v>
      </c>
      <c r="L294" t="s">
        <v>224</v>
      </c>
    </row>
    <row r="295" spans="1:12" x14ac:dyDescent="0.25">
      <c r="A295" t="s">
        <v>374</v>
      </c>
      <c r="B295" s="2">
        <v>1760</v>
      </c>
      <c r="C295" s="2">
        <v>619</v>
      </c>
      <c r="D295">
        <v>16</v>
      </c>
      <c r="E295" t="s">
        <v>45</v>
      </c>
      <c r="F295" t="s">
        <v>60</v>
      </c>
      <c r="G295" t="s">
        <v>32</v>
      </c>
      <c r="H295" s="1">
        <v>44954</v>
      </c>
      <c r="I295" t="s">
        <v>376</v>
      </c>
      <c r="J295" s="10" t="s">
        <v>71</v>
      </c>
      <c r="K295" t="s">
        <v>138</v>
      </c>
      <c r="L295" t="s">
        <v>333</v>
      </c>
    </row>
    <row r="296" spans="1:12" x14ac:dyDescent="0.25">
      <c r="A296" t="s">
        <v>374</v>
      </c>
      <c r="B296" s="2">
        <v>6351</v>
      </c>
      <c r="C296" s="2">
        <v>986</v>
      </c>
      <c r="D296">
        <v>15</v>
      </c>
      <c r="E296" t="s">
        <v>13</v>
      </c>
      <c r="F296" t="s">
        <v>28</v>
      </c>
      <c r="G296" t="s">
        <v>15</v>
      </c>
      <c r="H296" s="1">
        <v>44454</v>
      </c>
      <c r="I296" t="s">
        <v>375</v>
      </c>
      <c r="J296" s="10" t="s">
        <v>98</v>
      </c>
      <c r="K296" t="s">
        <v>99</v>
      </c>
      <c r="L296" t="s">
        <v>224</v>
      </c>
    </row>
    <row r="297" spans="1:12" x14ac:dyDescent="0.25">
      <c r="A297" t="s">
        <v>374</v>
      </c>
      <c r="B297" s="2">
        <v>6351</v>
      </c>
      <c r="C297" s="2">
        <v>986</v>
      </c>
      <c r="D297">
        <v>15</v>
      </c>
      <c r="E297" t="s">
        <v>13</v>
      </c>
      <c r="F297" t="s">
        <v>28</v>
      </c>
      <c r="G297" t="s">
        <v>15</v>
      </c>
      <c r="H297" s="1">
        <v>44954</v>
      </c>
      <c r="I297" t="s">
        <v>376</v>
      </c>
      <c r="J297" s="10" t="s">
        <v>71</v>
      </c>
      <c r="K297" t="s">
        <v>138</v>
      </c>
      <c r="L297" t="s">
        <v>333</v>
      </c>
    </row>
    <row r="298" spans="1:12" x14ac:dyDescent="0.25">
      <c r="A298" t="s">
        <v>377</v>
      </c>
      <c r="B298" s="2">
        <v>869</v>
      </c>
      <c r="C298" s="2">
        <v>373</v>
      </c>
      <c r="D298">
        <v>14</v>
      </c>
      <c r="E298" t="s">
        <v>30</v>
      </c>
      <c r="F298" t="s">
        <v>64</v>
      </c>
      <c r="G298" t="s">
        <v>47</v>
      </c>
      <c r="H298" s="1">
        <v>44385</v>
      </c>
      <c r="I298" t="s">
        <v>378</v>
      </c>
      <c r="J298" s="10" t="s">
        <v>25</v>
      </c>
      <c r="K298" t="s">
        <v>51</v>
      </c>
      <c r="L298" t="s">
        <v>27</v>
      </c>
    </row>
    <row r="299" spans="1:12" x14ac:dyDescent="0.25">
      <c r="A299" t="s">
        <v>377</v>
      </c>
      <c r="B299" s="2">
        <v>869</v>
      </c>
      <c r="C299" s="2">
        <v>373</v>
      </c>
      <c r="D299">
        <v>14</v>
      </c>
      <c r="E299" t="s">
        <v>30</v>
      </c>
      <c r="F299" t="s">
        <v>64</v>
      </c>
      <c r="G299" t="s">
        <v>47</v>
      </c>
      <c r="H299" s="1">
        <v>43929</v>
      </c>
      <c r="I299" t="s">
        <v>379</v>
      </c>
      <c r="J299" s="10" t="s">
        <v>98</v>
      </c>
      <c r="K299" t="s">
        <v>117</v>
      </c>
      <c r="L299" t="s">
        <v>162</v>
      </c>
    </row>
    <row r="300" spans="1:12" x14ac:dyDescent="0.25">
      <c r="A300" t="s">
        <v>377</v>
      </c>
      <c r="B300" s="2">
        <v>1486</v>
      </c>
      <c r="C300" s="2">
        <v>114</v>
      </c>
      <c r="D300">
        <v>7</v>
      </c>
      <c r="E300" t="s">
        <v>45</v>
      </c>
      <c r="F300" t="s">
        <v>109</v>
      </c>
      <c r="G300" t="s">
        <v>15</v>
      </c>
      <c r="H300" s="1">
        <v>44385</v>
      </c>
      <c r="I300" t="s">
        <v>378</v>
      </c>
      <c r="J300" s="10" t="s">
        <v>25</v>
      </c>
      <c r="K300" t="s">
        <v>51</v>
      </c>
      <c r="L300" t="s">
        <v>27</v>
      </c>
    </row>
    <row r="301" spans="1:12" x14ac:dyDescent="0.25">
      <c r="A301" t="s">
        <v>377</v>
      </c>
      <c r="B301" s="2">
        <v>1486</v>
      </c>
      <c r="C301" s="2">
        <v>114</v>
      </c>
      <c r="D301">
        <v>7</v>
      </c>
      <c r="E301" t="s">
        <v>45</v>
      </c>
      <c r="F301" t="s">
        <v>109</v>
      </c>
      <c r="G301" t="s">
        <v>15</v>
      </c>
      <c r="H301" s="1">
        <v>43929</v>
      </c>
      <c r="I301" t="s">
        <v>379</v>
      </c>
      <c r="J301" s="10" t="s">
        <v>98</v>
      </c>
      <c r="K301" t="s">
        <v>117</v>
      </c>
      <c r="L301" t="s">
        <v>162</v>
      </c>
    </row>
    <row r="302" spans="1:12" x14ac:dyDescent="0.25">
      <c r="A302" t="s">
        <v>380</v>
      </c>
      <c r="B302" s="2">
        <v>2999</v>
      </c>
      <c r="C302" s="2">
        <v>145</v>
      </c>
      <c r="D302">
        <v>13</v>
      </c>
      <c r="E302" t="s">
        <v>30</v>
      </c>
      <c r="F302" t="s">
        <v>78</v>
      </c>
      <c r="G302" t="s">
        <v>65</v>
      </c>
      <c r="H302" s="1">
        <v>44796</v>
      </c>
      <c r="I302" t="s">
        <v>381</v>
      </c>
      <c r="J302" s="10" t="s">
        <v>21</v>
      </c>
      <c r="K302" t="s">
        <v>22</v>
      </c>
      <c r="L302" t="s">
        <v>209</v>
      </c>
    </row>
    <row r="303" spans="1:12" x14ac:dyDescent="0.25">
      <c r="A303" t="s">
        <v>380</v>
      </c>
      <c r="B303" s="2">
        <v>5142</v>
      </c>
      <c r="C303" s="2">
        <v>1916</v>
      </c>
      <c r="D303">
        <v>20</v>
      </c>
      <c r="E303" t="s">
        <v>30</v>
      </c>
      <c r="F303" t="s">
        <v>64</v>
      </c>
      <c r="G303" t="s">
        <v>40</v>
      </c>
      <c r="H303" s="1">
        <v>44796</v>
      </c>
      <c r="I303" t="s">
        <v>381</v>
      </c>
      <c r="J303" s="10" t="s">
        <v>21</v>
      </c>
      <c r="K303" t="s">
        <v>22</v>
      </c>
      <c r="L303" t="s">
        <v>209</v>
      </c>
    </row>
    <row r="304" spans="1:12" x14ac:dyDescent="0.25">
      <c r="A304" t="s">
        <v>382</v>
      </c>
      <c r="B304" s="2">
        <v>1239</v>
      </c>
      <c r="C304" s="2">
        <v>575</v>
      </c>
      <c r="D304">
        <v>17</v>
      </c>
      <c r="E304" t="s">
        <v>13</v>
      </c>
      <c r="F304" t="s">
        <v>39</v>
      </c>
      <c r="G304" t="s">
        <v>15</v>
      </c>
      <c r="H304" s="1">
        <v>44912</v>
      </c>
      <c r="I304" t="s">
        <v>383</v>
      </c>
      <c r="J304" s="10" t="s">
        <v>25</v>
      </c>
      <c r="K304" t="s">
        <v>68</v>
      </c>
      <c r="L304" t="s">
        <v>152</v>
      </c>
    </row>
    <row r="305" spans="1:12" x14ac:dyDescent="0.25">
      <c r="A305" t="s">
        <v>382</v>
      </c>
      <c r="B305" s="2">
        <v>1239</v>
      </c>
      <c r="C305" s="2">
        <v>575</v>
      </c>
      <c r="D305">
        <v>17</v>
      </c>
      <c r="E305" t="s">
        <v>13</v>
      </c>
      <c r="F305" t="s">
        <v>39</v>
      </c>
      <c r="G305" t="s">
        <v>15</v>
      </c>
      <c r="H305" s="1">
        <v>44720</v>
      </c>
      <c r="I305" t="s">
        <v>384</v>
      </c>
      <c r="J305" s="10" t="s">
        <v>21</v>
      </c>
      <c r="K305" t="s">
        <v>63</v>
      </c>
      <c r="L305" t="s">
        <v>165</v>
      </c>
    </row>
    <row r="306" spans="1:12" x14ac:dyDescent="0.25">
      <c r="A306" t="s">
        <v>382</v>
      </c>
      <c r="B306" s="2">
        <v>1262</v>
      </c>
      <c r="C306" s="2">
        <v>515</v>
      </c>
      <c r="D306">
        <v>16</v>
      </c>
      <c r="E306" t="s">
        <v>13</v>
      </c>
      <c r="F306" t="s">
        <v>14</v>
      </c>
      <c r="G306" t="s">
        <v>40</v>
      </c>
      <c r="H306" s="1">
        <v>44912</v>
      </c>
      <c r="I306" t="s">
        <v>383</v>
      </c>
      <c r="J306" s="10" t="s">
        <v>25</v>
      </c>
      <c r="K306" t="s">
        <v>68</v>
      </c>
      <c r="L306" t="s">
        <v>152</v>
      </c>
    </row>
    <row r="307" spans="1:12" x14ac:dyDescent="0.25">
      <c r="A307" t="s">
        <v>382</v>
      </c>
      <c r="B307" s="2">
        <v>1262</v>
      </c>
      <c r="C307" s="2">
        <v>515</v>
      </c>
      <c r="D307">
        <v>16</v>
      </c>
      <c r="E307" t="s">
        <v>13</v>
      </c>
      <c r="F307" t="s">
        <v>14</v>
      </c>
      <c r="G307" t="s">
        <v>40</v>
      </c>
      <c r="H307" s="1">
        <v>44720</v>
      </c>
      <c r="I307" t="s">
        <v>384</v>
      </c>
      <c r="J307" s="10" t="s">
        <v>21</v>
      </c>
      <c r="K307" t="s">
        <v>63</v>
      </c>
      <c r="L307" t="s">
        <v>165</v>
      </c>
    </row>
    <row r="308" spans="1:12" x14ac:dyDescent="0.25">
      <c r="A308" t="s">
        <v>385</v>
      </c>
      <c r="B308" s="2">
        <v>1033</v>
      </c>
      <c r="C308" s="2">
        <v>254</v>
      </c>
      <c r="D308">
        <v>5</v>
      </c>
      <c r="E308" t="s">
        <v>45</v>
      </c>
      <c r="F308" t="s">
        <v>109</v>
      </c>
      <c r="G308" t="s">
        <v>65</v>
      </c>
      <c r="H308" s="1">
        <v>44071</v>
      </c>
      <c r="I308" t="s">
        <v>386</v>
      </c>
      <c r="J308" s="10" t="s">
        <v>25</v>
      </c>
      <c r="K308" t="s">
        <v>68</v>
      </c>
      <c r="L308" t="s">
        <v>185</v>
      </c>
    </row>
    <row r="309" spans="1:12" x14ac:dyDescent="0.25">
      <c r="A309" t="s">
        <v>387</v>
      </c>
      <c r="B309" s="2">
        <v>1518</v>
      </c>
      <c r="C309" s="2">
        <v>159</v>
      </c>
      <c r="D309">
        <v>19</v>
      </c>
      <c r="E309" t="s">
        <v>13</v>
      </c>
      <c r="F309" t="s">
        <v>28</v>
      </c>
      <c r="G309" t="s">
        <v>15</v>
      </c>
      <c r="H309" s="1">
        <v>44100</v>
      </c>
      <c r="I309" t="s">
        <v>388</v>
      </c>
      <c r="J309" s="10" t="s">
        <v>42</v>
      </c>
      <c r="K309" t="s">
        <v>75</v>
      </c>
      <c r="L309" t="s">
        <v>389</v>
      </c>
    </row>
    <row r="310" spans="1:12" x14ac:dyDescent="0.25">
      <c r="A310" t="s">
        <v>390</v>
      </c>
      <c r="B310" s="2">
        <v>8581</v>
      </c>
      <c r="C310" s="2">
        <v>2444</v>
      </c>
      <c r="D310">
        <v>2</v>
      </c>
      <c r="E310" t="s">
        <v>30</v>
      </c>
      <c r="F310" t="s">
        <v>64</v>
      </c>
      <c r="G310" t="s">
        <v>32</v>
      </c>
      <c r="H310" s="1">
        <v>44178</v>
      </c>
      <c r="I310" t="s">
        <v>391</v>
      </c>
      <c r="J310" s="10" t="s">
        <v>21</v>
      </c>
      <c r="K310" t="s">
        <v>172</v>
      </c>
      <c r="L310" t="s">
        <v>287</v>
      </c>
    </row>
    <row r="311" spans="1:12" x14ac:dyDescent="0.25">
      <c r="A311" t="s">
        <v>390</v>
      </c>
      <c r="B311" s="2">
        <v>8581</v>
      </c>
      <c r="C311" s="2">
        <v>2444</v>
      </c>
      <c r="D311">
        <v>2</v>
      </c>
      <c r="E311" t="s">
        <v>30</v>
      </c>
      <c r="F311" t="s">
        <v>64</v>
      </c>
      <c r="G311" t="s">
        <v>32</v>
      </c>
      <c r="H311" s="1">
        <v>44154</v>
      </c>
      <c r="I311" t="s">
        <v>392</v>
      </c>
      <c r="J311" s="10" t="s">
        <v>17</v>
      </c>
      <c r="K311" t="s">
        <v>34</v>
      </c>
      <c r="L311" t="s">
        <v>80</v>
      </c>
    </row>
    <row r="312" spans="1:12" x14ac:dyDescent="0.25">
      <c r="A312" t="s">
        <v>393</v>
      </c>
      <c r="B312" s="2">
        <v>1167</v>
      </c>
      <c r="C312" s="2">
        <v>463</v>
      </c>
      <c r="D312">
        <v>5</v>
      </c>
      <c r="E312" t="s">
        <v>30</v>
      </c>
      <c r="F312" t="s">
        <v>31</v>
      </c>
      <c r="G312" t="s">
        <v>15</v>
      </c>
      <c r="H312" s="1">
        <v>45182</v>
      </c>
      <c r="I312" t="s">
        <v>394</v>
      </c>
      <c r="J312" s="10" t="s">
        <v>71</v>
      </c>
      <c r="K312" t="s">
        <v>86</v>
      </c>
      <c r="L312" t="s">
        <v>273</v>
      </c>
    </row>
    <row r="313" spans="1:12" x14ac:dyDescent="0.25">
      <c r="A313" t="s">
        <v>393</v>
      </c>
      <c r="B313" s="2">
        <v>2841</v>
      </c>
      <c r="C313" s="2">
        <v>803</v>
      </c>
      <c r="D313">
        <v>20</v>
      </c>
      <c r="E313" t="s">
        <v>13</v>
      </c>
      <c r="F313" t="s">
        <v>39</v>
      </c>
      <c r="G313" t="s">
        <v>47</v>
      </c>
      <c r="H313" s="1">
        <v>45182</v>
      </c>
      <c r="I313" t="s">
        <v>394</v>
      </c>
      <c r="J313" s="10" t="s">
        <v>71</v>
      </c>
      <c r="K313" t="s">
        <v>86</v>
      </c>
      <c r="L313" t="s">
        <v>273</v>
      </c>
    </row>
    <row r="314" spans="1:12" x14ac:dyDescent="0.25">
      <c r="A314" t="s">
        <v>393</v>
      </c>
      <c r="B314" s="2">
        <v>5680</v>
      </c>
      <c r="C314" s="2">
        <v>2159</v>
      </c>
      <c r="D314">
        <v>19</v>
      </c>
      <c r="E314" t="s">
        <v>45</v>
      </c>
      <c r="F314" t="s">
        <v>46</v>
      </c>
      <c r="G314" t="s">
        <v>15</v>
      </c>
      <c r="H314" s="1">
        <v>45182</v>
      </c>
      <c r="I314" t="s">
        <v>394</v>
      </c>
      <c r="J314" s="10" t="s">
        <v>71</v>
      </c>
      <c r="K314" t="s">
        <v>86</v>
      </c>
      <c r="L314" t="s">
        <v>273</v>
      </c>
    </row>
    <row r="315" spans="1:12" x14ac:dyDescent="0.25">
      <c r="A315" t="s">
        <v>395</v>
      </c>
      <c r="B315" s="2">
        <v>8204</v>
      </c>
      <c r="C315" s="2">
        <v>2382</v>
      </c>
      <c r="D315">
        <v>6</v>
      </c>
      <c r="E315" t="s">
        <v>30</v>
      </c>
      <c r="F315" t="s">
        <v>31</v>
      </c>
      <c r="G315" t="s">
        <v>15</v>
      </c>
      <c r="H315" s="1">
        <v>43921</v>
      </c>
      <c r="I315" t="s">
        <v>396</v>
      </c>
      <c r="J315" s="10" t="s">
        <v>21</v>
      </c>
      <c r="K315" t="s">
        <v>22</v>
      </c>
      <c r="L315" t="s">
        <v>55</v>
      </c>
    </row>
    <row r="316" spans="1:12" x14ac:dyDescent="0.25">
      <c r="A316" t="s">
        <v>395</v>
      </c>
      <c r="B316" s="2">
        <v>8204</v>
      </c>
      <c r="C316" s="2">
        <v>2382</v>
      </c>
      <c r="D316">
        <v>6</v>
      </c>
      <c r="E316" t="s">
        <v>30</v>
      </c>
      <c r="F316" t="s">
        <v>31</v>
      </c>
      <c r="G316" t="s">
        <v>15</v>
      </c>
      <c r="H316" s="1">
        <v>44124</v>
      </c>
      <c r="I316" t="s">
        <v>397</v>
      </c>
      <c r="J316" s="10" t="s">
        <v>25</v>
      </c>
      <c r="K316" t="s">
        <v>26</v>
      </c>
      <c r="L316" t="s">
        <v>119</v>
      </c>
    </row>
    <row r="317" spans="1:12" x14ac:dyDescent="0.25">
      <c r="A317" t="s">
        <v>395</v>
      </c>
      <c r="B317" s="2">
        <v>2850</v>
      </c>
      <c r="C317" s="2">
        <v>904</v>
      </c>
      <c r="D317">
        <v>6</v>
      </c>
      <c r="E317" t="s">
        <v>13</v>
      </c>
      <c r="F317" t="s">
        <v>82</v>
      </c>
      <c r="G317" t="s">
        <v>40</v>
      </c>
      <c r="H317" s="1">
        <v>43921</v>
      </c>
      <c r="I317" t="s">
        <v>396</v>
      </c>
      <c r="J317" s="10" t="s">
        <v>21</v>
      </c>
      <c r="K317" t="s">
        <v>22</v>
      </c>
      <c r="L317" t="s">
        <v>55</v>
      </c>
    </row>
    <row r="318" spans="1:12" x14ac:dyDescent="0.25">
      <c r="A318" t="s">
        <v>395</v>
      </c>
      <c r="B318" s="2">
        <v>2850</v>
      </c>
      <c r="C318" s="2">
        <v>904</v>
      </c>
      <c r="D318">
        <v>6</v>
      </c>
      <c r="E318" t="s">
        <v>13</v>
      </c>
      <c r="F318" t="s">
        <v>82</v>
      </c>
      <c r="G318" t="s">
        <v>40</v>
      </c>
      <c r="H318" s="1">
        <v>44124</v>
      </c>
      <c r="I318" t="s">
        <v>397</v>
      </c>
      <c r="J318" s="10" t="s">
        <v>25</v>
      </c>
      <c r="K318" t="s">
        <v>26</v>
      </c>
      <c r="L318" t="s">
        <v>119</v>
      </c>
    </row>
    <row r="319" spans="1:12" x14ac:dyDescent="0.25">
      <c r="A319" t="s">
        <v>398</v>
      </c>
      <c r="B319" s="2">
        <v>907</v>
      </c>
      <c r="C319" s="2">
        <v>391</v>
      </c>
      <c r="D319">
        <v>9</v>
      </c>
      <c r="E319" t="s">
        <v>30</v>
      </c>
      <c r="F319" t="s">
        <v>31</v>
      </c>
      <c r="G319" t="s">
        <v>47</v>
      </c>
      <c r="H319" s="1">
        <v>45142</v>
      </c>
      <c r="I319" t="s">
        <v>399</v>
      </c>
      <c r="J319" s="10" t="s">
        <v>25</v>
      </c>
      <c r="K319" t="s">
        <v>51</v>
      </c>
      <c r="L319" t="s">
        <v>121</v>
      </c>
    </row>
    <row r="320" spans="1:12" x14ac:dyDescent="0.25">
      <c r="A320" t="s">
        <v>400</v>
      </c>
      <c r="B320" s="2">
        <v>2174</v>
      </c>
      <c r="C320" s="2">
        <v>265</v>
      </c>
      <c r="D320">
        <v>19</v>
      </c>
      <c r="E320" t="s">
        <v>30</v>
      </c>
      <c r="F320" t="s">
        <v>31</v>
      </c>
      <c r="G320" t="s">
        <v>47</v>
      </c>
      <c r="H320" s="1">
        <v>44662</v>
      </c>
      <c r="I320" t="s">
        <v>401</v>
      </c>
      <c r="J320" s="10" t="s">
        <v>98</v>
      </c>
      <c r="K320" t="s">
        <v>107</v>
      </c>
      <c r="L320" t="s">
        <v>187</v>
      </c>
    </row>
    <row r="321" spans="1:12" x14ac:dyDescent="0.25">
      <c r="A321" t="s">
        <v>400</v>
      </c>
      <c r="B321" s="2">
        <v>8541</v>
      </c>
      <c r="C321" s="2">
        <v>2029</v>
      </c>
      <c r="D321">
        <v>12</v>
      </c>
      <c r="E321" t="s">
        <v>13</v>
      </c>
      <c r="F321" t="s">
        <v>14</v>
      </c>
      <c r="G321" t="s">
        <v>47</v>
      </c>
      <c r="H321" s="1">
        <v>44662</v>
      </c>
      <c r="I321" t="s">
        <v>401</v>
      </c>
      <c r="J321" s="10" t="s">
        <v>98</v>
      </c>
      <c r="K321" t="s">
        <v>107</v>
      </c>
      <c r="L321" t="s">
        <v>187</v>
      </c>
    </row>
    <row r="322" spans="1:12" x14ac:dyDescent="0.25">
      <c r="A322" t="s">
        <v>400</v>
      </c>
      <c r="B322" s="2">
        <v>1931</v>
      </c>
      <c r="C322" s="2">
        <v>551</v>
      </c>
      <c r="D322">
        <v>3</v>
      </c>
      <c r="E322" t="s">
        <v>45</v>
      </c>
      <c r="F322" t="s">
        <v>109</v>
      </c>
      <c r="G322" t="s">
        <v>40</v>
      </c>
      <c r="H322" s="1">
        <v>44662</v>
      </c>
      <c r="I322" t="s">
        <v>401</v>
      </c>
      <c r="J322" s="10" t="s">
        <v>98</v>
      </c>
      <c r="K322" t="s">
        <v>107</v>
      </c>
      <c r="L322" t="s">
        <v>187</v>
      </c>
    </row>
    <row r="323" spans="1:12" x14ac:dyDescent="0.25">
      <c r="A323" t="s">
        <v>402</v>
      </c>
      <c r="B323" s="2">
        <v>1281</v>
      </c>
      <c r="C323" s="2">
        <v>340</v>
      </c>
      <c r="D323">
        <v>3</v>
      </c>
      <c r="E323" t="s">
        <v>13</v>
      </c>
      <c r="F323" t="s">
        <v>14</v>
      </c>
      <c r="G323" t="s">
        <v>32</v>
      </c>
      <c r="H323" s="1">
        <v>44561</v>
      </c>
      <c r="I323" t="s">
        <v>403</v>
      </c>
      <c r="J323" s="10" t="s">
        <v>71</v>
      </c>
      <c r="K323" t="s">
        <v>86</v>
      </c>
      <c r="L323" t="s">
        <v>90</v>
      </c>
    </row>
    <row r="324" spans="1:12" x14ac:dyDescent="0.25">
      <c r="A324" t="s">
        <v>402</v>
      </c>
      <c r="B324" s="2">
        <v>2404</v>
      </c>
      <c r="C324" s="2">
        <v>253</v>
      </c>
      <c r="D324">
        <v>15</v>
      </c>
      <c r="E324" t="s">
        <v>13</v>
      </c>
      <c r="F324" t="s">
        <v>39</v>
      </c>
      <c r="G324" t="s">
        <v>65</v>
      </c>
      <c r="H324" s="1">
        <v>44561</v>
      </c>
      <c r="I324" t="s">
        <v>403</v>
      </c>
      <c r="J324" s="10" t="s">
        <v>71</v>
      </c>
      <c r="K324" t="s">
        <v>86</v>
      </c>
      <c r="L324" t="s">
        <v>90</v>
      </c>
    </row>
    <row r="325" spans="1:12" x14ac:dyDescent="0.25">
      <c r="A325" t="s">
        <v>404</v>
      </c>
      <c r="B325" s="2">
        <v>2119</v>
      </c>
      <c r="C325" s="2">
        <v>196</v>
      </c>
      <c r="D325">
        <v>1</v>
      </c>
      <c r="E325" t="s">
        <v>45</v>
      </c>
      <c r="F325" t="s">
        <v>60</v>
      </c>
      <c r="G325" t="s">
        <v>65</v>
      </c>
      <c r="H325" s="1">
        <v>44059</v>
      </c>
      <c r="I325" t="s">
        <v>405</v>
      </c>
      <c r="J325" s="10" t="s">
        <v>42</v>
      </c>
      <c r="K325" t="s">
        <v>43</v>
      </c>
      <c r="L325" t="s">
        <v>185</v>
      </c>
    </row>
    <row r="326" spans="1:12" x14ac:dyDescent="0.25">
      <c r="A326" t="s">
        <v>406</v>
      </c>
      <c r="B326" s="2">
        <v>3137</v>
      </c>
      <c r="C326" s="2">
        <v>571</v>
      </c>
      <c r="D326">
        <v>9</v>
      </c>
      <c r="E326" t="s">
        <v>30</v>
      </c>
      <c r="F326" t="s">
        <v>31</v>
      </c>
      <c r="G326" t="s">
        <v>32</v>
      </c>
      <c r="H326" s="1">
        <v>45690</v>
      </c>
      <c r="I326" t="s">
        <v>407</v>
      </c>
      <c r="J326" s="10" t="s">
        <v>21</v>
      </c>
      <c r="K326" t="s">
        <v>22</v>
      </c>
      <c r="L326" t="s">
        <v>73</v>
      </c>
    </row>
    <row r="327" spans="1:12" x14ac:dyDescent="0.25">
      <c r="A327" t="s">
        <v>408</v>
      </c>
      <c r="B327" s="2">
        <v>2323</v>
      </c>
      <c r="C327" s="2">
        <v>727</v>
      </c>
      <c r="D327">
        <v>7</v>
      </c>
      <c r="E327" t="s">
        <v>45</v>
      </c>
      <c r="F327" t="s">
        <v>46</v>
      </c>
      <c r="G327" t="s">
        <v>65</v>
      </c>
      <c r="H327" s="1">
        <v>44616</v>
      </c>
      <c r="I327" t="s">
        <v>409</v>
      </c>
      <c r="J327" s="10" t="s">
        <v>71</v>
      </c>
      <c r="K327" t="s">
        <v>72</v>
      </c>
      <c r="L327" t="s">
        <v>137</v>
      </c>
    </row>
    <row r="328" spans="1:12" x14ac:dyDescent="0.25">
      <c r="A328" t="s">
        <v>408</v>
      </c>
      <c r="B328" s="2">
        <v>1368</v>
      </c>
      <c r="C328" s="2">
        <v>406</v>
      </c>
      <c r="D328">
        <v>9</v>
      </c>
      <c r="E328" t="s">
        <v>45</v>
      </c>
      <c r="F328" t="s">
        <v>109</v>
      </c>
      <c r="G328" t="s">
        <v>15</v>
      </c>
      <c r="H328" s="1">
        <v>44616</v>
      </c>
      <c r="I328" t="s">
        <v>409</v>
      </c>
      <c r="J328" s="10" t="s">
        <v>71</v>
      </c>
      <c r="K328" t="s">
        <v>72</v>
      </c>
      <c r="L328" t="s">
        <v>137</v>
      </c>
    </row>
    <row r="329" spans="1:12" x14ac:dyDescent="0.25">
      <c r="A329" t="s">
        <v>410</v>
      </c>
      <c r="B329" s="2">
        <v>9204</v>
      </c>
      <c r="C329" s="2">
        <v>3289</v>
      </c>
      <c r="D329">
        <v>16</v>
      </c>
      <c r="E329" t="s">
        <v>13</v>
      </c>
      <c r="F329" t="s">
        <v>39</v>
      </c>
      <c r="G329" t="s">
        <v>47</v>
      </c>
      <c r="H329" s="1">
        <v>45347</v>
      </c>
      <c r="I329" t="s">
        <v>411</v>
      </c>
      <c r="J329" s="10" t="s">
        <v>17</v>
      </c>
      <c r="K329" t="s">
        <v>18</v>
      </c>
      <c r="L329" t="s">
        <v>218</v>
      </c>
    </row>
    <row r="330" spans="1:12" x14ac:dyDescent="0.25">
      <c r="A330" t="s">
        <v>410</v>
      </c>
      <c r="B330" s="2">
        <v>9204</v>
      </c>
      <c r="C330" s="2">
        <v>3289</v>
      </c>
      <c r="D330">
        <v>16</v>
      </c>
      <c r="E330" t="s">
        <v>13</v>
      </c>
      <c r="F330" t="s">
        <v>39</v>
      </c>
      <c r="G330" t="s">
        <v>47</v>
      </c>
      <c r="H330" s="1">
        <v>44362</v>
      </c>
      <c r="I330" t="s">
        <v>412</v>
      </c>
      <c r="J330" s="10" t="s">
        <v>17</v>
      </c>
      <c r="K330" t="s">
        <v>18</v>
      </c>
      <c r="L330" t="s">
        <v>125</v>
      </c>
    </row>
    <row r="331" spans="1:12" x14ac:dyDescent="0.25">
      <c r="A331" t="s">
        <v>410</v>
      </c>
      <c r="B331" s="2">
        <v>9894</v>
      </c>
      <c r="C331" s="2">
        <v>3698</v>
      </c>
      <c r="D331">
        <v>20</v>
      </c>
      <c r="E331" t="s">
        <v>30</v>
      </c>
      <c r="F331" t="s">
        <v>64</v>
      </c>
      <c r="G331" t="s">
        <v>40</v>
      </c>
      <c r="H331" s="1">
        <v>45347</v>
      </c>
      <c r="I331" t="s">
        <v>411</v>
      </c>
      <c r="J331" s="10" t="s">
        <v>17</v>
      </c>
      <c r="K331" t="s">
        <v>18</v>
      </c>
      <c r="L331" t="s">
        <v>218</v>
      </c>
    </row>
    <row r="332" spans="1:12" x14ac:dyDescent="0.25">
      <c r="A332" t="s">
        <v>410</v>
      </c>
      <c r="B332" s="2">
        <v>9894</v>
      </c>
      <c r="C332" s="2">
        <v>3698</v>
      </c>
      <c r="D332">
        <v>20</v>
      </c>
      <c r="E332" t="s">
        <v>30</v>
      </c>
      <c r="F332" t="s">
        <v>64</v>
      </c>
      <c r="G332" t="s">
        <v>40</v>
      </c>
      <c r="H332" s="1">
        <v>44362</v>
      </c>
      <c r="I332" t="s">
        <v>412</v>
      </c>
      <c r="J332" s="10" t="s">
        <v>17</v>
      </c>
      <c r="K332" t="s">
        <v>18</v>
      </c>
      <c r="L332" t="s">
        <v>125</v>
      </c>
    </row>
    <row r="333" spans="1:12" x14ac:dyDescent="0.25">
      <c r="A333" t="s">
        <v>413</v>
      </c>
      <c r="B333" s="2">
        <v>5322</v>
      </c>
      <c r="C333" s="2">
        <v>1423</v>
      </c>
      <c r="D333">
        <v>18</v>
      </c>
      <c r="E333" t="s">
        <v>45</v>
      </c>
      <c r="F333" t="s">
        <v>60</v>
      </c>
      <c r="G333" t="s">
        <v>65</v>
      </c>
      <c r="H333" s="1">
        <v>44903</v>
      </c>
      <c r="I333" t="s">
        <v>414</v>
      </c>
      <c r="J333" s="10" t="s">
        <v>71</v>
      </c>
      <c r="K333" t="s">
        <v>138</v>
      </c>
      <c r="L333" t="s">
        <v>152</v>
      </c>
    </row>
    <row r="334" spans="1:12" x14ac:dyDescent="0.25">
      <c r="A334" t="s">
        <v>413</v>
      </c>
      <c r="B334" s="2">
        <v>5322</v>
      </c>
      <c r="C334" s="2">
        <v>1423</v>
      </c>
      <c r="D334">
        <v>18</v>
      </c>
      <c r="E334" t="s">
        <v>45</v>
      </c>
      <c r="F334" t="s">
        <v>60</v>
      </c>
      <c r="G334" t="s">
        <v>65</v>
      </c>
      <c r="H334" s="1">
        <v>45269</v>
      </c>
      <c r="I334" t="s">
        <v>415</v>
      </c>
      <c r="J334" s="10" t="s">
        <v>71</v>
      </c>
      <c r="K334" t="s">
        <v>72</v>
      </c>
      <c r="L334" t="s">
        <v>102</v>
      </c>
    </row>
    <row r="335" spans="1:12" x14ac:dyDescent="0.25">
      <c r="A335" t="s">
        <v>416</v>
      </c>
      <c r="B335" s="2">
        <v>2666</v>
      </c>
      <c r="C335" s="2">
        <v>559</v>
      </c>
      <c r="D335">
        <v>14</v>
      </c>
      <c r="E335" t="s">
        <v>45</v>
      </c>
      <c r="F335" t="s">
        <v>49</v>
      </c>
      <c r="G335" t="s">
        <v>65</v>
      </c>
      <c r="H335" s="1">
        <v>44758</v>
      </c>
      <c r="I335" t="s">
        <v>417</v>
      </c>
      <c r="J335" s="10" t="s">
        <v>98</v>
      </c>
      <c r="K335" t="s">
        <v>117</v>
      </c>
      <c r="L335" t="s">
        <v>418</v>
      </c>
    </row>
    <row r="336" spans="1:12" x14ac:dyDescent="0.25">
      <c r="A336" t="s">
        <v>419</v>
      </c>
      <c r="B336" s="2">
        <v>8383</v>
      </c>
      <c r="C336" s="2">
        <v>937</v>
      </c>
      <c r="D336">
        <v>4</v>
      </c>
      <c r="E336" t="s">
        <v>45</v>
      </c>
      <c r="F336" t="s">
        <v>60</v>
      </c>
      <c r="G336" t="s">
        <v>15</v>
      </c>
      <c r="H336" s="1">
        <v>45417</v>
      </c>
      <c r="I336" t="s">
        <v>420</v>
      </c>
      <c r="J336" s="10" t="s">
        <v>17</v>
      </c>
      <c r="K336" t="s">
        <v>34</v>
      </c>
      <c r="L336" t="s">
        <v>35</v>
      </c>
    </row>
    <row r="337" spans="1:12" x14ac:dyDescent="0.25">
      <c r="A337" t="s">
        <v>421</v>
      </c>
      <c r="B337" s="2">
        <v>7560</v>
      </c>
      <c r="C337" s="2">
        <v>821</v>
      </c>
      <c r="D337">
        <v>4</v>
      </c>
      <c r="E337" t="s">
        <v>30</v>
      </c>
      <c r="F337" t="s">
        <v>64</v>
      </c>
      <c r="G337" t="s">
        <v>40</v>
      </c>
      <c r="H337" s="1">
        <v>44473</v>
      </c>
      <c r="I337" t="s">
        <v>422</v>
      </c>
      <c r="J337" s="10" t="s">
        <v>21</v>
      </c>
      <c r="K337" t="s">
        <v>22</v>
      </c>
      <c r="L337" t="s">
        <v>37</v>
      </c>
    </row>
    <row r="338" spans="1:12" x14ac:dyDescent="0.25">
      <c r="A338" t="s">
        <v>423</v>
      </c>
      <c r="B338" s="2">
        <v>1314</v>
      </c>
      <c r="C338" s="2">
        <v>490</v>
      </c>
      <c r="D338">
        <v>16</v>
      </c>
      <c r="E338" t="s">
        <v>45</v>
      </c>
      <c r="F338" t="s">
        <v>60</v>
      </c>
      <c r="G338" t="s">
        <v>15</v>
      </c>
      <c r="H338" s="1">
        <v>44520</v>
      </c>
      <c r="I338" t="s">
        <v>424</v>
      </c>
      <c r="J338" s="10" t="s">
        <v>25</v>
      </c>
      <c r="K338" t="s">
        <v>26</v>
      </c>
      <c r="L338" t="s">
        <v>175</v>
      </c>
    </row>
    <row r="339" spans="1:12" x14ac:dyDescent="0.25">
      <c r="A339" t="s">
        <v>423</v>
      </c>
      <c r="B339" s="2">
        <v>4390</v>
      </c>
      <c r="C339" s="2">
        <v>179</v>
      </c>
      <c r="D339">
        <v>1</v>
      </c>
      <c r="E339" t="s">
        <v>45</v>
      </c>
      <c r="F339" t="s">
        <v>46</v>
      </c>
      <c r="G339" t="s">
        <v>32</v>
      </c>
      <c r="H339" s="1">
        <v>44520</v>
      </c>
      <c r="I339" t="s">
        <v>424</v>
      </c>
      <c r="J339" s="10" t="s">
        <v>25</v>
      </c>
      <c r="K339" t="s">
        <v>26</v>
      </c>
      <c r="L339" t="s">
        <v>175</v>
      </c>
    </row>
    <row r="340" spans="1:12" x14ac:dyDescent="0.25">
      <c r="A340" t="s">
        <v>423</v>
      </c>
      <c r="B340" s="2">
        <v>1150</v>
      </c>
      <c r="C340" s="2">
        <v>58</v>
      </c>
      <c r="D340">
        <v>7</v>
      </c>
      <c r="E340" t="s">
        <v>30</v>
      </c>
      <c r="F340" t="s">
        <v>78</v>
      </c>
      <c r="G340" t="s">
        <v>32</v>
      </c>
      <c r="H340" s="1">
        <v>44520</v>
      </c>
      <c r="I340" t="s">
        <v>424</v>
      </c>
      <c r="J340" s="10" t="s">
        <v>25</v>
      </c>
      <c r="K340" t="s">
        <v>26</v>
      </c>
      <c r="L340" t="s">
        <v>175</v>
      </c>
    </row>
    <row r="341" spans="1:12" x14ac:dyDescent="0.25">
      <c r="A341" t="s">
        <v>425</v>
      </c>
      <c r="B341" s="2">
        <v>1574</v>
      </c>
      <c r="C341" s="2">
        <v>258</v>
      </c>
      <c r="D341">
        <v>17</v>
      </c>
      <c r="E341" t="s">
        <v>30</v>
      </c>
      <c r="F341" t="s">
        <v>31</v>
      </c>
      <c r="G341" t="s">
        <v>40</v>
      </c>
      <c r="H341" s="1">
        <v>44089</v>
      </c>
      <c r="I341" t="s">
        <v>426</v>
      </c>
      <c r="J341" s="10" t="s">
        <v>42</v>
      </c>
      <c r="K341" t="s">
        <v>75</v>
      </c>
      <c r="L341" t="s">
        <v>389</v>
      </c>
    </row>
    <row r="342" spans="1:12" x14ac:dyDescent="0.25">
      <c r="A342" t="s">
        <v>425</v>
      </c>
      <c r="B342" s="2">
        <v>5635</v>
      </c>
      <c r="C342" s="2">
        <v>318</v>
      </c>
      <c r="D342">
        <v>17</v>
      </c>
      <c r="E342" t="s">
        <v>30</v>
      </c>
      <c r="F342" t="s">
        <v>78</v>
      </c>
      <c r="G342" t="s">
        <v>15</v>
      </c>
      <c r="H342" s="1">
        <v>44089</v>
      </c>
      <c r="I342" t="s">
        <v>426</v>
      </c>
      <c r="J342" s="10" t="s">
        <v>42</v>
      </c>
      <c r="K342" t="s">
        <v>75</v>
      </c>
      <c r="L342" t="s">
        <v>389</v>
      </c>
    </row>
    <row r="343" spans="1:12" x14ac:dyDescent="0.25">
      <c r="A343" t="s">
        <v>425</v>
      </c>
      <c r="B343" s="2">
        <v>6515</v>
      </c>
      <c r="C343" s="2">
        <v>961</v>
      </c>
      <c r="D343">
        <v>11</v>
      </c>
      <c r="E343" t="s">
        <v>45</v>
      </c>
      <c r="F343" t="s">
        <v>60</v>
      </c>
      <c r="G343" t="s">
        <v>32</v>
      </c>
      <c r="H343" s="1">
        <v>44089</v>
      </c>
      <c r="I343" t="s">
        <v>426</v>
      </c>
      <c r="J343" s="10" t="s">
        <v>42</v>
      </c>
      <c r="K343" t="s">
        <v>75</v>
      </c>
      <c r="L343" t="s">
        <v>389</v>
      </c>
    </row>
    <row r="344" spans="1:12" x14ac:dyDescent="0.25">
      <c r="A344" t="s">
        <v>427</v>
      </c>
      <c r="B344" s="2">
        <v>1231</v>
      </c>
      <c r="C344" s="2">
        <v>214</v>
      </c>
      <c r="D344">
        <v>20</v>
      </c>
      <c r="E344" t="s">
        <v>13</v>
      </c>
      <c r="F344" t="s">
        <v>39</v>
      </c>
      <c r="G344" t="s">
        <v>32</v>
      </c>
      <c r="H344" s="1">
        <v>44943</v>
      </c>
      <c r="I344" t="s">
        <v>428</v>
      </c>
      <c r="J344" s="10" t="s">
        <v>98</v>
      </c>
      <c r="K344" t="s">
        <v>99</v>
      </c>
      <c r="L344" t="s">
        <v>333</v>
      </c>
    </row>
    <row r="345" spans="1:12" x14ac:dyDescent="0.25">
      <c r="A345" t="s">
        <v>427</v>
      </c>
      <c r="B345" s="2">
        <v>1231</v>
      </c>
      <c r="C345" s="2">
        <v>214</v>
      </c>
      <c r="D345">
        <v>20</v>
      </c>
      <c r="E345" t="s">
        <v>13</v>
      </c>
      <c r="F345" t="s">
        <v>39</v>
      </c>
      <c r="G345" t="s">
        <v>32</v>
      </c>
      <c r="H345" s="1">
        <v>43998</v>
      </c>
      <c r="I345" t="s">
        <v>429</v>
      </c>
      <c r="J345" s="10" t="s">
        <v>25</v>
      </c>
      <c r="K345" t="s">
        <v>68</v>
      </c>
      <c r="L345" t="s">
        <v>313</v>
      </c>
    </row>
    <row r="346" spans="1:12" x14ac:dyDescent="0.25">
      <c r="A346" t="s">
        <v>430</v>
      </c>
      <c r="B346" s="2">
        <v>6891</v>
      </c>
      <c r="C346" s="2">
        <v>2529</v>
      </c>
      <c r="D346">
        <v>3</v>
      </c>
      <c r="E346" t="s">
        <v>30</v>
      </c>
      <c r="F346" t="s">
        <v>78</v>
      </c>
      <c r="G346" t="s">
        <v>32</v>
      </c>
      <c r="H346" s="1">
        <v>45413</v>
      </c>
      <c r="I346" t="s">
        <v>431</v>
      </c>
      <c r="J346" s="10" t="s">
        <v>98</v>
      </c>
      <c r="K346" t="s">
        <v>117</v>
      </c>
      <c r="L346" t="s">
        <v>35</v>
      </c>
    </row>
    <row r="347" spans="1:12" x14ac:dyDescent="0.25">
      <c r="A347" t="s">
        <v>432</v>
      </c>
      <c r="B347" s="2">
        <v>7524</v>
      </c>
      <c r="C347" s="2">
        <v>2308</v>
      </c>
      <c r="D347">
        <v>15</v>
      </c>
      <c r="E347" t="s">
        <v>13</v>
      </c>
      <c r="F347" t="s">
        <v>39</v>
      </c>
      <c r="G347" t="s">
        <v>40</v>
      </c>
      <c r="H347" s="1">
        <v>45267</v>
      </c>
      <c r="I347" t="s">
        <v>433</v>
      </c>
      <c r="J347" s="10" t="s">
        <v>71</v>
      </c>
      <c r="K347" t="s">
        <v>86</v>
      </c>
      <c r="L347" t="s">
        <v>102</v>
      </c>
    </row>
    <row r="348" spans="1:12" x14ac:dyDescent="0.25">
      <c r="A348" t="s">
        <v>432</v>
      </c>
      <c r="B348" s="2">
        <v>6864</v>
      </c>
      <c r="C348" s="2">
        <v>1824</v>
      </c>
      <c r="D348">
        <v>14</v>
      </c>
      <c r="E348" t="s">
        <v>13</v>
      </c>
      <c r="F348" t="s">
        <v>28</v>
      </c>
      <c r="G348" t="s">
        <v>47</v>
      </c>
      <c r="H348" s="1">
        <v>45267</v>
      </c>
      <c r="I348" t="s">
        <v>433</v>
      </c>
      <c r="J348" s="10" t="s">
        <v>71</v>
      </c>
      <c r="K348" t="s">
        <v>86</v>
      </c>
      <c r="L348" t="s">
        <v>102</v>
      </c>
    </row>
    <row r="349" spans="1:12" x14ac:dyDescent="0.25">
      <c r="A349" t="s">
        <v>434</v>
      </c>
      <c r="B349" s="2">
        <v>4215</v>
      </c>
      <c r="C349" s="2">
        <v>432</v>
      </c>
      <c r="D349">
        <v>14</v>
      </c>
      <c r="E349" t="s">
        <v>45</v>
      </c>
      <c r="F349" t="s">
        <v>49</v>
      </c>
      <c r="G349" t="s">
        <v>32</v>
      </c>
      <c r="H349" s="1">
        <v>45324</v>
      </c>
      <c r="I349" t="s">
        <v>435</v>
      </c>
      <c r="J349" s="10" t="s">
        <v>98</v>
      </c>
      <c r="K349" t="s">
        <v>99</v>
      </c>
      <c r="L349" t="s">
        <v>218</v>
      </c>
    </row>
    <row r="350" spans="1:12" x14ac:dyDescent="0.25">
      <c r="A350" t="s">
        <v>436</v>
      </c>
      <c r="B350" s="2">
        <v>622</v>
      </c>
      <c r="C350" s="2">
        <v>218</v>
      </c>
      <c r="D350">
        <v>19</v>
      </c>
      <c r="E350" t="s">
        <v>45</v>
      </c>
      <c r="F350" t="s">
        <v>109</v>
      </c>
      <c r="G350" t="s">
        <v>47</v>
      </c>
      <c r="H350" s="1">
        <v>45466</v>
      </c>
      <c r="I350" t="s">
        <v>437</v>
      </c>
      <c r="J350" s="10" t="s">
        <v>42</v>
      </c>
      <c r="K350" t="s">
        <v>75</v>
      </c>
      <c r="L350" t="s">
        <v>262</v>
      </c>
    </row>
    <row r="351" spans="1:12" x14ac:dyDescent="0.25">
      <c r="A351" t="s">
        <v>436</v>
      </c>
      <c r="B351" s="2">
        <v>1755</v>
      </c>
      <c r="C351" s="2">
        <v>495</v>
      </c>
      <c r="D351">
        <v>18</v>
      </c>
      <c r="E351" t="s">
        <v>30</v>
      </c>
      <c r="F351" t="s">
        <v>31</v>
      </c>
      <c r="G351" t="s">
        <v>15</v>
      </c>
      <c r="H351" s="1">
        <v>45466</v>
      </c>
      <c r="I351" t="s">
        <v>437</v>
      </c>
      <c r="J351" s="10" t="s">
        <v>42</v>
      </c>
      <c r="K351" t="s">
        <v>75</v>
      </c>
      <c r="L351" t="s">
        <v>262</v>
      </c>
    </row>
    <row r="352" spans="1:12" x14ac:dyDescent="0.25">
      <c r="A352" t="s">
        <v>436</v>
      </c>
      <c r="B352" s="2">
        <v>8020</v>
      </c>
      <c r="C352" s="2">
        <v>3898</v>
      </c>
      <c r="D352">
        <v>20</v>
      </c>
      <c r="E352" t="s">
        <v>13</v>
      </c>
      <c r="F352" t="s">
        <v>14</v>
      </c>
      <c r="G352" t="s">
        <v>40</v>
      </c>
      <c r="H352" s="1">
        <v>45466</v>
      </c>
      <c r="I352" t="s">
        <v>437</v>
      </c>
      <c r="J352" s="10" t="s">
        <v>42</v>
      </c>
      <c r="K352" t="s">
        <v>75</v>
      </c>
      <c r="L352" t="s">
        <v>262</v>
      </c>
    </row>
    <row r="353" spans="1:12" x14ac:dyDescent="0.25">
      <c r="A353" t="s">
        <v>438</v>
      </c>
      <c r="B353" s="2">
        <v>7333</v>
      </c>
      <c r="C353" s="2">
        <v>1576</v>
      </c>
      <c r="D353">
        <v>4</v>
      </c>
      <c r="E353" t="s">
        <v>13</v>
      </c>
      <c r="F353" t="s">
        <v>39</v>
      </c>
      <c r="G353" t="s">
        <v>47</v>
      </c>
      <c r="H353" s="1">
        <v>45450</v>
      </c>
      <c r="I353" t="s">
        <v>439</v>
      </c>
      <c r="J353" s="10" t="s">
        <v>25</v>
      </c>
      <c r="K353" t="s">
        <v>26</v>
      </c>
      <c r="L353" t="s">
        <v>262</v>
      </c>
    </row>
    <row r="354" spans="1:12" x14ac:dyDescent="0.25">
      <c r="A354" t="s">
        <v>440</v>
      </c>
      <c r="B354" s="2">
        <v>7690</v>
      </c>
      <c r="C354" s="2">
        <v>1134</v>
      </c>
      <c r="D354">
        <v>4</v>
      </c>
      <c r="E354" t="s">
        <v>13</v>
      </c>
      <c r="F354" t="s">
        <v>14</v>
      </c>
      <c r="G354" t="s">
        <v>65</v>
      </c>
      <c r="H354" s="1">
        <v>45212</v>
      </c>
      <c r="I354" t="s">
        <v>441</v>
      </c>
      <c r="J354" s="10" t="s">
        <v>25</v>
      </c>
      <c r="K354" t="s">
        <v>68</v>
      </c>
      <c r="L354" t="s">
        <v>442</v>
      </c>
    </row>
    <row r="355" spans="1:12" x14ac:dyDescent="0.25">
      <c r="A355" t="s">
        <v>440</v>
      </c>
      <c r="B355" s="2">
        <v>912</v>
      </c>
      <c r="C355" s="2">
        <v>246</v>
      </c>
      <c r="D355">
        <v>2</v>
      </c>
      <c r="E355" t="s">
        <v>45</v>
      </c>
      <c r="F355" t="s">
        <v>60</v>
      </c>
      <c r="G355" t="s">
        <v>40</v>
      </c>
      <c r="H355" s="1">
        <v>45212</v>
      </c>
      <c r="I355" t="s">
        <v>441</v>
      </c>
      <c r="J355" s="10" t="s">
        <v>25</v>
      </c>
      <c r="K355" t="s">
        <v>68</v>
      </c>
      <c r="L355" t="s">
        <v>442</v>
      </c>
    </row>
    <row r="356" spans="1:12" x14ac:dyDescent="0.25">
      <c r="A356" t="s">
        <v>443</v>
      </c>
      <c r="B356" s="2">
        <v>2791</v>
      </c>
      <c r="C356" s="2">
        <v>894</v>
      </c>
      <c r="D356">
        <v>14</v>
      </c>
      <c r="E356" t="s">
        <v>13</v>
      </c>
      <c r="F356" t="s">
        <v>39</v>
      </c>
      <c r="G356" t="s">
        <v>65</v>
      </c>
      <c r="H356" s="1">
        <v>44842</v>
      </c>
      <c r="I356" t="s">
        <v>444</v>
      </c>
      <c r="J356" s="10" t="s">
        <v>71</v>
      </c>
      <c r="K356" t="s">
        <v>86</v>
      </c>
      <c r="L356" t="s">
        <v>96</v>
      </c>
    </row>
    <row r="357" spans="1:12" x14ac:dyDescent="0.25">
      <c r="A357" t="s">
        <v>443</v>
      </c>
      <c r="B357" s="2">
        <v>2791</v>
      </c>
      <c r="C357" s="2">
        <v>894</v>
      </c>
      <c r="D357">
        <v>14</v>
      </c>
      <c r="E357" t="s">
        <v>13</v>
      </c>
      <c r="F357" t="s">
        <v>39</v>
      </c>
      <c r="G357" t="s">
        <v>65</v>
      </c>
      <c r="H357" s="1">
        <v>45226</v>
      </c>
      <c r="I357" t="s">
        <v>445</v>
      </c>
      <c r="J357" s="10" t="s">
        <v>98</v>
      </c>
      <c r="K357" t="s">
        <v>107</v>
      </c>
      <c r="L357" t="s">
        <v>442</v>
      </c>
    </row>
    <row r="358" spans="1:12" x14ac:dyDescent="0.25">
      <c r="A358" t="s">
        <v>443</v>
      </c>
      <c r="B358" s="2">
        <v>2791</v>
      </c>
      <c r="C358" s="2">
        <v>894</v>
      </c>
      <c r="D358">
        <v>14</v>
      </c>
      <c r="E358" t="s">
        <v>13</v>
      </c>
      <c r="F358" t="s">
        <v>39</v>
      </c>
      <c r="G358" t="s">
        <v>65</v>
      </c>
      <c r="H358" s="1">
        <v>44236</v>
      </c>
      <c r="I358" t="s">
        <v>446</v>
      </c>
      <c r="J358" s="10" t="s">
        <v>71</v>
      </c>
      <c r="K358" t="s">
        <v>72</v>
      </c>
      <c r="L358" t="s">
        <v>292</v>
      </c>
    </row>
    <row r="359" spans="1:12" x14ac:dyDescent="0.25">
      <c r="A359" t="s">
        <v>443</v>
      </c>
      <c r="B359" s="2">
        <v>6223</v>
      </c>
      <c r="C359" s="2">
        <v>1478</v>
      </c>
      <c r="D359">
        <v>3</v>
      </c>
      <c r="E359" t="s">
        <v>45</v>
      </c>
      <c r="F359" t="s">
        <v>60</v>
      </c>
      <c r="G359" t="s">
        <v>32</v>
      </c>
      <c r="H359" s="1">
        <v>44842</v>
      </c>
      <c r="I359" t="s">
        <v>444</v>
      </c>
      <c r="J359" s="10" t="s">
        <v>71</v>
      </c>
      <c r="K359" t="s">
        <v>86</v>
      </c>
      <c r="L359" t="s">
        <v>96</v>
      </c>
    </row>
    <row r="360" spans="1:12" x14ac:dyDescent="0.25">
      <c r="A360" t="s">
        <v>443</v>
      </c>
      <c r="B360" s="2">
        <v>6223</v>
      </c>
      <c r="C360" s="2">
        <v>1478</v>
      </c>
      <c r="D360">
        <v>3</v>
      </c>
      <c r="E360" t="s">
        <v>45</v>
      </c>
      <c r="F360" t="s">
        <v>60</v>
      </c>
      <c r="G360" t="s">
        <v>32</v>
      </c>
      <c r="H360" s="1">
        <v>45226</v>
      </c>
      <c r="I360" t="s">
        <v>445</v>
      </c>
      <c r="J360" s="10" t="s">
        <v>98</v>
      </c>
      <c r="K360" t="s">
        <v>107</v>
      </c>
      <c r="L360" t="s">
        <v>442</v>
      </c>
    </row>
    <row r="361" spans="1:12" x14ac:dyDescent="0.25">
      <c r="A361" t="s">
        <v>443</v>
      </c>
      <c r="B361" s="2">
        <v>6223</v>
      </c>
      <c r="C361" s="2">
        <v>1478</v>
      </c>
      <c r="D361">
        <v>3</v>
      </c>
      <c r="E361" t="s">
        <v>45</v>
      </c>
      <c r="F361" t="s">
        <v>60</v>
      </c>
      <c r="G361" t="s">
        <v>32</v>
      </c>
      <c r="H361" s="1">
        <v>44236</v>
      </c>
      <c r="I361" t="s">
        <v>446</v>
      </c>
      <c r="J361" s="10" t="s">
        <v>71</v>
      </c>
      <c r="K361" t="s">
        <v>72</v>
      </c>
      <c r="L361" t="s">
        <v>292</v>
      </c>
    </row>
    <row r="362" spans="1:12" x14ac:dyDescent="0.25">
      <c r="A362" t="s">
        <v>443</v>
      </c>
      <c r="B362" s="2">
        <v>8943</v>
      </c>
      <c r="C362" s="2">
        <v>3121</v>
      </c>
      <c r="D362">
        <v>17</v>
      </c>
      <c r="E362" t="s">
        <v>45</v>
      </c>
      <c r="F362" t="s">
        <v>49</v>
      </c>
      <c r="G362" t="s">
        <v>32</v>
      </c>
      <c r="H362" s="1">
        <v>44842</v>
      </c>
      <c r="I362" t="s">
        <v>444</v>
      </c>
      <c r="J362" s="10" t="s">
        <v>71</v>
      </c>
      <c r="K362" t="s">
        <v>86</v>
      </c>
      <c r="L362" t="s">
        <v>96</v>
      </c>
    </row>
    <row r="363" spans="1:12" x14ac:dyDescent="0.25">
      <c r="A363" t="s">
        <v>443</v>
      </c>
      <c r="B363" s="2">
        <v>8943</v>
      </c>
      <c r="C363" s="2">
        <v>3121</v>
      </c>
      <c r="D363">
        <v>17</v>
      </c>
      <c r="E363" t="s">
        <v>45</v>
      </c>
      <c r="F363" t="s">
        <v>49</v>
      </c>
      <c r="G363" t="s">
        <v>32</v>
      </c>
      <c r="H363" s="1">
        <v>45226</v>
      </c>
      <c r="I363" t="s">
        <v>445</v>
      </c>
      <c r="J363" s="10" t="s">
        <v>98</v>
      </c>
      <c r="K363" t="s">
        <v>107</v>
      </c>
      <c r="L363" t="s">
        <v>442</v>
      </c>
    </row>
    <row r="364" spans="1:12" x14ac:dyDescent="0.25">
      <c r="A364" t="s">
        <v>443</v>
      </c>
      <c r="B364" s="2">
        <v>8943</v>
      </c>
      <c r="C364" s="2">
        <v>3121</v>
      </c>
      <c r="D364">
        <v>17</v>
      </c>
      <c r="E364" t="s">
        <v>45</v>
      </c>
      <c r="F364" t="s">
        <v>49</v>
      </c>
      <c r="G364" t="s">
        <v>32</v>
      </c>
      <c r="H364" s="1">
        <v>44236</v>
      </c>
      <c r="I364" t="s">
        <v>446</v>
      </c>
      <c r="J364" s="10" t="s">
        <v>71</v>
      </c>
      <c r="K364" t="s">
        <v>72</v>
      </c>
      <c r="L364" t="s">
        <v>292</v>
      </c>
    </row>
    <row r="365" spans="1:12" x14ac:dyDescent="0.25">
      <c r="A365" t="s">
        <v>443</v>
      </c>
      <c r="B365" s="2">
        <v>3297</v>
      </c>
      <c r="C365" s="2">
        <v>102</v>
      </c>
      <c r="D365">
        <v>12</v>
      </c>
      <c r="E365" t="s">
        <v>13</v>
      </c>
      <c r="F365" t="s">
        <v>82</v>
      </c>
      <c r="G365" t="s">
        <v>47</v>
      </c>
      <c r="H365" s="1">
        <v>44842</v>
      </c>
      <c r="I365" t="s">
        <v>444</v>
      </c>
      <c r="J365" s="10" t="s">
        <v>71</v>
      </c>
      <c r="K365" t="s">
        <v>86</v>
      </c>
      <c r="L365" t="s">
        <v>96</v>
      </c>
    </row>
    <row r="366" spans="1:12" x14ac:dyDescent="0.25">
      <c r="A366" t="s">
        <v>443</v>
      </c>
      <c r="B366" s="2">
        <v>3297</v>
      </c>
      <c r="C366" s="2">
        <v>102</v>
      </c>
      <c r="D366">
        <v>12</v>
      </c>
      <c r="E366" t="s">
        <v>13</v>
      </c>
      <c r="F366" t="s">
        <v>82</v>
      </c>
      <c r="G366" t="s">
        <v>47</v>
      </c>
      <c r="H366" s="1">
        <v>45226</v>
      </c>
      <c r="I366" t="s">
        <v>445</v>
      </c>
      <c r="J366" s="10" t="s">
        <v>98</v>
      </c>
      <c r="K366" t="s">
        <v>107</v>
      </c>
      <c r="L366" t="s">
        <v>442</v>
      </c>
    </row>
    <row r="367" spans="1:12" x14ac:dyDescent="0.25">
      <c r="A367" t="s">
        <v>443</v>
      </c>
      <c r="B367" s="2">
        <v>3297</v>
      </c>
      <c r="C367" s="2">
        <v>102</v>
      </c>
      <c r="D367">
        <v>12</v>
      </c>
      <c r="E367" t="s">
        <v>13</v>
      </c>
      <c r="F367" t="s">
        <v>82</v>
      </c>
      <c r="G367" t="s">
        <v>47</v>
      </c>
      <c r="H367" s="1">
        <v>44236</v>
      </c>
      <c r="I367" t="s">
        <v>446</v>
      </c>
      <c r="J367" s="10" t="s">
        <v>71</v>
      </c>
      <c r="K367" t="s">
        <v>72</v>
      </c>
      <c r="L367" t="s">
        <v>292</v>
      </c>
    </row>
    <row r="368" spans="1:12" x14ac:dyDescent="0.25">
      <c r="A368" t="s">
        <v>447</v>
      </c>
      <c r="B368" s="2">
        <v>8769</v>
      </c>
      <c r="C368" s="2">
        <v>1989</v>
      </c>
      <c r="D368">
        <v>20</v>
      </c>
      <c r="E368" t="s">
        <v>30</v>
      </c>
      <c r="F368" t="s">
        <v>64</v>
      </c>
      <c r="G368" t="s">
        <v>15</v>
      </c>
      <c r="H368" s="1">
        <v>44138</v>
      </c>
      <c r="I368" t="s">
        <v>448</v>
      </c>
      <c r="J368" s="10" t="s">
        <v>21</v>
      </c>
      <c r="K368" t="s">
        <v>22</v>
      </c>
      <c r="L368" t="s">
        <v>80</v>
      </c>
    </row>
    <row r="369" spans="1:12" x14ac:dyDescent="0.25">
      <c r="A369" t="s">
        <v>449</v>
      </c>
      <c r="B369" s="2">
        <v>9057</v>
      </c>
      <c r="C369" s="2">
        <v>1888</v>
      </c>
      <c r="D369">
        <v>19</v>
      </c>
      <c r="E369" t="s">
        <v>13</v>
      </c>
      <c r="F369" t="s">
        <v>28</v>
      </c>
      <c r="G369" t="s">
        <v>65</v>
      </c>
      <c r="H369" s="1">
        <v>44711</v>
      </c>
      <c r="I369" t="s">
        <v>450</v>
      </c>
      <c r="J369" s="10" t="s">
        <v>17</v>
      </c>
      <c r="K369" t="s">
        <v>34</v>
      </c>
      <c r="L369" t="s">
        <v>180</v>
      </c>
    </row>
    <row r="370" spans="1:12" x14ac:dyDescent="0.25">
      <c r="A370" t="s">
        <v>449</v>
      </c>
      <c r="B370" s="2">
        <v>6864</v>
      </c>
      <c r="C370" s="2">
        <v>3275</v>
      </c>
      <c r="D370">
        <v>11</v>
      </c>
      <c r="E370" t="s">
        <v>45</v>
      </c>
      <c r="F370" t="s">
        <v>46</v>
      </c>
      <c r="G370" t="s">
        <v>47</v>
      </c>
      <c r="H370" s="1">
        <v>44711</v>
      </c>
      <c r="I370" t="s">
        <v>450</v>
      </c>
      <c r="J370" s="10" t="s">
        <v>17</v>
      </c>
      <c r="K370" t="s">
        <v>34</v>
      </c>
      <c r="L370" t="s">
        <v>180</v>
      </c>
    </row>
    <row r="371" spans="1:12" x14ac:dyDescent="0.25">
      <c r="A371" t="s">
        <v>449</v>
      </c>
      <c r="B371" s="2">
        <v>9200</v>
      </c>
      <c r="C371" s="2">
        <v>809</v>
      </c>
      <c r="D371">
        <v>13</v>
      </c>
      <c r="E371" t="s">
        <v>13</v>
      </c>
      <c r="F371" t="s">
        <v>39</v>
      </c>
      <c r="G371" t="s">
        <v>65</v>
      </c>
      <c r="H371" s="1">
        <v>44711</v>
      </c>
      <c r="I371" t="s">
        <v>450</v>
      </c>
      <c r="J371" s="10" t="s">
        <v>17</v>
      </c>
      <c r="K371" t="s">
        <v>34</v>
      </c>
      <c r="L371" t="s">
        <v>180</v>
      </c>
    </row>
    <row r="372" spans="1:12" x14ac:dyDescent="0.25">
      <c r="A372" t="s">
        <v>451</v>
      </c>
      <c r="B372" s="2">
        <v>6113</v>
      </c>
      <c r="C372" s="2">
        <v>2508</v>
      </c>
      <c r="D372">
        <v>6</v>
      </c>
      <c r="E372" t="s">
        <v>13</v>
      </c>
      <c r="F372" t="s">
        <v>39</v>
      </c>
      <c r="G372" t="s">
        <v>15</v>
      </c>
      <c r="H372" s="1">
        <v>45459</v>
      </c>
      <c r="I372" t="s">
        <v>452</v>
      </c>
      <c r="J372" s="10" t="s">
        <v>17</v>
      </c>
      <c r="K372" t="s">
        <v>34</v>
      </c>
      <c r="L372" t="s">
        <v>262</v>
      </c>
    </row>
    <row r="373" spans="1:12" x14ac:dyDescent="0.25">
      <c r="A373" t="s">
        <v>451</v>
      </c>
      <c r="B373" s="2">
        <v>7733</v>
      </c>
      <c r="C373" s="2">
        <v>2784</v>
      </c>
      <c r="D373">
        <v>15</v>
      </c>
      <c r="E373" t="s">
        <v>45</v>
      </c>
      <c r="F373" t="s">
        <v>46</v>
      </c>
      <c r="G373" t="s">
        <v>40</v>
      </c>
      <c r="H373" s="1">
        <v>45459</v>
      </c>
      <c r="I373" t="s">
        <v>452</v>
      </c>
      <c r="J373" s="10" t="s">
        <v>17</v>
      </c>
      <c r="K373" t="s">
        <v>34</v>
      </c>
      <c r="L373" t="s">
        <v>262</v>
      </c>
    </row>
    <row r="374" spans="1:12" x14ac:dyDescent="0.25">
      <c r="A374" t="s">
        <v>451</v>
      </c>
      <c r="B374" s="2">
        <v>8524</v>
      </c>
      <c r="C374" s="2">
        <v>154</v>
      </c>
      <c r="D374">
        <v>14</v>
      </c>
      <c r="E374" t="s">
        <v>45</v>
      </c>
      <c r="F374" t="s">
        <v>46</v>
      </c>
      <c r="G374" t="s">
        <v>65</v>
      </c>
      <c r="H374" s="1">
        <v>45459</v>
      </c>
      <c r="I374" t="s">
        <v>452</v>
      </c>
      <c r="J374" s="10" t="s">
        <v>17</v>
      </c>
      <c r="K374" t="s">
        <v>34</v>
      </c>
      <c r="L374" t="s">
        <v>262</v>
      </c>
    </row>
    <row r="375" spans="1:12" x14ac:dyDescent="0.25">
      <c r="A375" t="s">
        <v>451</v>
      </c>
      <c r="B375" s="2">
        <v>6187</v>
      </c>
      <c r="C375" s="2">
        <v>2344</v>
      </c>
      <c r="D375">
        <v>15</v>
      </c>
      <c r="E375" t="s">
        <v>45</v>
      </c>
      <c r="F375" t="s">
        <v>109</v>
      </c>
      <c r="G375" t="s">
        <v>40</v>
      </c>
      <c r="H375" s="1">
        <v>45459</v>
      </c>
      <c r="I375" t="s">
        <v>452</v>
      </c>
      <c r="J375" s="10" t="s">
        <v>17</v>
      </c>
      <c r="K375" t="s">
        <v>34</v>
      </c>
      <c r="L375" t="s">
        <v>262</v>
      </c>
    </row>
    <row r="376" spans="1:12" x14ac:dyDescent="0.25">
      <c r="A376" t="s">
        <v>453</v>
      </c>
      <c r="B376" s="2">
        <v>4364</v>
      </c>
      <c r="C376" s="2">
        <v>148</v>
      </c>
      <c r="D376">
        <v>18</v>
      </c>
      <c r="E376" t="s">
        <v>45</v>
      </c>
      <c r="F376" t="s">
        <v>46</v>
      </c>
      <c r="G376" t="s">
        <v>40</v>
      </c>
      <c r="H376" s="1">
        <v>44757</v>
      </c>
      <c r="I376" t="s">
        <v>454</v>
      </c>
      <c r="J376" s="10" t="s">
        <v>98</v>
      </c>
      <c r="K376" t="s">
        <v>107</v>
      </c>
      <c r="L376" t="s">
        <v>418</v>
      </c>
    </row>
    <row r="377" spans="1:12" x14ac:dyDescent="0.25">
      <c r="A377" t="s">
        <v>453</v>
      </c>
      <c r="B377" s="2">
        <v>736</v>
      </c>
      <c r="C377" s="2">
        <v>286</v>
      </c>
      <c r="D377">
        <v>12</v>
      </c>
      <c r="E377" t="s">
        <v>30</v>
      </c>
      <c r="F377" t="s">
        <v>31</v>
      </c>
      <c r="G377" t="s">
        <v>40</v>
      </c>
      <c r="H377" s="1">
        <v>44757</v>
      </c>
      <c r="I377" t="s">
        <v>454</v>
      </c>
      <c r="J377" s="10" t="s">
        <v>98</v>
      </c>
      <c r="K377" t="s">
        <v>107</v>
      </c>
      <c r="L377" t="s">
        <v>418</v>
      </c>
    </row>
    <row r="378" spans="1:12" x14ac:dyDescent="0.25">
      <c r="A378" t="s">
        <v>455</v>
      </c>
      <c r="B378" s="2">
        <v>9905</v>
      </c>
      <c r="C378" s="2">
        <v>633</v>
      </c>
      <c r="D378">
        <v>17</v>
      </c>
      <c r="E378" t="s">
        <v>30</v>
      </c>
      <c r="F378" t="s">
        <v>31</v>
      </c>
      <c r="G378" t="s">
        <v>40</v>
      </c>
      <c r="H378" s="1">
        <v>44395</v>
      </c>
      <c r="I378" t="s">
        <v>456</v>
      </c>
      <c r="J378" s="10" t="s">
        <v>71</v>
      </c>
      <c r="K378" t="s">
        <v>72</v>
      </c>
      <c r="L378" t="s">
        <v>27</v>
      </c>
    </row>
    <row r="379" spans="1:12" x14ac:dyDescent="0.25">
      <c r="A379" t="s">
        <v>455</v>
      </c>
      <c r="B379" s="2">
        <v>9905</v>
      </c>
      <c r="C379" s="2">
        <v>633</v>
      </c>
      <c r="D379">
        <v>17</v>
      </c>
      <c r="E379" t="s">
        <v>30</v>
      </c>
      <c r="F379" t="s">
        <v>31</v>
      </c>
      <c r="G379" t="s">
        <v>40</v>
      </c>
      <c r="H379" s="1">
        <v>44471</v>
      </c>
      <c r="I379" t="s">
        <v>457</v>
      </c>
      <c r="J379" s="10" t="s">
        <v>17</v>
      </c>
      <c r="K379" t="s">
        <v>150</v>
      </c>
      <c r="L379" t="s">
        <v>37</v>
      </c>
    </row>
    <row r="380" spans="1:12" x14ac:dyDescent="0.25">
      <c r="A380" t="s">
        <v>458</v>
      </c>
      <c r="B380" s="2">
        <v>2493</v>
      </c>
      <c r="C380" s="2">
        <v>1221</v>
      </c>
      <c r="D380">
        <v>9</v>
      </c>
      <c r="E380" t="s">
        <v>30</v>
      </c>
      <c r="F380" t="s">
        <v>64</v>
      </c>
      <c r="G380" t="s">
        <v>47</v>
      </c>
      <c r="H380" s="1">
        <v>45398</v>
      </c>
      <c r="I380" t="s">
        <v>459</v>
      </c>
      <c r="J380" s="10" t="s">
        <v>21</v>
      </c>
      <c r="K380" t="s">
        <v>63</v>
      </c>
      <c r="L380" t="s">
        <v>235</v>
      </c>
    </row>
    <row r="381" spans="1:12" x14ac:dyDescent="0.25">
      <c r="A381" t="s">
        <v>458</v>
      </c>
      <c r="B381" s="2">
        <v>9849</v>
      </c>
      <c r="C381" s="2">
        <v>963</v>
      </c>
      <c r="D381">
        <v>1</v>
      </c>
      <c r="E381" t="s">
        <v>30</v>
      </c>
      <c r="F381" t="s">
        <v>31</v>
      </c>
      <c r="G381" t="s">
        <v>47</v>
      </c>
      <c r="H381" s="1">
        <v>45398</v>
      </c>
      <c r="I381" t="s">
        <v>459</v>
      </c>
      <c r="J381" s="10" t="s">
        <v>21</v>
      </c>
      <c r="K381" t="s">
        <v>63</v>
      </c>
      <c r="L381" t="s">
        <v>235</v>
      </c>
    </row>
    <row r="382" spans="1:12" x14ac:dyDescent="0.25">
      <c r="A382" t="s">
        <v>460</v>
      </c>
      <c r="B382" s="2">
        <v>3423</v>
      </c>
      <c r="C382" s="2">
        <v>804</v>
      </c>
      <c r="D382">
        <v>4</v>
      </c>
      <c r="E382" t="s">
        <v>13</v>
      </c>
      <c r="F382" t="s">
        <v>28</v>
      </c>
      <c r="G382" t="s">
        <v>47</v>
      </c>
      <c r="H382" s="1">
        <v>44021</v>
      </c>
      <c r="I382" t="s">
        <v>461</v>
      </c>
      <c r="J382" s="10" t="s">
        <v>21</v>
      </c>
      <c r="K382" t="s">
        <v>172</v>
      </c>
      <c r="L382" t="s">
        <v>462</v>
      </c>
    </row>
    <row r="383" spans="1:12" x14ac:dyDescent="0.25">
      <c r="A383" t="s">
        <v>460</v>
      </c>
      <c r="B383" s="2">
        <v>3423</v>
      </c>
      <c r="C383" s="2">
        <v>804</v>
      </c>
      <c r="D383">
        <v>4</v>
      </c>
      <c r="E383" t="s">
        <v>13</v>
      </c>
      <c r="F383" t="s">
        <v>28</v>
      </c>
      <c r="G383" t="s">
        <v>47</v>
      </c>
      <c r="H383" s="1">
        <v>44037</v>
      </c>
      <c r="I383" t="s">
        <v>463</v>
      </c>
      <c r="J383" s="10" t="s">
        <v>71</v>
      </c>
      <c r="K383" t="s">
        <v>72</v>
      </c>
      <c r="L383" t="s">
        <v>462</v>
      </c>
    </row>
    <row r="384" spans="1:12" x14ac:dyDescent="0.25">
      <c r="A384" t="s">
        <v>460</v>
      </c>
      <c r="B384" s="2">
        <v>3423</v>
      </c>
      <c r="C384" s="2">
        <v>804</v>
      </c>
      <c r="D384">
        <v>4</v>
      </c>
      <c r="E384" t="s">
        <v>13</v>
      </c>
      <c r="F384" t="s">
        <v>28</v>
      </c>
      <c r="G384" t="s">
        <v>47</v>
      </c>
      <c r="H384" s="1">
        <v>45315</v>
      </c>
      <c r="I384" t="s">
        <v>464</v>
      </c>
      <c r="J384" s="10" t="s">
        <v>71</v>
      </c>
      <c r="K384" t="s">
        <v>86</v>
      </c>
      <c r="L384" t="s">
        <v>76</v>
      </c>
    </row>
    <row r="385" spans="1:12" x14ac:dyDescent="0.25">
      <c r="A385" t="s">
        <v>460</v>
      </c>
      <c r="B385" s="2">
        <v>3423</v>
      </c>
      <c r="C385" s="2">
        <v>804</v>
      </c>
      <c r="D385">
        <v>4</v>
      </c>
      <c r="E385" t="s">
        <v>13</v>
      </c>
      <c r="F385" t="s">
        <v>28</v>
      </c>
      <c r="G385" t="s">
        <v>47</v>
      </c>
      <c r="H385" s="1">
        <v>43955</v>
      </c>
      <c r="I385" t="s">
        <v>465</v>
      </c>
      <c r="J385" s="10" t="s">
        <v>71</v>
      </c>
      <c r="K385" t="s">
        <v>72</v>
      </c>
      <c r="L385" t="s">
        <v>59</v>
      </c>
    </row>
    <row r="386" spans="1:12" x14ac:dyDescent="0.25">
      <c r="A386" t="s">
        <v>460</v>
      </c>
      <c r="B386" s="2">
        <v>3423</v>
      </c>
      <c r="C386" s="2">
        <v>804</v>
      </c>
      <c r="D386">
        <v>4</v>
      </c>
      <c r="E386" t="s">
        <v>13</v>
      </c>
      <c r="F386" t="s">
        <v>28</v>
      </c>
      <c r="G386" t="s">
        <v>47</v>
      </c>
      <c r="H386" s="1">
        <v>44513</v>
      </c>
      <c r="I386" t="s">
        <v>466</v>
      </c>
      <c r="J386" s="10" t="s">
        <v>98</v>
      </c>
      <c r="K386" t="s">
        <v>107</v>
      </c>
      <c r="L386" t="s">
        <v>175</v>
      </c>
    </row>
    <row r="387" spans="1:12" x14ac:dyDescent="0.25">
      <c r="A387" t="s">
        <v>467</v>
      </c>
      <c r="B387" s="2">
        <v>3900</v>
      </c>
      <c r="C387" s="2">
        <v>115</v>
      </c>
      <c r="D387">
        <v>9</v>
      </c>
      <c r="E387" t="s">
        <v>45</v>
      </c>
      <c r="F387" t="s">
        <v>49</v>
      </c>
      <c r="G387" t="s">
        <v>65</v>
      </c>
      <c r="H387" s="1">
        <v>45206</v>
      </c>
      <c r="I387" t="s">
        <v>468</v>
      </c>
      <c r="J387" s="10" t="s">
        <v>21</v>
      </c>
      <c r="K387" t="s">
        <v>63</v>
      </c>
      <c r="L387" t="s">
        <v>442</v>
      </c>
    </row>
    <row r="388" spans="1:12" x14ac:dyDescent="0.25">
      <c r="A388" t="s">
        <v>469</v>
      </c>
      <c r="B388" s="2">
        <v>8568</v>
      </c>
      <c r="C388" s="2">
        <v>2419</v>
      </c>
      <c r="D388">
        <v>11</v>
      </c>
      <c r="E388" t="s">
        <v>13</v>
      </c>
      <c r="F388" t="s">
        <v>14</v>
      </c>
      <c r="G388" t="s">
        <v>15</v>
      </c>
      <c r="H388" s="1">
        <v>44492</v>
      </c>
      <c r="I388" t="s">
        <v>470</v>
      </c>
      <c r="J388" s="10" t="s">
        <v>25</v>
      </c>
      <c r="K388" t="s">
        <v>68</v>
      </c>
      <c r="L388" t="s">
        <v>37</v>
      </c>
    </row>
    <row r="389" spans="1:12" x14ac:dyDescent="0.25">
      <c r="A389" t="s">
        <v>469</v>
      </c>
      <c r="B389" s="2">
        <v>3283</v>
      </c>
      <c r="C389" s="2">
        <v>71</v>
      </c>
      <c r="D389">
        <v>6</v>
      </c>
      <c r="E389" t="s">
        <v>30</v>
      </c>
      <c r="F389" t="s">
        <v>31</v>
      </c>
      <c r="G389" t="s">
        <v>40</v>
      </c>
      <c r="H389" s="1">
        <v>44492</v>
      </c>
      <c r="I389" t="s">
        <v>470</v>
      </c>
      <c r="J389" s="10" t="s">
        <v>25</v>
      </c>
      <c r="K389" t="s">
        <v>68</v>
      </c>
      <c r="L389" t="s">
        <v>37</v>
      </c>
    </row>
    <row r="390" spans="1:12" x14ac:dyDescent="0.25">
      <c r="A390" t="s">
        <v>471</v>
      </c>
      <c r="B390" s="2">
        <v>7643</v>
      </c>
      <c r="C390" s="2">
        <v>3720</v>
      </c>
      <c r="D390">
        <v>19</v>
      </c>
      <c r="E390" t="s">
        <v>13</v>
      </c>
      <c r="F390" t="s">
        <v>14</v>
      </c>
      <c r="G390" t="s">
        <v>40</v>
      </c>
      <c r="H390" s="1">
        <v>44760</v>
      </c>
      <c r="I390" t="s">
        <v>472</v>
      </c>
      <c r="J390" s="10" t="s">
        <v>71</v>
      </c>
      <c r="K390" t="s">
        <v>72</v>
      </c>
      <c r="L390" t="s">
        <v>418</v>
      </c>
    </row>
    <row r="391" spans="1:12" x14ac:dyDescent="0.25">
      <c r="A391" t="s">
        <v>473</v>
      </c>
      <c r="B391" s="2">
        <v>3461</v>
      </c>
      <c r="C391" s="2">
        <v>1537</v>
      </c>
      <c r="D391">
        <v>15</v>
      </c>
      <c r="E391" t="s">
        <v>45</v>
      </c>
      <c r="F391" t="s">
        <v>60</v>
      </c>
      <c r="G391" t="s">
        <v>40</v>
      </c>
      <c r="H391" s="1">
        <v>45527</v>
      </c>
      <c r="I391" t="s">
        <v>474</v>
      </c>
      <c r="J391" s="10" t="s">
        <v>21</v>
      </c>
      <c r="K391" t="s">
        <v>22</v>
      </c>
      <c r="L391" t="s">
        <v>114</v>
      </c>
    </row>
    <row r="392" spans="1:12" x14ac:dyDescent="0.25">
      <c r="A392" t="s">
        <v>473</v>
      </c>
      <c r="B392" s="2">
        <v>5714</v>
      </c>
      <c r="C392" s="2">
        <v>1438</v>
      </c>
      <c r="D392">
        <v>6</v>
      </c>
      <c r="E392" t="s">
        <v>13</v>
      </c>
      <c r="F392" t="s">
        <v>14</v>
      </c>
      <c r="G392" t="s">
        <v>47</v>
      </c>
      <c r="H392" s="1">
        <v>45527</v>
      </c>
      <c r="I392" t="s">
        <v>474</v>
      </c>
      <c r="J392" s="10" t="s">
        <v>21</v>
      </c>
      <c r="K392" t="s">
        <v>22</v>
      </c>
      <c r="L392" t="s">
        <v>114</v>
      </c>
    </row>
    <row r="393" spans="1:12" x14ac:dyDescent="0.25">
      <c r="A393" t="s">
        <v>473</v>
      </c>
      <c r="B393" s="2">
        <v>3853</v>
      </c>
      <c r="C393" s="2">
        <v>1457</v>
      </c>
      <c r="D393">
        <v>10</v>
      </c>
      <c r="E393" t="s">
        <v>30</v>
      </c>
      <c r="F393" t="s">
        <v>78</v>
      </c>
      <c r="G393" t="s">
        <v>65</v>
      </c>
      <c r="H393" s="1">
        <v>45527</v>
      </c>
      <c r="I393" t="s">
        <v>474</v>
      </c>
      <c r="J393" s="10" t="s">
        <v>21</v>
      </c>
      <c r="K393" t="s">
        <v>22</v>
      </c>
      <c r="L393" t="s">
        <v>114</v>
      </c>
    </row>
    <row r="394" spans="1:12" x14ac:dyDescent="0.25">
      <c r="A394" t="s">
        <v>475</v>
      </c>
      <c r="B394" s="2">
        <v>6016</v>
      </c>
      <c r="C394" s="2">
        <v>431</v>
      </c>
      <c r="D394">
        <v>20</v>
      </c>
      <c r="E394" t="s">
        <v>30</v>
      </c>
      <c r="F394" t="s">
        <v>31</v>
      </c>
      <c r="G394" t="s">
        <v>15</v>
      </c>
      <c r="H394" s="1">
        <v>44132</v>
      </c>
      <c r="I394" t="s">
        <v>476</v>
      </c>
      <c r="J394" s="10" t="s">
        <v>21</v>
      </c>
      <c r="K394" t="s">
        <v>22</v>
      </c>
      <c r="L394" t="s">
        <v>119</v>
      </c>
    </row>
    <row r="395" spans="1:12" x14ac:dyDescent="0.25">
      <c r="A395" t="s">
        <v>477</v>
      </c>
      <c r="B395" s="2">
        <v>1290</v>
      </c>
      <c r="C395" s="2">
        <v>204</v>
      </c>
      <c r="D395">
        <v>12</v>
      </c>
      <c r="E395" t="s">
        <v>30</v>
      </c>
      <c r="F395" t="s">
        <v>57</v>
      </c>
      <c r="G395" t="s">
        <v>15</v>
      </c>
      <c r="H395" s="1">
        <v>45458</v>
      </c>
      <c r="I395" t="s">
        <v>478</v>
      </c>
      <c r="J395" s="10" t="s">
        <v>25</v>
      </c>
      <c r="K395" t="s">
        <v>26</v>
      </c>
      <c r="L395" t="s">
        <v>262</v>
      </c>
    </row>
    <row r="396" spans="1:12" x14ac:dyDescent="0.25">
      <c r="A396" t="s">
        <v>477</v>
      </c>
      <c r="B396" s="2">
        <v>1290</v>
      </c>
      <c r="C396" s="2">
        <v>204</v>
      </c>
      <c r="D396">
        <v>12</v>
      </c>
      <c r="E396" t="s">
        <v>30</v>
      </c>
      <c r="F396" t="s">
        <v>57</v>
      </c>
      <c r="G396" t="s">
        <v>15</v>
      </c>
      <c r="H396" s="1">
        <v>45645</v>
      </c>
      <c r="I396" t="s">
        <v>479</v>
      </c>
      <c r="J396" s="10" t="s">
        <v>42</v>
      </c>
      <c r="K396" t="s">
        <v>92</v>
      </c>
      <c r="L396" t="s">
        <v>23</v>
      </c>
    </row>
    <row r="397" spans="1:12" x14ac:dyDescent="0.25">
      <c r="A397" t="s">
        <v>480</v>
      </c>
      <c r="B397" s="2">
        <v>4569</v>
      </c>
      <c r="C397" s="2">
        <v>1693</v>
      </c>
      <c r="D397">
        <v>10</v>
      </c>
      <c r="E397" t="s">
        <v>13</v>
      </c>
      <c r="F397" t="s">
        <v>28</v>
      </c>
      <c r="G397" t="s">
        <v>15</v>
      </c>
      <c r="H397" s="1">
        <v>44078</v>
      </c>
      <c r="I397" t="s">
        <v>481</v>
      </c>
      <c r="J397" s="10" t="s">
        <v>21</v>
      </c>
      <c r="K397" t="s">
        <v>63</v>
      </c>
      <c r="L397" t="s">
        <v>389</v>
      </c>
    </row>
    <row r="398" spans="1:12" x14ac:dyDescent="0.25">
      <c r="A398" t="s">
        <v>482</v>
      </c>
      <c r="B398" s="2">
        <v>3083</v>
      </c>
      <c r="C398" s="2">
        <v>1151</v>
      </c>
      <c r="D398">
        <v>16</v>
      </c>
      <c r="E398" t="s">
        <v>45</v>
      </c>
      <c r="F398" t="s">
        <v>109</v>
      </c>
      <c r="G398" t="s">
        <v>32</v>
      </c>
      <c r="H398" s="1">
        <v>44667</v>
      </c>
      <c r="I398" t="s">
        <v>483</v>
      </c>
      <c r="J398" s="10" t="s">
        <v>17</v>
      </c>
      <c r="K398" t="s">
        <v>34</v>
      </c>
      <c r="L398" t="s">
        <v>187</v>
      </c>
    </row>
    <row r="399" spans="1:12" x14ac:dyDescent="0.25">
      <c r="A399" t="s">
        <v>484</v>
      </c>
      <c r="B399" s="2">
        <v>3522</v>
      </c>
      <c r="C399" s="2">
        <v>898</v>
      </c>
      <c r="D399">
        <v>15</v>
      </c>
      <c r="E399" t="s">
        <v>30</v>
      </c>
      <c r="F399" t="s">
        <v>31</v>
      </c>
      <c r="G399" t="s">
        <v>47</v>
      </c>
      <c r="H399" s="1">
        <v>45533</v>
      </c>
      <c r="I399" t="s">
        <v>485</v>
      </c>
      <c r="J399" s="10" t="s">
        <v>98</v>
      </c>
      <c r="K399" t="s">
        <v>117</v>
      </c>
      <c r="L399" t="s">
        <v>114</v>
      </c>
    </row>
    <row r="400" spans="1:12" x14ac:dyDescent="0.25">
      <c r="A400" t="s">
        <v>484</v>
      </c>
      <c r="B400" s="2">
        <v>3522</v>
      </c>
      <c r="C400" s="2">
        <v>898</v>
      </c>
      <c r="D400">
        <v>15</v>
      </c>
      <c r="E400" t="s">
        <v>30</v>
      </c>
      <c r="F400" t="s">
        <v>31</v>
      </c>
      <c r="G400" t="s">
        <v>47</v>
      </c>
      <c r="H400" s="1">
        <v>44575</v>
      </c>
      <c r="I400" t="s">
        <v>486</v>
      </c>
      <c r="J400" s="10" t="s">
        <v>42</v>
      </c>
      <c r="K400" t="s">
        <v>43</v>
      </c>
      <c r="L400" t="s">
        <v>87</v>
      </c>
    </row>
    <row r="401" spans="1:12" x14ac:dyDescent="0.25">
      <c r="A401" t="s">
        <v>487</v>
      </c>
      <c r="B401" s="2">
        <v>7301</v>
      </c>
      <c r="C401" s="2">
        <v>3602</v>
      </c>
      <c r="D401">
        <v>3</v>
      </c>
      <c r="E401" t="s">
        <v>30</v>
      </c>
      <c r="F401" t="s">
        <v>78</v>
      </c>
      <c r="G401" t="s">
        <v>32</v>
      </c>
      <c r="H401" s="1">
        <v>45389</v>
      </c>
      <c r="I401" t="s">
        <v>488</v>
      </c>
      <c r="J401" s="10" t="s">
        <v>71</v>
      </c>
      <c r="K401" t="s">
        <v>138</v>
      </c>
      <c r="L401" t="s">
        <v>235</v>
      </c>
    </row>
    <row r="402" spans="1:12" x14ac:dyDescent="0.25">
      <c r="A402" t="s">
        <v>489</v>
      </c>
      <c r="B402" s="2">
        <v>4462</v>
      </c>
      <c r="C402" s="2">
        <v>121</v>
      </c>
      <c r="D402">
        <v>8</v>
      </c>
      <c r="E402" t="s">
        <v>13</v>
      </c>
      <c r="F402" t="s">
        <v>39</v>
      </c>
      <c r="G402" t="s">
        <v>65</v>
      </c>
      <c r="H402" s="1">
        <v>44675</v>
      </c>
      <c r="I402" t="s">
        <v>490</v>
      </c>
      <c r="J402" s="10" t="s">
        <v>21</v>
      </c>
      <c r="K402" t="s">
        <v>63</v>
      </c>
      <c r="L402" t="s">
        <v>187</v>
      </c>
    </row>
    <row r="403" spans="1:12" x14ac:dyDescent="0.25">
      <c r="A403" t="s">
        <v>489</v>
      </c>
      <c r="B403" s="2">
        <v>6212</v>
      </c>
      <c r="C403" s="2">
        <v>1881</v>
      </c>
      <c r="D403">
        <v>17</v>
      </c>
      <c r="E403" t="s">
        <v>13</v>
      </c>
      <c r="F403" t="s">
        <v>82</v>
      </c>
      <c r="G403" t="s">
        <v>65</v>
      </c>
      <c r="H403" s="1">
        <v>44675</v>
      </c>
      <c r="I403" t="s">
        <v>490</v>
      </c>
      <c r="J403" s="10" t="s">
        <v>21</v>
      </c>
      <c r="K403" t="s">
        <v>63</v>
      </c>
      <c r="L403" t="s">
        <v>187</v>
      </c>
    </row>
    <row r="404" spans="1:12" x14ac:dyDescent="0.25">
      <c r="A404" t="s">
        <v>491</v>
      </c>
      <c r="B404" s="2">
        <v>4027</v>
      </c>
      <c r="C404" s="2">
        <v>1386</v>
      </c>
      <c r="D404">
        <v>3</v>
      </c>
      <c r="E404" t="s">
        <v>45</v>
      </c>
      <c r="F404" t="s">
        <v>109</v>
      </c>
      <c r="G404" t="s">
        <v>40</v>
      </c>
      <c r="H404" s="1">
        <v>44070</v>
      </c>
      <c r="I404" t="s">
        <v>492</v>
      </c>
      <c r="J404" s="10" t="s">
        <v>17</v>
      </c>
      <c r="K404" t="s">
        <v>150</v>
      </c>
      <c r="L404" t="s">
        <v>185</v>
      </c>
    </row>
    <row r="405" spans="1:12" x14ac:dyDescent="0.25">
      <c r="A405" t="s">
        <v>493</v>
      </c>
      <c r="B405" s="2">
        <v>1676</v>
      </c>
      <c r="C405" s="2">
        <v>330</v>
      </c>
      <c r="D405">
        <v>14</v>
      </c>
      <c r="E405" t="s">
        <v>13</v>
      </c>
      <c r="F405" t="s">
        <v>39</v>
      </c>
      <c r="G405" t="s">
        <v>40</v>
      </c>
      <c r="H405" s="1">
        <v>44986</v>
      </c>
      <c r="I405" t="s">
        <v>494</v>
      </c>
      <c r="J405" s="10" t="s">
        <v>98</v>
      </c>
      <c r="K405" t="s">
        <v>117</v>
      </c>
      <c r="L405" t="s">
        <v>245</v>
      </c>
    </row>
    <row r="406" spans="1:12" x14ac:dyDescent="0.25">
      <c r="A406" t="s">
        <v>493</v>
      </c>
      <c r="B406" s="2">
        <v>3927</v>
      </c>
      <c r="C406" s="2">
        <v>1133</v>
      </c>
      <c r="D406">
        <v>12</v>
      </c>
      <c r="E406" t="s">
        <v>45</v>
      </c>
      <c r="F406" t="s">
        <v>109</v>
      </c>
      <c r="G406" t="s">
        <v>65</v>
      </c>
      <c r="H406" s="1">
        <v>44986</v>
      </c>
      <c r="I406" t="s">
        <v>494</v>
      </c>
      <c r="J406" s="10" t="s">
        <v>98</v>
      </c>
      <c r="K406" t="s">
        <v>117</v>
      </c>
      <c r="L406" t="s">
        <v>245</v>
      </c>
    </row>
    <row r="407" spans="1:12" x14ac:dyDescent="0.25">
      <c r="A407" t="s">
        <v>493</v>
      </c>
      <c r="B407" s="2">
        <v>2776</v>
      </c>
      <c r="C407" s="2">
        <v>887</v>
      </c>
      <c r="D407">
        <v>9</v>
      </c>
      <c r="E407" t="s">
        <v>13</v>
      </c>
      <c r="F407" t="s">
        <v>82</v>
      </c>
      <c r="G407" t="s">
        <v>32</v>
      </c>
      <c r="H407" s="1">
        <v>44986</v>
      </c>
      <c r="I407" t="s">
        <v>494</v>
      </c>
      <c r="J407" s="10" t="s">
        <v>98</v>
      </c>
      <c r="K407" t="s">
        <v>117</v>
      </c>
      <c r="L407" t="s">
        <v>245</v>
      </c>
    </row>
    <row r="408" spans="1:12" x14ac:dyDescent="0.25">
      <c r="A408" t="s">
        <v>495</v>
      </c>
      <c r="B408" s="2">
        <v>7684</v>
      </c>
      <c r="C408" s="2">
        <v>1157</v>
      </c>
      <c r="D408">
        <v>12</v>
      </c>
      <c r="E408" t="s">
        <v>45</v>
      </c>
      <c r="F408" t="s">
        <v>60</v>
      </c>
      <c r="G408" t="s">
        <v>65</v>
      </c>
      <c r="H408" s="1">
        <v>44106</v>
      </c>
      <c r="I408" t="s">
        <v>496</v>
      </c>
      <c r="J408" s="10" t="s">
        <v>21</v>
      </c>
      <c r="K408" t="s">
        <v>22</v>
      </c>
      <c r="L408" t="s">
        <v>119</v>
      </c>
    </row>
    <row r="409" spans="1:12" x14ac:dyDescent="0.25">
      <c r="A409" t="s">
        <v>495</v>
      </c>
      <c r="B409" s="2">
        <v>7684</v>
      </c>
      <c r="C409" s="2">
        <v>1157</v>
      </c>
      <c r="D409">
        <v>12</v>
      </c>
      <c r="E409" t="s">
        <v>45</v>
      </c>
      <c r="F409" t="s">
        <v>60</v>
      </c>
      <c r="G409" t="s">
        <v>65</v>
      </c>
      <c r="H409" s="1">
        <v>44005</v>
      </c>
      <c r="I409" t="s">
        <v>497</v>
      </c>
      <c r="J409" s="10" t="s">
        <v>25</v>
      </c>
      <c r="K409" t="s">
        <v>26</v>
      </c>
      <c r="L409" t="s">
        <v>313</v>
      </c>
    </row>
    <row r="410" spans="1:12" x14ac:dyDescent="0.25">
      <c r="A410" t="s">
        <v>495</v>
      </c>
      <c r="B410" s="2">
        <v>7684</v>
      </c>
      <c r="C410" s="2">
        <v>1157</v>
      </c>
      <c r="D410">
        <v>12</v>
      </c>
      <c r="E410" t="s">
        <v>45</v>
      </c>
      <c r="F410" t="s">
        <v>60</v>
      </c>
      <c r="G410" t="s">
        <v>65</v>
      </c>
      <c r="H410" s="1">
        <v>45159</v>
      </c>
      <c r="I410" t="s">
        <v>498</v>
      </c>
      <c r="J410" s="10" t="s">
        <v>98</v>
      </c>
      <c r="K410" t="s">
        <v>99</v>
      </c>
      <c r="L410" t="s">
        <v>121</v>
      </c>
    </row>
    <row r="411" spans="1:12" x14ac:dyDescent="0.25">
      <c r="A411" t="s">
        <v>499</v>
      </c>
      <c r="B411" s="2">
        <v>6008</v>
      </c>
      <c r="C411" s="2">
        <v>2498</v>
      </c>
      <c r="D411">
        <v>17</v>
      </c>
      <c r="E411" t="s">
        <v>13</v>
      </c>
      <c r="F411" t="s">
        <v>82</v>
      </c>
      <c r="G411" t="s">
        <v>47</v>
      </c>
      <c r="H411" s="1">
        <v>44758</v>
      </c>
      <c r="I411" t="s">
        <v>500</v>
      </c>
      <c r="J411" s="10" t="s">
        <v>17</v>
      </c>
      <c r="K411" t="s">
        <v>18</v>
      </c>
      <c r="L411" t="s">
        <v>418</v>
      </c>
    </row>
    <row r="412" spans="1:12" x14ac:dyDescent="0.25">
      <c r="A412" t="s">
        <v>501</v>
      </c>
      <c r="B412" s="2">
        <v>7344</v>
      </c>
      <c r="C412" s="2">
        <v>2598</v>
      </c>
      <c r="D412">
        <v>20</v>
      </c>
      <c r="E412" t="s">
        <v>45</v>
      </c>
      <c r="F412" t="s">
        <v>109</v>
      </c>
      <c r="G412" t="s">
        <v>65</v>
      </c>
      <c r="H412" s="1">
        <v>44774</v>
      </c>
      <c r="I412" t="s">
        <v>502</v>
      </c>
      <c r="J412" s="10" t="s">
        <v>71</v>
      </c>
      <c r="K412" t="s">
        <v>72</v>
      </c>
      <c r="L412" t="s">
        <v>209</v>
      </c>
    </row>
    <row r="413" spans="1:12" x14ac:dyDescent="0.25">
      <c r="A413" t="s">
        <v>503</v>
      </c>
      <c r="B413" s="2">
        <v>6932</v>
      </c>
      <c r="C413" s="2">
        <v>3218</v>
      </c>
      <c r="D413">
        <v>20</v>
      </c>
      <c r="E413" t="s">
        <v>30</v>
      </c>
      <c r="F413" t="s">
        <v>31</v>
      </c>
      <c r="G413" t="s">
        <v>65</v>
      </c>
      <c r="H413" s="1">
        <v>44028</v>
      </c>
      <c r="I413" t="s">
        <v>504</v>
      </c>
      <c r="J413" s="10" t="s">
        <v>17</v>
      </c>
      <c r="K413" t="s">
        <v>34</v>
      </c>
      <c r="L413" t="s">
        <v>462</v>
      </c>
    </row>
    <row r="414" spans="1:12" x14ac:dyDescent="0.25">
      <c r="A414" t="s">
        <v>505</v>
      </c>
      <c r="B414" s="2">
        <v>7748</v>
      </c>
      <c r="C414" s="2">
        <v>1706</v>
      </c>
      <c r="D414">
        <v>16</v>
      </c>
      <c r="E414" t="s">
        <v>13</v>
      </c>
      <c r="F414" t="s">
        <v>14</v>
      </c>
      <c r="G414" t="s">
        <v>40</v>
      </c>
      <c r="H414" s="1">
        <v>43953</v>
      </c>
      <c r="I414" t="s">
        <v>506</v>
      </c>
      <c r="J414" s="10" t="s">
        <v>98</v>
      </c>
      <c r="K414" t="s">
        <v>107</v>
      </c>
      <c r="L414" t="s">
        <v>59</v>
      </c>
    </row>
    <row r="415" spans="1:12" x14ac:dyDescent="0.25">
      <c r="A415" t="s">
        <v>505</v>
      </c>
      <c r="B415" s="2">
        <v>6381</v>
      </c>
      <c r="C415" s="2">
        <v>2763</v>
      </c>
      <c r="D415">
        <v>20</v>
      </c>
      <c r="E415" t="s">
        <v>30</v>
      </c>
      <c r="F415" t="s">
        <v>57</v>
      </c>
      <c r="G415" t="s">
        <v>15</v>
      </c>
      <c r="H415" s="1">
        <v>43953</v>
      </c>
      <c r="I415" t="s">
        <v>506</v>
      </c>
      <c r="J415" s="10" t="s">
        <v>98</v>
      </c>
      <c r="K415" t="s">
        <v>107</v>
      </c>
      <c r="L415" t="s">
        <v>59</v>
      </c>
    </row>
    <row r="416" spans="1:12" x14ac:dyDescent="0.25">
      <c r="A416" t="s">
        <v>505</v>
      </c>
      <c r="B416" s="2">
        <v>992</v>
      </c>
      <c r="C416" s="2">
        <v>64</v>
      </c>
      <c r="D416">
        <v>6</v>
      </c>
      <c r="E416" t="s">
        <v>13</v>
      </c>
      <c r="F416" t="s">
        <v>82</v>
      </c>
      <c r="G416" t="s">
        <v>47</v>
      </c>
      <c r="H416" s="1">
        <v>43953</v>
      </c>
      <c r="I416" t="s">
        <v>506</v>
      </c>
      <c r="J416" s="10" t="s">
        <v>98</v>
      </c>
      <c r="K416" t="s">
        <v>107</v>
      </c>
      <c r="L416" t="s">
        <v>59</v>
      </c>
    </row>
    <row r="417" spans="1:12" x14ac:dyDescent="0.25">
      <c r="A417" t="s">
        <v>507</v>
      </c>
      <c r="B417" s="2">
        <v>8649</v>
      </c>
      <c r="C417" s="2">
        <v>2631</v>
      </c>
      <c r="D417">
        <v>13</v>
      </c>
      <c r="E417" t="s">
        <v>13</v>
      </c>
      <c r="F417" t="s">
        <v>39</v>
      </c>
      <c r="G417" t="s">
        <v>40</v>
      </c>
      <c r="H417" s="1">
        <v>45301</v>
      </c>
      <c r="I417" t="s">
        <v>508</v>
      </c>
      <c r="J417" s="10" t="s">
        <v>42</v>
      </c>
      <c r="K417" t="s">
        <v>92</v>
      </c>
      <c r="L417" t="s">
        <v>76</v>
      </c>
    </row>
    <row r="418" spans="1:12" x14ac:dyDescent="0.25">
      <c r="A418" t="s">
        <v>507</v>
      </c>
      <c r="B418" s="2">
        <v>8649</v>
      </c>
      <c r="C418" s="2">
        <v>2631</v>
      </c>
      <c r="D418">
        <v>13</v>
      </c>
      <c r="E418" t="s">
        <v>13</v>
      </c>
      <c r="F418" t="s">
        <v>39</v>
      </c>
      <c r="G418" t="s">
        <v>40</v>
      </c>
      <c r="H418" s="1">
        <v>44104</v>
      </c>
      <c r="I418" t="s">
        <v>509</v>
      </c>
      <c r="J418" s="10" t="s">
        <v>25</v>
      </c>
      <c r="K418" t="s">
        <v>68</v>
      </c>
      <c r="L418" t="s">
        <v>389</v>
      </c>
    </row>
    <row r="419" spans="1:12" x14ac:dyDescent="0.25">
      <c r="A419" t="s">
        <v>510</v>
      </c>
      <c r="B419" s="2">
        <v>4099</v>
      </c>
      <c r="C419" s="2">
        <v>52</v>
      </c>
      <c r="D419">
        <v>18</v>
      </c>
      <c r="E419" t="s">
        <v>13</v>
      </c>
      <c r="F419" t="s">
        <v>39</v>
      </c>
      <c r="G419" t="s">
        <v>15</v>
      </c>
      <c r="H419" s="1">
        <v>44648</v>
      </c>
      <c r="I419" t="s">
        <v>511</v>
      </c>
      <c r="J419" s="10" t="s">
        <v>25</v>
      </c>
      <c r="K419" t="s">
        <v>51</v>
      </c>
      <c r="L419" t="s">
        <v>134</v>
      </c>
    </row>
    <row r="420" spans="1:12" x14ac:dyDescent="0.25">
      <c r="A420" t="s">
        <v>512</v>
      </c>
      <c r="B420" s="2">
        <v>2539</v>
      </c>
      <c r="C420" s="2">
        <v>324</v>
      </c>
      <c r="D420">
        <v>5</v>
      </c>
      <c r="E420" t="s">
        <v>13</v>
      </c>
      <c r="F420" t="s">
        <v>14</v>
      </c>
      <c r="G420" t="s">
        <v>15</v>
      </c>
      <c r="H420" s="1">
        <v>44226</v>
      </c>
      <c r="I420" t="s">
        <v>513</v>
      </c>
      <c r="J420" s="10" t="s">
        <v>42</v>
      </c>
      <c r="K420" t="s">
        <v>92</v>
      </c>
      <c r="L420" t="s">
        <v>276</v>
      </c>
    </row>
    <row r="421" spans="1:12" x14ac:dyDescent="0.25">
      <c r="A421" t="s">
        <v>514</v>
      </c>
      <c r="B421" s="2">
        <v>9845</v>
      </c>
      <c r="C421" s="2">
        <v>3062</v>
      </c>
      <c r="D421">
        <v>9</v>
      </c>
      <c r="E421" t="s">
        <v>30</v>
      </c>
      <c r="F421" t="s">
        <v>64</v>
      </c>
      <c r="G421" t="s">
        <v>65</v>
      </c>
      <c r="H421" s="1">
        <v>45730</v>
      </c>
      <c r="I421" t="s">
        <v>515</v>
      </c>
      <c r="J421" s="10" t="s">
        <v>17</v>
      </c>
      <c r="K421" t="s">
        <v>34</v>
      </c>
      <c r="L421" t="s">
        <v>157</v>
      </c>
    </row>
    <row r="422" spans="1:12" x14ac:dyDescent="0.25">
      <c r="A422" t="s">
        <v>516</v>
      </c>
      <c r="B422" s="2">
        <v>2901</v>
      </c>
      <c r="C422" s="2">
        <v>1411</v>
      </c>
      <c r="D422">
        <v>2</v>
      </c>
      <c r="E422" t="s">
        <v>30</v>
      </c>
      <c r="F422" t="s">
        <v>64</v>
      </c>
      <c r="G422" t="s">
        <v>32</v>
      </c>
      <c r="H422" s="1">
        <v>44495</v>
      </c>
      <c r="I422" t="s">
        <v>517</v>
      </c>
      <c r="J422" s="10" t="s">
        <v>71</v>
      </c>
      <c r="K422" t="s">
        <v>86</v>
      </c>
      <c r="L422" t="s">
        <v>37</v>
      </c>
    </row>
    <row r="423" spans="1:12" x14ac:dyDescent="0.25">
      <c r="A423" t="s">
        <v>516</v>
      </c>
      <c r="B423" s="2">
        <v>2901</v>
      </c>
      <c r="C423" s="2">
        <v>1411</v>
      </c>
      <c r="D423">
        <v>2</v>
      </c>
      <c r="E423" t="s">
        <v>30</v>
      </c>
      <c r="F423" t="s">
        <v>64</v>
      </c>
      <c r="G423" t="s">
        <v>32</v>
      </c>
      <c r="H423" s="1">
        <v>44937</v>
      </c>
      <c r="I423" t="s">
        <v>518</v>
      </c>
      <c r="J423" s="10" t="s">
        <v>42</v>
      </c>
      <c r="K423" t="s">
        <v>43</v>
      </c>
      <c r="L423" t="s">
        <v>333</v>
      </c>
    </row>
    <row r="424" spans="1:12" x14ac:dyDescent="0.25">
      <c r="A424" t="s">
        <v>516</v>
      </c>
      <c r="B424" s="2">
        <v>6934</v>
      </c>
      <c r="C424" s="2">
        <v>1152</v>
      </c>
      <c r="D424">
        <v>6</v>
      </c>
      <c r="E424" t="s">
        <v>30</v>
      </c>
      <c r="F424" t="s">
        <v>31</v>
      </c>
      <c r="G424" t="s">
        <v>47</v>
      </c>
      <c r="H424" s="1">
        <v>44495</v>
      </c>
      <c r="I424" t="s">
        <v>517</v>
      </c>
      <c r="J424" s="10" t="s">
        <v>71</v>
      </c>
      <c r="K424" t="s">
        <v>86</v>
      </c>
      <c r="L424" t="s">
        <v>37</v>
      </c>
    </row>
    <row r="425" spans="1:12" x14ac:dyDescent="0.25">
      <c r="A425" t="s">
        <v>516</v>
      </c>
      <c r="B425" s="2">
        <v>6934</v>
      </c>
      <c r="C425" s="2">
        <v>1152</v>
      </c>
      <c r="D425">
        <v>6</v>
      </c>
      <c r="E425" t="s">
        <v>30</v>
      </c>
      <c r="F425" t="s">
        <v>31</v>
      </c>
      <c r="G425" t="s">
        <v>47</v>
      </c>
      <c r="H425" s="1">
        <v>44937</v>
      </c>
      <c r="I425" t="s">
        <v>518</v>
      </c>
      <c r="J425" s="10" t="s">
        <v>42</v>
      </c>
      <c r="K425" t="s">
        <v>43</v>
      </c>
      <c r="L425" t="s">
        <v>333</v>
      </c>
    </row>
    <row r="426" spans="1:12" x14ac:dyDescent="0.25">
      <c r="A426" t="s">
        <v>519</v>
      </c>
      <c r="B426" s="2">
        <v>9640</v>
      </c>
      <c r="C426" s="2">
        <v>2606</v>
      </c>
      <c r="D426">
        <v>2</v>
      </c>
      <c r="E426" t="s">
        <v>45</v>
      </c>
      <c r="F426" t="s">
        <v>109</v>
      </c>
      <c r="G426" t="s">
        <v>47</v>
      </c>
      <c r="H426" s="1">
        <v>44500</v>
      </c>
      <c r="I426" t="s">
        <v>520</v>
      </c>
      <c r="J426" s="10" t="s">
        <v>21</v>
      </c>
      <c r="K426" t="s">
        <v>172</v>
      </c>
      <c r="L426" t="s">
        <v>37</v>
      </c>
    </row>
    <row r="427" spans="1:12" x14ac:dyDescent="0.25">
      <c r="A427" t="s">
        <v>521</v>
      </c>
      <c r="B427" s="2">
        <v>7930</v>
      </c>
      <c r="C427" s="2">
        <v>1981</v>
      </c>
      <c r="D427">
        <v>13</v>
      </c>
      <c r="E427" t="s">
        <v>45</v>
      </c>
      <c r="F427" t="s">
        <v>49</v>
      </c>
      <c r="G427" t="s">
        <v>47</v>
      </c>
      <c r="H427" s="1">
        <v>45050</v>
      </c>
      <c r="I427" t="s">
        <v>522</v>
      </c>
      <c r="J427" s="10" t="s">
        <v>98</v>
      </c>
      <c r="K427" t="s">
        <v>117</v>
      </c>
      <c r="L427" t="s">
        <v>127</v>
      </c>
    </row>
    <row r="428" spans="1:12" x14ac:dyDescent="0.25">
      <c r="A428" t="s">
        <v>521</v>
      </c>
      <c r="B428" s="2">
        <v>7930</v>
      </c>
      <c r="C428" s="2">
        <v>1981</v>
      </c>
      <c r="D428">
        <v>13</v>
      </c>
      <c r="E428" t="s">
        <v>45</v>
      </c>
      <c r="F428" t="s">
        <v>49</v>
      </c>
      <c r="G428" t="s">
        <v>47</v>
      </c>
      <c r="H428" s="1">
        <v>45513</v>
      </c>
      <c r="I428" t="s">
        <v>523</v>
      </c>
      <c r="J428" s="10" t="s">
        <v>21</v>
      </c>
      <c r="K428" t="s">
        <v>63</v>
      </c>
      <c r="L428" t="s">
        <v>114</v>
      </c>
    </row>
    <row r="429" spans="1:12" x14ac:dyDescent="0.25">
      <c r="A429" t="s">
        <v>524</v>
      </c>
      <c r="B429" s="2">
        <v>9894</v>
      </c>
      <c r="C429" s="2">
        <v>829</v>
      </c>
      <c r="D429">
        <v>1</v>
      </c>
      <c r="E429" t="s">
        <v>30</v>
      </c>
      <c r="F429" t="s">
        <v>78</v>
      </c>
      <c r="G429" t="s">
        <v>65</v>
      </c>
      <c r="H429" s="1">
        <v>44794</v>
      </c>
      <c r="I429" t="s">
        <v>525</v>
      </c>
      <c r="J429" s="10" t="s">
        <v>42</v>
      </c>
      <c r="K429" t="s">
        <v>75</v>
      </c>
      <c r="L429" t="s">
        <v>209</v>
      </c>
    </row>
    <row r="430" spans="1:12" x14ac:dyDescent="0.25">
      <c r="A430" t="s">
        <v>524</v>
      </c>
      <c r="B430" s="2">
        <v>4534</v>
      </c>
      <c r="C430" s="2">
        <v>2235</v>
      </c>
      <c r="D430">
        <v>4</v>
      </c>
      <c r="E430" t="s">
        <v>45</v>
      </c>
      <c r="F430" t="s">
        <v>46</v>
      </c>
      <c r="G430" t="s">
        <v>65</v>
      </c>
      <c r="H430" s="1">
        <v>44794</v>
      </c>
      <c r="I430" t="s">
        <v>525</v>
      </c>
      <c r="J430" s="10" t="s">
        <v>42</v>
      </c>
      <c r="K430" t="s">
        <v>75</v>
      </c>
      <c r="L430" t="s">
        <v>209</v>
      </c>
    </row>
    <row r="431" spans="1:12" x14ac:dyDescent="0.25">
      <c r="A431" t="s">
        <v>526</v>
      </c>
      <c r="B431" s="2">
        <v>4911</v>
      </c>
      <c r="C431" s="2">
        <v>186</v>
      </c>
      <c r="D431">
        <v>20</v>
      </c>
      <c r="E431" t="s">
        <v>13</v>
      </c>
      <c r="F431" t="s">
        <v>82</v>
      </c>
      <c r="G431" t="s">
        <v>32</v>
      </c>
      <c r="H431" s="1">
        <v>44731</v>
      </c>
      <c r="I431" t="s">
        <v>527</v>
      </c>
      <c r="J431" s="10" t="s">
        <v>25</v>
      </c>
      <c r="K431" t="s">
        <v>26</v>
      </c>
      <c r="L431" t="s">
        <v>165</v>
      </c>
    </row>
    <row r="432" spans="1:12" x14ac:dyDescent="0.25">
      <c r="A432" t="s">
        <v>526</v>
      </c>
      <c r="B432" s="2">
        <v>531</v>
      </c>
      <c r="C432" s="2">
        <v>189</v>
      </c>
      <c r="D432">
        <v>20</v>
      </c>
      <c r="E432" t="s">
        <v>45</v>
      </c>
      <c r="F432" t="s">
        <v>109</v>
      </c>
      <c r="G432" t="s">
        <v>32</v>
      </c>
      <c r="H432" s="1">
        <v>44731</v>
      </c>
      <c r="I432" t="s">
        <v>527</v>
      </c>
      <c r="J432" s="10" t="s">
        <v>25</v>
      </c>
      <c r="K432" t="s">
        <v>26</v>
      </c>
      <c r="L432" t="s">
        <v>165</v>
      </c>
    </row>
    <row r="433" spans="1:12" x14ac:dyDescent="0.25">
      <c r="A433" t="s">
        <v>528</v>
      </c>
      <c r="B433" s="2">
        <v>9707</v>
      </c>
      <c r="C433" s="2">
        <v>3483</v>
      </c>
      <c r="D433">
        <v>10</v>
      </c>
      <c r="E433" t="s">
        <v>13</v>
      </c>
      <c r="F433" t="s">
        <v>14</v>
      </c>
      <c r="G433" t="s">
        <v>40</v>
      </c>
      <c r="H433" s="1">
        <v>45686</v>
      </c>
      <c r="I433" t="s">
        <v>529</v>
      </c>
      <c r="J433" s="10" t="s">
        <v>21</v>
      </c>
      <c r="K433" t="s">
        <v>172</v>
      </c>
      <c r="L433" t="s">
        <v>308</v>
      </c>
    </row>
    <row r="434" spans="1:12" x14ac:dyDescent="0.25">
      <c r="A434" t="s">
        <v>528</v>
      </c>
      <c r="B434" s="2">
        <v>8521</v>
      </c>
      <c r="C434" s="2">
        <v>2584</v>
      </c>
      <c r="D434">
        <v>7</v>
      </c>
      <c r="E434" t="s">
        <v>30</v>
      </c>
      <c r="F434" t="s">
        <v>64</v>
      </c>
      <c r="G434" t="s">
        <v>65</v>
      </c>
      <c r="H434" s="1">
        <v>45686</v>
      </c>
      <c r="I434" t="s">
        <v>529</v>
      </c>
      <c r="J434" s="10" t="s">
        <v>21</v>
      </c>
      <c r="K434" t="s">
        <v>172</v>
      </c>
      <c r="L434" t="s">
        <v>308</v>
      </c>
    </row>
    <row r="435" spans="1:12" x14ac:dyDescent="0.25">
      <c r="A435" t="s">
        <v>530</v>
      </c>
      <c r="B435" s="2">
        <v>8438</v>
      </c>
      <c r="C435" s="2">
        <v>3427</v>
      </c>
      <c r="D435">
        <v>12</v>
      </c>
      <c r="E435" t="s">
        <v>30</v>
      </c>
      <c r="F435" t="s">
        <v>78</v>
      </c>
      <c r="G435" t="s">
        <v>47</v>
      </c>
      <c r="H435" s="1">
        <v>44575</v>
      </c>
      <c r="I435" t="s">
        <v>531</v>
      </c>
      <c r="J435" s="10" t="s">
        <v>25</v>
      </c>
      <c r="K435" t="s">
        <v>26</v>
      </c>
      <c r="L435" t="s">
        <v>87</v>
      </c>
    </row>
    <row r="436" spans="1:12" x14ac:dyDescent="0.25">
      <c r="A436" t="s">
        <v>530</v>
      </c>
      <c r="B436" s="2">
        <v>1689</v>
      </c>
      <c r="C436" s="2">
        <v>109</v>
      </c>
      <c r="D436">
        <v>9</v>
      </c>
      <c r="E436" t="s">
        <v>13</v>
      </c>
      <c r="F436" t="s">
        <v>14</v>
      </c>
      <c r="G436" t="s">
        <v>15</v>
      </c>
      <c r="H436" s="1">
        <v>44575</v>
      </c>
      <c r="I436" t="s">
        <v>531</v>
      </c>
      <c r="J436" s="10" t="s">
        <v>25</v>
      </c>
      <c r="K436" t="s">
        <v>26</v>
      </c>
      <c r="L436" t="s">
        <v>87</v>
      </c>
    </row>
    <row r="437" spans="1:12" x14ac:dyDescent="0.25">
      <c r="A437" t="s">
        <v>530</v>
      </c>
      <c r="B437" s="2">
        <v>3936</v>
      </c>
      <c r="C437" s="2">
        <v>1626</v>
      </c>
      <c r="D437">
        <v>14</v>
      </c>
      <c r="E437" t="s">
        <v>30</v>
      </c>
      <c r="F437" t="s">
        <v>64</v>
      </c>
      <c r="G437" t="s">
        <v>65</v>
      </c>
      <c r="H437" s="1">
        <v>44575</v>
      </c>
      <c r="I437" t="s">
        <v>531</v>
      </c>
      <c r="J437" s="10" t="s">
        <v>25</v>
      </c>
      <c r="K437" t="s">
        <v>26</v>
      </c>
      <c r="L437" t="s">
        <v>87</v>
      </c>
    </row>
    <row r="438" spans="1:12" x14ac:dyDescent="0.25">
      <c r="A438" t="s">
        <v>532</v>
      </c>
      <c r="B438" s="2">
        <v>7664</v>
      </c>
      <c r="C438" s="2">
        <v>1753</v>
      </c>
      <c r="D438">
        <v>19</v>
      </c>
      <c r="E438" t="s">
        <v>13</v>
      </c>
      <c r="F438" t="s">
        <v>82</v>
      </c>
      <c r="G438" t="s">
        <v>32</v>
      </c>
      <c r="H438" s="1">
        <v>45092</v>
      </c>
      <c r="I438" t="s">
        <v>533</v>
      </c>
      <c r="J438" s="10" t="s">
        <v>98</v>
      </c>
      <c r="K438" t="s">
        <v>107</v>
      </c>
      <c r="L438" t="s">
        <v>19</v>
      </c>
    </row>
    <row r="439" spans="1:12" x14ac:dyDescent="0.25">
      <c r="A439" t="s">
        <v>534</v>
      </c>
      <c r="B439" s="2">
        <v>721</v>
      </c>
      <c r="C439" s="2">
        <v>258</v>
      </c>
      <c r="D439">
        <v>13</v>
      </c>
      <c r="E439" t="s">
        <v>13</v>
      </c>
      <c r="F439" t="s">
        <v>39</v>
      </c>
      <c r="G439" t="s">
        <v>32</v>
      </c>
      <c r="H439" s="1">
        <v>45217</v>
      </c>
      <c r="I439" t="s">
        <v>535</v>
      </c>
      <c r="J439" s="10" t="s">
        <v>21</v>
      </c>
      <c r="K439" t="s">
        <v>172</v>
      </c>
      <c r="L439" t="s">
        <v>442</v>
      </c>
    </row>
    <row r="440" spans="1:12" x14ac:dyDescent="0.25">
      <c r="A440" t="s">
        <v>534</v>
      </c>
      <c r="B440" s="2">
        <v>721</v>
      </c>
      <c r="C440" s="2">
        <v>258</v>
      </c>
      <c r="D440">
        <v>13</v>
      </c>
      <c r="E440" t="s">
        <v>13</v>
      </c>
      <c r="F440" t="s">
        <v>39</v>
      </c>
      <c r="G440" t="s">
        <v>32</v>
      </c>
      <c r="H440" s="1">
        <v>44725</v>
      </c>
      <c r="I440" t="s">
        <v>536</v>
      </c>
      <c r="J440" s="10" t="s">
        <v>25</v>
      </c>
      <c r="K440" t="s">
        <v>26</v>
      </c>
      <c r="L440" t="s">
        <v>165</v>
      </c>
    </row>
    <row r="441" spans="1:12" x14ac:dyDescent="0.25">
      <c r="A441" t="s">
        <v>534</v>
      </c>
      <c r="B441" s="2">
        <v>8364</v>
      </c>
      <c r="C441" s="2">
        <v>3055</v>
      </c>
      <c r="D441">
        <v>17</v>
      </c>
      <c r="E441" t="s">
        <v>13</v>
      </c>
      <c r="F441" t="s">
        <v>39</v>
      </c>
      <c r="G441" t="s">
        <v>47</v>
      </c>
      <c r="H441" s="1">
        <v>45217</v>
      </c>
      <c r="I441" t="s">
        <v>535</v>
      </c>
      <c r="J441" s="10" t="s">
        <v>21</v>
      </c>
      <c r="K441" t="s">
        <v>172</v>
      </c>
      <c r="L441" t="s">
        <v>442</v>
      </c>
    </row>
    <row r="442" spans="1:12" x14ac:dyDescent="0.25">
      <c r="A442" t="s">
        <v>534</v>
      </c>
      <c r="B442" s="2">
        <v>8364</v>
      </c>
      <c r="C442" s="2">
        <v>3055</v>
      </c>
      <c r="D442">
        <v>17</v>
      </c>
      <c r="E442" t="s">
        <v>13</v>
      </c>
      <c r="F442" t="s">
        <v>39</v>
      </c>
      <c r="G442" t="s">
        <v>47</v>
      </c>
      <c r="H442" s="1">
        <v>44725</v>
      </c>
      <c r="I442" t="s">
        <v>536</v>
      </c>
      <c r="J442" s="10" t="s">
        <v>25</v>
      </c>
      <c r="K442" t="s">
        <v>26</v>
      </c>
      <c r="L442" t="s">
        <v>165</v>
      </c>
    </row>
    <row r="443" spans="1:12" x14ac:dyDescent="0.25">
      <c r="A443" t="s">
        <v>534</v>
      </c>
      <c r="B443" s="2">
        <v>5234</v>
      </c>
      <c r="C443" s="2">
        <v>2021</v>
      </c>
      <c r="D443">
        <v>15</v>
      </c>
      <c r="E443" t="s">
        <v>45</v>
      </c>
      <c r="F443" t="s">
        <v>109</v>
      </c>
      <c r="G443" t="s">
        <v>40</v>
      </c>
      <c r="H443" s="1">
        <v>45217</v>
      </c>
      <c r="I443" t="s">
        <v>535</v>
      </c>
      <c r="J443" s="10" t="s">
        <v>21</v>
      </c>
      <c r="K443" t="s">
        <v>172</v>
      </c>
      <c r="L443" t="s">
        <v>442</v>
      </c>
    </row>
    <row r="444" spans="1:12" x14ac:dyDescent="0.25">
      <c r="A444" t="s">
        <v>534</v>
      </c>
      <c r="B444" s="2">
        <v>5234</v>
      </c>
      <c r="C444" s="2">
        <v>2021</v>
      </c>
      <c r="D444">
        <v>15</v>
      </c>
      <c r="E444" t="s">
        <v>45</v>
      </c>
      <c r="F444" t="s">
        <v>109</v>
      </c>
      <c r="G444" t="s">
        <v>40</v>
      </c>
      <c r="H444" s="1">
        <v>44725</v>
      </c>
      <c r="I444" t="s">
        <v>536</v>
      </c>
      <c r="J444" s="10" t="s">
        <v>25</v>
      </c>
      <c r="K444" t="s">
        <v>26</v>
      </c>
      <c r="L444" t="s">
        <v>165</v>
      </c>
    </row>
    <row r="445" spans="1:12" x14ac:dyDescent="0.25">
      <c r="A445" t="s">
        <v>537</v>
      </c>
      <c r="B445" s="2">
        <v>3944</v>
      </c>
      <c r="C445" s="2">
        <v>1559</v>
      </c>
      <c r="D445">
        <v>18</v>
      </c>
      <c r="E445" t="s">
        <v>13</v>
      </c>
      <c r="F445" t="s">
        <v>82</v>
      </c>
      <c r="G445" t="s">
        <v>47</v>
      </c>
      <c r="H445" s="1">
        <v>45455</v>
      </c>
      <c r="I445" t="s">
        <v>538</v>
      </c>
      <c r="J445" s="10" t="s">
        <v>42</v>
      </c>
      <c r="K445" t="s">
        <v>92</v>
      </c>
      <c r="L445" t="s">
        <v>262</v>
      </c>
    </row>
    <row r="446" spans="1:12" x14ac:dyDescent="0.25">
      <c r="A446" t="s">
        <v>537</v>
      </c>
      <c r="B446" s="2">
        <v>6711</v>
      </c>
      <c r="C446" s="2">
        <v>1045</v>
      </c>
      <c r="D446">
        <v>12</v>
      </c>
      <c r="E446" t="s">
        <v>30</v>
      </c>
      <c r="F446" t="s">
        <v>31</v>
      </c>
      <c r="G446" t="s">
        <v>47</v>
      </c>
      <c r="H446" s="1">
        <v>45455</v>
      </c>
      <c r="I446" t="s">
        <v>538</v>
      </c>
      <c r="J446" s="10" t="s">
        <v>42</v>
      </c>
      <c r="K446" t="s">
        <v>92</v>
      </c>
      <c r="L446" t="s">
        <v>262</v>
      </c>
    </row>
    <row r="447" spans="1:12" x14ac:dyDescent="0.25">
      <c r="A447" t="s">
        <v>537</v>
      </c>
      <c r="B447" s="2">
        <v>5031</v>
      </c>
      <c r="C447" s="2">
        <v>714</v>
      </c>
      <c r="D447">
        <v>4</v>
      </c>
      <c r="E447" t="s">
        <v>45</v>
      </c>
      <c r="F447" t="s">
        <v>46</v>
      </c>
      <c r="G447" t="s">
        <v>47</v>
      </c>
      <c r="H447" s="1">
        <v>45455</v>
      </c>
      <c r="I447" t="s">
        <v>538</v>
      </c>
      <c r="J447" s="10" t="s">
        <v>42</v>
      </c>
      <c r="K447" t="s">
        <v>92</v>
      </c>
      <c r="L447" t="s">
        <v>262</v>
      </c>
    </row>
    <row r="448" spans="1:12" x14ac:dyDescent="0.25">
      <c r="A448" t="s">
        <v>537</v>
      </c>
      <c r="B448" s="2">
        <v>6295</v>
      </c>
      <c r="C448" s="2">
        <v>2469</v>
      </c>
      <c r="D448">
        <v>14</v>
      </c>
      <c r="E448" t="s">
        <v>30</v>
      </c>
      <c r="F448" t="s">
        <v>78</v>
      </c>
      <c r="G448" t="s">
        <v>40</v>
      </c>
      <c r="H448" s="1">
        <v>45455</v>
      </c>
      <c r="I448" t="s">
        <v>538</v>
      </c>
      <c r="J448" s="10" t="s">
        <v>42</v>
      </c>
      <c r="K448" t="s">
        <v>92</v>
      </c>
      <c r="L448" t="s">
        <v>262</v>
      </c>
    </row>
    <row r="449" spans="1:12" x14ac:dyDescent="0.25">
      <c r="A449" t="s">
        <v>539</v>
      </c>
      <c r="B449" s="2">
        <v>9654</v>
      </c>
      <c r="C449" s="2">
        <v>4111</v>
      </c>
      <c r="D449">
        <v>1</v>
      </c>
      <c r="E449" t="s">
        <v>30</v>
      </c>
      <c r="F449" t="s">
        <v>64</v>
      </c>
      <c r="G449" t="s">
        <v>15</v>
      </c>
      <c r="H449" s="1">
        <v>44739</v>
      </c>
      <c r="I449" t="s">
        <v>540</v>
      </c>
      <c r="J449" s="10" t="s">
        <v>42</v>
      </c>
      <c r="K449" t="s">
        <v>92</v>
      </c>
      <c r="L449" t="s">
        <v>165</v>
      </c>
    </row>
    <row r="450" spans="1:12" x14ac:dyDescent="0.25">
      <c r="A450" t="s">
        <v>539</v>
      </c>
      <c r="B450" s="2">
        <v>3112</v>
      </c>
      <c r="C450" s="2">
        <v>1065</v>
      </c>
      <c r="D450">
        <v>20</v>
      </c>
      <c r="E450" t="s">
        <v>30</v>
      </c>
      <c r="F450" t="s">
        <v>78</v>
      </c>
      <c r="G450" t="s">
        <v>65</v>
      </c>
      <c r="H450" s="1">
        <v>44739</v>
      </c>
      <c r="I450" t="s">
        <v>540</v>
      </c>
      <c r="J450" s="10" t="s">
        <v>42</v>
      </c>
      <c r="K450" t="s">
        <v>92</v>
      </c>
      <c r="L450" t="s">
        <v>165</v>
      </c>
    </row>
    <row r="451" spans="1:12" x14ac:dyDescent="0.25">
      <c r="A451" t="s">
        <v>541</v>
      </c>
      <c r="B451" s="2">
        <v>7838</v>
      </c>
      <c r="C451" s="2">
        <v>1142</v>
      </c>
      <c r="D451">
        <v>13</v>
      </c>
      <c r="E451" t="s">
        <v>13</v>
      </c>
      <c r="F451" t="s">
        <v>82</v>
      </c>
      <c r="G451" t="s">
        <v>15</v>
      </c>
      <c r="H451" s="1">
        <v>44245</v>
      </c>
      <c r="I451" t="s">
        <v>542</v>
      </c>
      <c r="J451" s="10" t="s">
        <v>42</v>
      </c>
      <c r="K451" t="s">
        <v>92</v>
      </c>
      <c r="L451" t="s">
        <v>292</v>
      </c>
    </row>
    <row r="452" spans="1:12" x14ac:dyDescent="0.25">
      <c r="A452" t="s">
        <v>541</v>
      </c>
      <c r="B452" s="2">
        <v>9300</v>
      </c>
      <c r="C452" s="2">
        <v>3146</v>
      </c>
      <c r="D452">
        <v>6</v>
      </c>
      <c r="E452" t="s">
        <v>13</v>
      </c>
      <c r="F452" t="s">
        <v>82</v>
      </c>
      <c r="G452" t="s">
        <v>47</v>
      </c>
      <c r="H452" s="1">
        <v>44245</v>
      </c>
      <c r="I452" t="s">
        <v>542</v>
      </c>
      <c r="J452" s="10" t="s">
        <v>42</v>
      </c>
      <c r="K452" t="s">
        <v>92</v>
      </c>
      <c r="L452" t="s">
        <v>292</v>
      </c>
    </row>
    <row r="453" spans="1:12" x14ac:dyDescent="0.25">
      <c r="A453" t="s">
        <v>541</v>
      </c>
      <c r="B453" s="2">
        <v>1733</v>
      </c>
      <c r="C453" s="2">
        <v>133</v>
      </c>
      <c r="D453">
        <v>17</v>
      </c>
      <c r="E453" t="s">
        <v>30</v>
      </c>
      <c r="F453" t="s">
        <v>64</v>
      </c>
      <c r="G453" t="s">
        <v>32</v>
      </c>
      <c r="H453" s="1">
        <v>44245</v>
      </c>
      <c r="I453" t="s">
        <v>542</v>
      </c>
      <c r="J453" s="10" t="s">
        <v>42</v>
      </c>
      <c r="K453" t="s">
        <v>92</v>
      </c>
      <c r="L453" t="s">
        <v>292</v>
      </c>
    </row>
    <row r="454" spans="1:12" x14ac:dyDescent="0.25">
      <c r="A454" t="s">
        <v>543</v>
      </c>
      <c r="B454" s="2">
        <v>874</v>
      </c>
      <c r="C454" s="2">
        <v>235</v>
      </c>
      <c r="D454">
        <v>15</v>
      </c>
      <c r="E454" t="s">
        <v>30</v>
      </c>
      <c r="F454" t="s">
        <v>78</v>
      </c>
      <c r="G454" t="s">
        <v>32</v>
      </c>
      <c r="H454" s="1">
        <v>45075</v>
      </c>
      <c r="I454" t="s">
        <v>544</v>
      </c>
      <c r="J454" s="10" t="s">
        <v>25</v>
      </c>
      <c r="K454" t="s">
        <v>68</v>
      </c>
      <c r="L454" t="s">
        <v>127</v>
      </c>
    </row>
    <row r="455" spans="1:12" x14ac:dyDescent="0.25">
      <c r="A455" t="s">
        <v>543</v>
      </c>
      <c r="B455" s="2">
        <v>874</v>
      </c>
      <c r="C455" s="2">
        <v>235</v>
      </c>
      <c r="D455">
        <v>15</v>
      </c>
      <c r="E455" t="s">
        <v>30</v>
      </c>
      <c r="F455" t="s">
        <v>78</v>
      </c>
      <c r="G455" t="s">
        <v>32</v>
      </c>
      <c r="H455" s="1">
        <v>44351</v>
      </c>
      <c r="I455" t="s">
        <v>545</v>
      </c>
      <c r="J455" s="10" t="s">
        <v>17</v>
      </c>
      <c r="K455" t="s">
        <v>18</v>
      </c>
      <c r="L455" t="s">
        <v>125</v>
      </c>
    </row>
    <row r="456" spans="1:12" x14ac:dyDescent="0.25">
      <c r="A456" t="s">
        <v>546</v>
      </c>
      <c r="B456" s="2">
        <v>1248</v>
      </c>
      <c r="C456" s="2">
        <v>584</v>
      </c>
      <c r="D456">
        <v>13</v>
      </c>
      <c r="E456" t="s">
        <v>30</v>
      </c>
      <c r="F456" t="s">
        <v>31</v>
      </c>
      <c r="G456" t="s">
        <v>40</v>
      </c>
      <c r="H456" s="1">
        <v>45313</v>
      </c>
      <c r="I456" t="s">
        <v>547</v>
      </c>
      <c r="J456" s="10" t="s">
        <v>98</v>
      </c>
      <c r="K456" t="s">
        <v>99</v>
      </c>
      <c r="L456" t="s">
        <v>76</v>
      </c>
    </row>
    <row r="457" spans="1:12" x14ac:dyDescent="0.25">
      <c r="A457" t="s">
        <v>546</v>
      </c>
      <c r="B457" s="2">
        <v>1248</v>
      </c>
      <c r="C457" s="2">
        <v>584</v>
      </c>
      <c r="D457">
        <v>13</v>
      </c>
      <c r="E457" t="s">
        <v>30</v>
      </c>
      <c r="F457" t="s">
        <v>31</v>
      </c>
      <c r="G457" t="s">
        <v>40</v>
      </c>
      <c r="H457" s="1">
        <v>44922</v>
      </c>
      <c r="I457" t="s">
        <v>548</v>
      </c>
      <c r="J457" s="10" t="s">
        <v>42</v>
      </c>
      <c r="K457" t="s">
        <v>92</v>
      </c>
      <c r="L457" t="s">
        <v>152</v>
      </c>
    </row>
    <row r="458" spans="1:12" x14ac:dyDescent="0.25">
      <c r="A458" t="s">
        <v>546</v>
      </c>
      <c r="B458" s="2">
        <v>3669</v>
      </c>
      <c r="C458" s="2">
        <v>154</v>
      </c>
      <c r="D458">
        <v>14</v>
      </c>
      <c r="E458" t="s">
        <v>30</v>
      </c>
      <c r="F458" t="s">
        <v>57</v>
      </c>
      <c r="G458" t="s">
        <v>40</v>
      </c>
      <c r="H458" s="1">
        <v>45313</v>
      </c>
      <c r="I458" t="s">
        <v>547</v>
      </c>
      <c r="J458" s="10" t="s">
        <v>98</v>
      </c>
      <c r="K458" t="s">
        <v>99</v>
      </c>
      <c r="L458" t="s">
        <v>76</v>
      </c>
    </row>
    <row r="459" spans="1:12" x14ac:dyDescent="0.25">
      <c r="A459" t="s">
        <v>546</v>
      </c>
      <c r="B459" s="2">
        <v>3669</v>
      </c>
      <c r="C459" s="2">
        <v>154</v>
      </c>
      <c r="D459">
        <v>14</v>
      </c>
      <c r="E459" t="s">
        <v>30</v>
      </c>
      <c r="F459" t="s">
        <v>57</v>
      </c>
      <c r="G459" t="s">
        <v>40</v>
      </c>
      <c r="H459" s="1">
        <v>44922</v>
      </c>
      <c r="I459" t="s">
        <v>548</v>
      </c>
      <c r="J459" s="10" t="s">
        <v>42</v>
      </c>
      <c r="K459" t="s">
        <v>92</v>
      </c>
      <c r="L459" t="s">
        <v>152</v>
      </c>
    </row>
    <row r="460" spans="1:12" x14ac:dyDescent="0.25">
      <c r="A460" t="s">
        <v>546</v>
      </c>
      <c r="B460" s="2">
        <v>514</v>
      </c>
      <c r="C460" s="2">
        <v>109</v>
      </c>
      <c r="D460">
        <v>15</v>
      </c>
      <c r="E460" t="s">
        <v>30</v>
      </c>
      <c r="F460" t="s">
        <v>64</v>
      </c>
      <c r="G460" t="s">
        <v>32</v>
      </c>
      <c r="H460" s="1">
        <v>45313</v>
      </c>
      <c r="I460" t="s">
        <v>547</v>
      </c>
      <c r="J460" s="10" t="s">
        <v>98</v>
      </c>
      <c r="K460" t="s">
        <v>99</v>
      </c>
      <c r="L460" t="s">
        <v>76</v>
      </c>
    </row>
    <row r="461" spans="1:12" x14ac:dyDescent="0.25">
      <c r="A461" t="s">
        <v>546</v>
      </c>
      <c r="B461" s="2">
        <v>514</v>
      </c>
      <c r="C461" s="2">
        <v>109</v>
      </c>
      <c r="D461">
        <v>15</v>
      </c>
      <c r="E461" t="s">
        <v>30</v>
      </c>
      <c r="F461" t="s">
        <v>64</v>
      </c>
      <c r="G461" t="s">
        <v>32</v>
      </c>
      <c r="H461" s="1">
        <v>44922</v>
      </c>
      <c r="I461" t="s">
        <v>548</v>
      </c>
      <c r="J461" s="10" t="s">
        <v>42</v>
      </c>
      <c r="K461" t="s">
        <v>92</v>
      </c>
      <c r="L461" t="s">
        <v>152</v>
      </c>
    </row>
    <row r="462" spans="1:12" x14ac:dyDescent="0.25">
      <c r="A462" t="s">
        <v>549</v>
      </c>
      <c r="B462" s="2">
        <v>3273</v>
      </c>
      <c r="C462" s="2">
        <v>85</v>
      </c>
      <c r="D462">
        <v>16</v>
      </c>
      <c r="E462" t="s">
        <v>13</v>
      </c>
      <c r="F462" t="s">
        <v>82</v>
      </c>
      <c r="G462" t="s">
        <v>15</v>
      </c>
      <c r="H462" s="1">
        <v>45381</v>
      </c>
      <c r="I462" t="s">
        <v>550</v>
      </c>
      <c r="J462" s="10" t="s">
        <v>98</v>
      </c>
      <c r="K462" t="s">
        <v>107</v>
      </c>
      <c r="L462" t="s">
        <v>338</v>
      </c>
    </row>
    <row r="463" spans="1:12" x14ac:dyDescent="0.25">
      <c r="A463" t="s">
        <v>551</v>
      </c>
      <c r="B463" s="2">
        <v>5035</v>
      </c>
      <c r="C463" s="2">
        <v>2008</v>
      </c>
      <c r="D463">
        <v>2</v>
      </c>
      <c r="E463" t="s">
        <v>45</v>
      </c>
      <c r="F463" t="s">
        <v>49</v>
      </c>
      <c r="G463" t="s">
        <v>65</v>
      </c>
      <c r="H463" s="1">
        <v>43925</v>
      </c>
      <c r="I463" t="s">
        <v>552</v>
      </c>
      <c r="J463" s="10" t="s">
        <v>17</v>
      </c>
      <c r="K463" t="s">
        <v>18</v>
      </c>
      <c r="L463" t="s">
        <v>162</v>
      </c>
    </row>
    <row r="464" spans="1:12" x14ac:dyDescent="0.25">
      <c r="A464" t="s">
        <v>551</v>
      </c>
      <c r="B464" s="2">
        <v>7702</v>
      </c>
      <c r="C464" s="2">
        <v>60</v>
      </c>
      <c r="D464">
        <v>19</v>
      </c>
      <c r="E464" t="s">
        <v>13</v>
      </c>
      <c r="F464" t="s">
        <v>28</v>
      </c>
      <c r="G464" t="s">
        <v>15</v>
      </c>
      <c r="H464" s="1">
        <v>43925</v>
      </c>
      <c r="I464" t="s">
        <v>552</v>
      </c>
      <c r="J464" s="10" t="s">
        <v>17</v>
      </c>
      <c r="K464" t="s">
        <v>18</v>
      </c>
      <c r="L464" t="s">
        <v>162</v>
      </c>
    </row>
    <row r="465" spans="1:12" x14ac:dyDescent="0.25">
      <c r="A465" t="s">
        <v>551</v>
      </c>
      <c r="B465" s="2">
        <v>9884</v>
      </c>
      <c r="C465" s="2">
        <v>4446</v>
      </c>
      <c r="D465">
        <v>7</v>
      </c>
      <c r="E465" t="s">
        <v>13</v>
      </c>
      <c r="F465" t="s">
        <v>28</v>
      </c>
      <c r="G465" t="s">
        <v>40</v>
      </c>
      <c r="H465" s="1">
        <v>43925</v>
      </c>
      <c r="I465" t="s">
        <v>552</v>
      </c>
      <c r="J465" s="10" t="s">
        <v>17</v>
      </c>
      <c r="K465" t="s">
        <v>18</v>
      </c>
      <c r="L465" t="s">
        <v>162</v>
      </c>
    </row>
    <row r="466" spans="1:12" x14ac:dyDescent="0.25">
      <c r="A466" t="s">
        <v>553</v>
      </c>
      <c r="B466" s="2">
        <v>5564</v>
      </c>
      <c r="C466" s="2">
        <v>175</v>
      </c>
      <c r="D466">
        <v>11</v>
      </c>
      <c r="E466" t="s">
        <v>13</v>
      </c>
      <c r="F466" t="s">
        <v>39</v>
      </c>
      <c r="G466" t="s">
        <v>65</v>
      </c>
      <c r="H466" s="1">
        <v>44948</v>
      </c>
      <c r="I466" t="s">
        <v>554</v>
      </c>
      <c r="J466" s="10" t="s">
        <v>21</v>
      </c>
      <c r="K466" t="s">
        <v>22</v>
      </c>
      <c r="L466" t="s">
        <v>333</v>
      </c>
    </row>
    <row r="467" spans="1:12" x14ac:dyDescent="0.25">
      <c r="A467" t="s">
        <v>553</v>
      </c>
      <c r="B467" s="2">
        <v>5564</v>
      </c>
      <c r="C467" s="2">
        <v>175</v>
      </c>
      <c r="D467">
        <v>11</v>
      </c>
      <c r="E467" t="s">
        <v>13</v>
      </c>
      <c r="F467" t="s">
        <v>39</v>
      </c>
      <c r="G467" t="s">
        <v>65</v>
      </c>
      <c r="H467" s="1">
        <v>44663</v>
      </c>
      <c r="I467" t="s">
        <v>555</v>
      </c>
      <c r="J467" s="10" t="s">
        <v>71</v>
      </c>
      <c r="K467" t="s">
        <v>138</v>
      </c>
      <c r="L467" t="s">
        <v>187</v>
      </c>
    </row>
    <row r="468" spans="1:12" x14ac:dyDescent="0.25">
      <c r="A468" t="s">
        <v>553</v>
      </c>
      <c r="B468" s="2">
        <v>5564</v>
      </c>
      <c r="C468" s="2">
        <v>175</v>
      </c>
      <c r="D468">
        <v>11</v>
      </c>
      <c r="E468" t="s">
        <v>13</v>
      </c>
      <c r="F468" t="s">
        <v>39</v>
      </c>
      <c r="G468" t="s">
        <v>65</v>
      </c>
      <c r="H468" s="1">
        <v>45273</v>
      </c>
      <c r="I468" t="s">
        <v>556</v>
      </c>
      <c r="J468" s="10" t="s">
        <v>17</v>
      </c>
      <c r="K468" t="s">
        <v>18</v>
      </c>
      <c r="L468" t="s">
        <v>102</v>
      </c>
    </row>
    <row r="469" spans="1:12" x14ac:dyDescent="0.25">
      <c r="A469" t="s">
        <v>553</v>
      </c>
      <c r="B469" s="2">
        <v>3953</v>
      </c>
      <c r="C469" s="2">
        <v>1776</v>
      </c>
      <c r="D469">
        <v>15</v>
      </c>
      <c r="E469" t="s">
        <v>13</v>
      </c>
      <c r="F469" t="s">
        <v>14</v>
      </c>
      <c r="G469" t="s">
        <v>15</v>
      </c>
      <c r="H469" s="1">
        <v>44948</v>
      </c>
      <c r="I469" t="s">
        <v>554</v>
      </c>
      <c r="J469" s="10" t="s">
        <v>21</v>
      </c>
      <c r="K469" t="s">
        <v>22</v>
      </c>
      <c r="L469" t="s">
        <v>333</v>
      </c>
    </row>
    <row r="470" spans="1:12" x14ac:dyDescent="0.25">
      <c r="A470" t="s">
        <v>553</v>
      </c>
      <c r="B470" s="2">
        <v>3953</v>
      </c>
      <c r="C470" s="2">
        <v>1776</v>
      </c>
      <c r="D470">
        <v>15</v>
      </c>
      <c r="E470" t="s">
        <v>13</v>
      </c>
      <c r="F470" t="s">
        <v>14</v>
      </c>
      <c r="G470" t="s">
        <v>15</v>
      </c>
      <c r="H470" s="1">
        <v>44663</v>
      </c>
      <c r="I470" t="s">
        <v>555</v>
      </c>
      <c r="J470" s="10" t="s">
        <v>71</v>
      </c>
      <c r="K470" t="s">
        <v>138</v>
      </c>
      <c r="L470" t="s">
        <v>187</v>
      </c>
    </row>
    <row r="471" spans="1:12" x14ac:dyDescent="0.25">
      <c r="A471" t="s">
        <v>553</v>
      </c>
      <c r="B471" s="2">
        <v>3953</v>
      </c>
      <c r="C471" s="2">
        <v>1776</v>
      </c>
      <c r="D471">
        <v>15</v>
      </c>
      <c r="E471" t="s">
        <v>13</v>
      </c>
      <c r="F471" t="s">
        <v>14</v>
      </c>
      <c r="G471" t="s">
        <v>15</v>
      </c>
      <c r="H471" s="1">
        <v>45273</v>
      </c>
      <c r="I471" t="s">
        <v>556</v>
      </c>
      <c r="J471" s="10" t="s">
        <v>17</v>
      </c>
      <c r="K471" t="s">
        <v>18</v>
      </c>
      <c r="L471" t="s">
        <v>102</v>
      </c>
    </row>
    <row r="472" spans="1:12" x14ac:dyDescent="0.25">
      <c r="A472" t="s">
        <v>557</v>
      </c>
      <c r="B472" s="2">
        <v>6488</v>
      </c>
      <c r="C472" s="2">
        <v>1591</v>
      </c>
      <c r="D472">
        <v>18</v>
      </c>
      <c r="E472" t="s">
        <v>13</v>
      </c>
      <c r="F472" t="s">
        <v>28</v>
      </c>
      <c r="G472" t="s">
        <v>40</v>
      </c>
      <c r="H472" s="1">
        <v>45070</v>
      </c>
      <c r="I472" t="s">
        <v>558</v>
      </c>
      <c r="J472" s="10" t="s">
        <v>71</v>
      </c>
      <c r="K472" t="s">
        <v>72</v>
      </c>
      <c r="L472" t="s">
        <v>127</v>
      </c>
    </row>
    <row r="473" spans="1:12" x14ac:dyDescent="0.25">
      <c r="A473" t="s">
        <v>557</v>
      </c>
      <c r="B473" s="2">
        <v>6488</v>
      </c>
      <c r="C473" s="2">
        <v>1591</v>
      </c>
      <c r="D473">
        <v>18</v>
      </c>
      <c r="E473" t="s">
        <v>13</v>
      </c>
      <c r="F473" t="s">
        <v>28</v>
      </c>
      <c r="G473" t="s">
        <v>40</v>
      </c>
      <c r="H473" s="1">
        <v>44164</v>
      </c>
      <c r="I473" t="s">
        <v>559</v>
      </c>
      <c r="J473" s="10" t="s">
        <v>71</v>
      </c>
      <c r="K473" t="s">
        <v>138</v>
      </c>
      <c r="L473" t="s">
        <v>80</v>
      </c>
    </row>
    <row r="474" spans="1:12" x14ac:dyDescent="0.25">
      <c r="A474" t="s">
        <v>560</v>
      </c>
      <c r="B474" s="2">
        <v>7856</v>
      </c>
      <c r="C474" s="2">
        <v>3699</v>
      </c>
      <c r="D474">
        <v>17</v>
      </c>
      <c r="E474" t="s">
        <v>13</v>
      </c>
      <c r="F474" t="s">
        <v>14</v>
      </c>
      <c r="G474" t="s">
        <v>15</v>
      </c>
      <c r="H474" s="1">
        <v>44279</v>
      </c>
      <c r="I474" t="s">
        <v>561</v>
      </c>
      <c r="J474" s="10" t="s">
        <v>17</v>
      </c>
      <c r="K474" t="s">
        <v>34</v>
      </c>
      <c r="L474" t="s">
        <v>167</v>
      </c>
    </row>
    <row r="475" spans="1:12" x14ac:dyDescent="0.25">
      <c r="A475" t="s">
        <v>560</v>
      </c>
      <c r="B475" s="2">
        <v>1165</v>
      </c>
      <c r="C475" s="2">
        <v>51</v>
      </c>
      <c r="D475">
        <v>3</v>
      </c>
      <c r="E475" t="s">
        <v>30</v>
      </c>
      <c r="F475" t="s">
        <v>31</v>
      </c>
      <c r="G475" t="s">
        <v>40</v>
      </c>
      <c r="H475" s="1">
        <v>44279</v>
      </c>
      <c r="I475" t="s">
        <v>561</v>
      </c>
      <c r="J475" s="10" t="s">
        <v>17</v>
      </c>
      <c r="K475" t="s">
        <v>34</v>
      </c>
      <c r="L475" t="s">
        <v>167</v>
      </c>
    </row>
    <row r="476" spans="1:12" x14ac:dyDescent="0.25">
      <c r="A476" t="s">
        <v>562</v>
      </c>
      <c r="B476" s="2">
        <v>9386</v>
      </c>
      <c r="C476" s="2">
        <v>2555</v>
      </c>
      <c r="D476">
        <v>20</v>
      </c>
      <c r="E476" t="s">
        <v>30</v>
      </c>
      <c r="F476" t="s">
        <v>57</v>
      </c>
      <c r="G476" t="s">
        <v>47</v>
      </c>
      <c r="H476" s="1">
        <v>44062</v>
      </c>
      <c r="I476" t="s">
        <v>563</v>
      </c>
      <c r="J476" s="10" t="s">
        <v>42</v>
      </c>
      <c r="K476" t="s">
        <v>75</v>
      </c>
      <c r="L476" t="s">
        <v>185</v>
      </c>
    </row>
    <row r="477" spans="1:12" x14ac:dyDescent="0.25">
      <c r="A477" t="s">
        <v>562</v>
      </c>
      <c r="B477" s="2">
        <v>9386</v>
      </c>
      <c r="C477" s="2">
        <v>2555</v>
      </c>
      <c r="D477">
        <v>20</v>
      </c>
      <c r="E477" t="s">
        <v>30</v>
      </c>
      <c r="F477" t="s">
        <v>57</v>
      </c>
      <c r="G477" t="s">
        <v>47</v>
      </c>
      <c r="H477" s="1">
        <v>44854</v>
      </c>
      <c r="I477" t="s">
        <v>564</v>
      </c>
      <c r="J477" s="10" t="s">
        <v>98</v>
      </c>
      <c r="K477" t="s">
        <v>117</v>
      </c>
      <c r="L477" t="s">
        <v>96</v>
      </c>
    </row>
    <row r="478" spans="1:12" x14ac:dyDescent="0.25">
      <c r="A478" t="s">
        <v>565</v>
      </c>
      <c r="B478" s="2">
        <v>3956</v>
      </c>
      <c r="C478" s="2">
        <v>142</v>
      </c>
      <c r="D478">
        <v>12</v>
      </c>
      <c r="E478" t="s">
        <v>30</v>
      </c>
      <c r="F478" t="s">
        <v>31</v>
      </c>
      <c r="G478" t="s">
        <v>32</v>
      </c>
      <c r="H478" s="1">
        <v>45189</v>
      </c>
      <c r="I478" t="s">
        <v>566</v>
      </c>
      <c r="J478" s="10" t="s">
        <v>17</v>
      </c>
      <c r="K478" t="s">
        <v>150</v>
      </c>
      <c r="L478" t="s">
        <v>273</v>
      </c>
    </row>
    <row r="479" spans="1:12" x14ac:dyDescent="0.25">
      <c r="A479" t="s">
        <v>565</v>
      </c>
      <c r="B479" s="2">
        <v>3956</v>
      </c>
      <c r="C479" s="2">
        <v>142</v>
      </c>
      <c r="D479">
        <v>12</v>
      </c>
      <c r="E479" t="s">
        <v>30</v>
      </c>
      <c r="F479" t="s">
        <v>31</v>
      </c>
      <c r="G479" t="s">
        <v>32</v>
      </c>
      <c r="H479" s="1">
        <v>45652</v>
      </c>
      <c r="I479" t="s">
        <v>567</v>
      </c>
      <c r="J479" s="10" t="s">
        <v>71</v>
      </c>
      <c r="K479" t="s">
        <v>72</v>
      </c>
      <c r="L479" t="s">
        <v>23</v>
      </c>
    </row>
    <row r="480" spans="1:12" x14ac:dyDescent="0.25">
      <c r="A480" t="s">
        <v>565</v>
      </c>
      <c r="B480" s="2">
        <v>6449</v>
      </c>
      <c r="C480" s="2">
        <v>2628</v>
      </c>
      <c r="D480">
        <v>11</v>
      </c>
      <c r="E480" t="s">
        <v>45</v>
      </c>
      <c r="F480" t="s">
        <v>109</v>
      </c>
      <c r="G480" t="s">
        <v>40</v>
      </c>
      <c r="H480" s="1">
        <v>45189</v>
      </c>
      <c r="I480" t="s">
        <v>566</v>
      </c>
      <c r="J480" s="10" t="s">
        <v>17</v>
      </c>
      <c r="K480" t="s">
        <v>150</v>
      </c>
      <c r="L480" t="s">
        <v>273</v>
      </c>
    </row>
    <row r="481" spans="1:12" x14ac:dyDescent="0.25">
      <c r="A481" t="s">
        <v>565</v>
      </c>
      <c r="B481" s="2">
        <v>6449</v>
      </c>
      <c r="C481" s="2">
        <v>2628</v>
      </c>
      <c r="D481">
        <v>11</v>
      </c>
      <c r="E481" t="s">
        <v>45</v>
      </c>
      <c r="F481" t="s">
        <v>109</v>
      </c>
      <c r="G481" t="s">
        <v>40</v>
      </c>
      <c r="H481" s="1">
        <v>45652</v>
      </c>
      <c r="I481" t="s">
        <v>567</v>
      </c>
      <c r="J481" s="10" t="s">
        <v>71</v>
      </c>
      <c r="K481" t="s">
        <v>72</v>
      </c>
      <c r="L481" t="s">
        <v>23</v>
      </c>
    </row>
    <row r="482" spans="1:12" x14ac:dyDescent="0.25">
      <c r="A482" t="s">
        <v>568</v>
      </c>
      <c r="B482" s="2">
        <v>6255</v>
      </c>
      <c r="C482" s="2">
        <v>437</v>
      </c>
      <c r="D482">
        <v>18</v>
      </c>
      <c r="E482" t="s">
        <v>30</v>
      </c>
      <c r="F482" t="s">
        <v>57</v>
      </c>
      <c r="G482" t="s">
        <v>65</v>
      </c>
      <c r="H482" s="1">
        <v>44533</v>
      </c>
      <c r="I482" t="s">
        <v>569</v>
      </c>
      <c r="J482" s="10" t="s">
        <v>25</v>
      </c>
      <c r="K482" t="s">
        <v>68</v>
      </c>
      <c r="L482" t="s">
        <v>90</v>
      </c>
    </row>
    <row r="483" spans="1:12" x14ac:dyDescent="0.25">
      <c r="A483" t="s">
        <v>568</v>
      </c>
      <c r="B483" s="2">
        <v>2109</v>
      </c>
      <c r="C483" s="2">
        <v>681</v>
      </c>
      <c r="D483">
        <v>20</v>
      </c>
      <c r="E483" t="s">
        <v>13</v>
      </c>
      <c r="F483" t="s">
        <v>14</v>
      </c>
      <c r="G483" t="s">
        <v>15</v>
      </c>
      <c r="H483" s="1">
        <v>44533</v>
      </c>
      <c r="I483" t="s">
        <v>569</v>
      </c>
      <c r="J483" s="10" t="s">
        <v>25</v>
      </c>
      <c r="K483" t="s">
        <v>68</v>
      </c>
      <c r="L483" t="s">
        <v>90</v>
      </c>
    </row>
    <row r="484" spans="1:12" x14ac:dyDescent="0.25">
      <c r="A484" t="s">
        <v>570</v>
      </c>
      <c r="B484" s="2">
        <v>6707</v>
      </c>
      <c r="C484" s="2">
        <v>1041</v>
      </c>
      <c r="D484">
        <v>20</v>
      </c>
      <c r="E484" t="s">
        <v>13</v>
      </c>
      <c r="F484" t="s">
        <v>82</v>
      </c>
      <c r="G484" t="s">
        <v>47</v>
      </c>
      <c r="H484" s="1">
        <v>44453</v>
      </c>
      <c r="I484" t="s">
        <v>571</v>
      </c>
      <c r="J484" s="10" t="s">
        <v>71</v>
      </c>
      <c r="K484" t="s">
        <v>86</v>
      </c>
      <c r="L484" t="s">
        <v>224</v>
      </c>
    </row>
    <row r="485" spans="1:12" x14ac:dyDescent="0.25">
      <c r="A485" t="s">
        <v>572</v>
      </c>
      <c r="B485" s="2">
        <v>7633</v>
      </c>
      <c r="C485" s="2">
        <v>184</v>
      </c>
      <c r="D485">
        <v>13</v>
      </c>
      <c r="E485" t="s">
        <v>30</v>
      </c>
      <c r="F485" t="s">
        <v>31</v>
      </c>
      <c r="G485" t="s">
        <v>65</v>
      </c>
      <c r="H485" s="1">
        <v>44469</v>
      </c>
      <c r="I485" t="s">
        <v>573</v>
      </c>
      <c r="J485" s="10" t="s">
        <v>21</v>
      </c>
      <c r="K485" t="s">
        <v>63</v>
      </c>
      <c r="L485" t="s">
        <v>224</v>
      </c>
    </row>
    <row r="486" spans="1:12" x14ac:dyDescent="0.25">
      <c r="A486" t="s">
        <v>574</v>
      </c>
      <c r="B486" s="2">
        <v>975</v>
      </c>
      <c r="C486" s="2">
        <v>224</v>
      </c>
      <c r="D486">
        <v>18</v>
      </c>
      <c r="E486" t="s">
        <v>30</v>
      </c>
      <c r="F486" t="s">
        <v>31</v>
      </c>
      <c r="G486" t="s">
        <v>65</v>
      </c>
      <c r="H486" s="1">
        <v>44552</v>
      </c>
      <c r="I486" t="s">
        <v>575</v>
      </c>
      <c r="J486" s="10" t="s">
        <v>42</v>
      </c>
      <c r="K486" t="s">
        <v>75</v>
      </c>
      <c r="L486" t="s">
        <v>90</v>
      </c>
    </row>
    <row r="487" spans="1:12" x14ac:dyDescent="0.25">
      <c r="A487" t="s">
        <v>574</v>
      </c>
      <c r="B487" s="2">
        <v>4492</v>
      </c>
      <c r="C487" s="2">
        <v>1450</v>
      </c>
      <c r="D487">
        <v>7</v>
      </c>
      <c r="E487" t="s">
        <v>45</v>
      </c>
      <c r="F487" t="s">
        <v>46</v>
      </c>
      <c r="G487" t="s">
        <v>40</v>
      </c>
      <c r="H487" s="1">
        <v>44552</v>
      </c>
      <c r="I487" t="s">
        <v>575</v>
      </c>
      <c r="J487" s="10" t="s">
        <v>42</v>
      </c>
      <c r="K487" t="s">
        <v>75</v>
      </c>
      <c r="L487" t="s">
        <v>90</v>
      </c>
    </row>
    <row r="488" spans="1:12" x14ac:dyDescent="0.25">
      <c r="A488" t="s">
        <v>574</v>
      </c>
      <c r="B488" s="2">
        <v>7957</v>
      </c>
      <c r="C488" s="2">
        <v>2834</v>
      </c>
      <c r="D488">
        <v>12</v>
      </c>
      <c r="E488" t="s">
        <v>45</v>
      </c>
      <c r="F488" t="s">
        <v>49</v>
      </c>
      <c r="G488" t="s">
        <v>15</v>
      </c>
      <c r="H488" s="1">
        <v>44552</v>
      </c>
      <c r="I488" t="s">
        <v>575</v>
      </c>
      <c r="J488" s="10" t="s">
        <v>42</v>
      </c>
      <c r="K488" t="s">
        <v>75</v>
      </c>
      <c r="L488" t="s">
        <v>90</v>
      </c>
    </row>
    <row r="489" spans="1:12" x14ac:dyDescent="0.25">
      <c r="A489" t="s">
        <v>576</v>
      </c>
      <c r="B489" s="2">
        <v>4906</v>
      </c>
      <c r="C489" s="2">
        <v>975</v>
      </c>
      <c r="D489">
        <v>7</v>
      </c>
      <c r="E489" t="s">
        <v>45</v>
      </c>
      <c r="F489" t="s">
        <v>46</v>
      </c>
      <c r="G489" t="s">
        <v>32</v>
      </c>
      <c r="H489" s="1">
        <v>44699</v>
      </c>
      <c r="I489" t="s">
        <v>577</v>
      </c>
      <c r="J489" s="10" t="s">
        <v>71</v>
      </c>
      <c r="K489" t="s">
        <v>138</v>
      </c>
      <c r="L489" t="s">
        <v>180</v>
      </c>
    </row>
    <row r="490" spans="1:12" x14ac:dyDescent="0.25">
      <c r="A490" t="s">
        <v>578</v>
      </c>
      <c r="B490" s="2">
        <v>1379</v>
      </c>
      <c r="C490" s="2">
        <v>250</v>
      </c>
      <c r="D490">
        <v>3</v>
      </c>
      <c r="E490" t="s">
        <v>30</v>
      </c>
      <c r="F490" t="s">
        <v>31</v>
      </c>
      <c r="G490" t="s">
        <v>47</v>
      </c>
      <c r="H490" s="1">
        <v>44112</v>
      </c>
      <c r="I490" t="s">
        <v>579</v>
      </c>
      <c r="J490" s="10" t="s">
        <v>25</v>
      </c>
      <c r="K490" t="s">
        <v>26</v>
      </c>
      <c r="L490" t="s">
        <v>119</v>
      </c>
    </row>
    <row r="491" spans="1:12" x14ac:dyDescent="0.25">
      <c r="A491" t="s">
        <v>578</v>
      </c>
      <c r="B491" s="2">
        <v>4244</v>
      </c>
      <c r="C491" s="2">
        <v>340</v>
      </c>
      <c r="D491">
        <v>10</v>
      </c>
      <c r="E491" t="s">
        <v>13</v>
      </c>
      <c r="F491" t="s">
        <v>39</v>
      </c>
      <c r="G491" t="s">
        <v>32</v>
      </c>
      <c r="H491" s="1">
        <v>44112</v>
      </c>
      <c r="I491" t="s">
        <v>579</v>
      </c>
      <c r="J491" s="10" t="s">
        <v>25</v>
      </c>
      <c r="K491" t="s">
        <v>26</v>
      </c>
      <c r="L491" t="s">
        <v>119</v>
      </c>
    </row>
    <row r="492" spans="1:12" x14ac:dyDescent="0.25">
      <c r="A492" t="s">
        <v>580</v>
      </c>
      <c r="B492" s="2">
        <v>5911</v>
      </c>
      <c r="C492" s="2">
        <v>2333</v>
      </c>
      <c r="D492">
        <v>14</v>
      </c>
      <c r="E492" t="s">
        <v>45</v>
      </c>
      <c r="F492" t="s">
        <v>109</v>
      </c>
      <c r="G492" t="s">
        <v>40</v>
      </c>
      <c r="H492" s="1">
        <v>44793</v>
      </c>
      <c r="I492" t="s">
        <v>581</v>
      </c>
      <c r="J492" s="10" t="s">
        <v>42</v>
      </c>
      <c r="K492" t="s">
        <v>75</v>
      </c>
      <c r="L492" t="s">
        <v>209</v>
      </c>
    </row>
    <row r="493" spans="1:12" x14ac:dyDescent="0.25">
      <c r="A493" t="s">
        <v>580</v>
      </c>
      <c r="B493" s="2">
        <v>5911</v>
      </c>
      <c r="C493" s="2">
        <v>2333</v>
      </c>
      <c r="D493">
        <v>14</v>
      </c>
      <c r="E493" t="s">
        <v>45</v>
      </c>
      <c r="F493" t="s">
        <v>109</v>
      </c>
      <c r="G493" t="s">
        <v>40</v>
      </c>
      <c r="H493" s="1">
        <v>45621</v>
      </c>
      <c r="I493" t="s">
        <v>582</v>
      </c>
      <c r="J493" s="10" t="s">
        <v>42</v>
      </c>
      <c r="K493" t="s">
        <v>92</v>
      </c>
      <c r="L493" t="s">
        <v>255</v>
      </c>
    </row>
    <row r="494" spans="1:12" x14ac:dyDescent="0.25">
      <c r="A494" t="s">
        <v>580</v>
      </c>
      <c r="B494" s="2">
        <v>1818</v>
      </c>
      <c r="C494" s="2">
        <v>738</v>
      </c>
      <c r="D494">
        <v>11</v>
      </c>
      <c r="E494" t="s">
        <v>30</v>
      </c>
      <c r="F494" t="s">
        <v>57</v>
      </c>
      <c r="G494" t="s">
        <v>40</v>
      </c>
      <c r="H494" s="1">
        <v>44793</v>
      </c>
      <c r="I494" t="s">
        <v>581</v>
      </c>
      <c r="J494" s="10" t="s">
        <v>42</v>
      </c>
      <c r="K494" t="s">
        <v>75</v>
      </c>
      <c r="L494" t="s">
        <v>209</v>
      </c>
    </row>
    <row r="495" spans="1:12" x14ac:dyDescent="0.25">
      <c r="A495" t="s">
        <v>580</v>
      </c>
      <c r="B495" s="2">
        <v>1818</v>
      </c>
      <c r="C495" s="2">
        <v>738</v>
      </c>
      <c r="D495">
        <v>11</v>
      </c>
      <c r="E495" t="s">
        <v>30</v>
      </c>
      <c r="F495" t="s">
        <v>57</v>
      </c>
      <c r="G495" t="s">
        <v>40</v>
      </c>
      <c r="H495" s="1">
        <v>45621</v>
      </c>
      <c r="I495" t="s">
        <v>582</v>
      </c>
      <c r="J495" s="10" t="s">
        <v>42</v>
      </c>
      <c r="K495" t="s">
        <v>92</v>
      </c>
      <c r="L495" t="s">
        <v>255</v>
      </c>
    </row>
    <row r="496" spans="1:12" x14ac:dyDescent="0.25">
      <c r="A496" t="s">
        <v>583</v>
      </c>
      <c r="B496" s="2">
        <v>2140</v>
      </c>
      <c r="C496" s="2">
        <v>970</v>
      </c>
      <c r="D496">
        <v>4</v>
      </c>
      <c r="E496" t="s">
        <v>30</v>
      </c>
      <c r="F496" t="s">
        <v>64</v>
      </c>
      <c r="G496" t="s">
        <v>47</v>
      </c>
      <c r="H496" s="1">
        <v>44104</v>
      </c>
      <c r="I496" t="s">
        <v>584</v>
      </c>
      <c r="J496" s="10" t="s">
        <v>42</v>
      </c>
      <c r="K496" t="s">
        <v>75</v>
      </c>
      <c r="L496" t="s">
        <v>389</v>
      </c>
    </row>
    <row r="497" spans="1:12" x14ac:dyDescent="0.25">
      <c r="A497" t="s">
        <v>583</v>
      </c>
      <c r="B497" s="2">
        <v>2140</v>
      </c>
      <c r="C497" s="2">
        <v>970</v>
      </c>
      <c r="D497">
        <v>4</v>
      </c>
      <c r="E497" t="s">
        <v>30</v>
      </c>
      <c r="F497" t="s">
        <v>64</v>
      </c>
      <c r="G497" t="s">
        <v>47</v>
      </c>
      <c r="H497" s="1">
        <v>45708</v>
      </c>
      <c r="I497" t="s">
        <v>585</v>
      </c>
      <c r="J497" s="10" t="s">
        <v>17</v>
      </c>
      <c r="K497" t="s">
        <v>34</v>
      </c>
      <c r="L497" t="s">
        <v>73</v>
      </c>
    </row>
    <row r="498" spans="1:12" x14ac:dyDescent="0.25">
      <c r="A498" t="s">
        <v>583</v>
      </c>
      <c r="B498" s="2">
        <v>2140</v>
      </c>
      <c r="C498" s="2">
        <v>970</v>
      </c>
      <c r="D498">
        <v>4</v>
      </c>
      <c r="E498" t="s">
        <v>30</v>
      </c>
      <c r="F498" t="s">
        <v>64</v>
      </c>
      <c r="G498" t="s">
        <v>47</v>
      </c>
      <c r="H498" s="1">
        <v>44640</v>
      </c>
      <c r="I498" t="s">
        <v>586</v>
      </c>
      <c r="J498" s="10" t="s">
        <v>42</v>
      </c>
      <c r="K498" t="s">
        <v>92</v>
      </c>
      <c r="L498" t="s">
        <v>134</v>
      </c>
    </row>
    <row r="499" spans="1:12" x14ac:dyDescent="0.25">
      <c r="A499" t="s">
        <v>583</v>
      </c>
      <c r="B499" s="2">
        <v>2670</v>
      </c>
      <c r="C499" s="2">
        <v>1026</v>
      </c>
      <c r="D499">
        <v>1</v>
      </c>
      <c r="E499" t="s">
        <v>13</v>
      </c>
      <c r="F499" t="s">
        <v>39</v>
      </c>
      <c r="G499" t="s">
        <v>32</v>
      </c>
      <c r="H499" s="1">
        <v>44104</v>
      </c>
      <c r="I499" t="s">
        <v>584</v>
      </c>
      <c r="J499" s="10" t="s">
        <v>42</v>
      </c>
      <c r="K499" t="s">
        <v>75</v>
      </c>
      <c r="L499" t="s">
        <v>389</v>
      </c>
    </row>
    <row r="500" spans="1:12" x14ac:dyDescent="0.25">
      <c r="A500" t="s">
        <v>583</v>
      </c>
      <c r="B500" s="2">
        <v>2670</v>
      </c>
      <c r="C500" s="2">
        <v>1026</v>
      </c>
      <c r="D500">
        <v>1</v>
      </c>
      <c r="E500" t="s">
        <v>13</v>
      </c>
      <c r="F500" t="s">
        <v>39</v>
      </c>
      <c r="G500" t="s">
        <v>32</v>
      </c>
      <c r="H500" s="1">
        <v>45708</v>
      </c>
      <c r="I500" t="s">
        <v>585</v>
      </c>
      <c r="J500" s="10" t="s">
        <v>17</v>
      </c>
      <c r="K500" t="s">
        <v>34</v>
      </c>
      <c r="L500" t="s">
        <v>73</v>
      </c>
    </row>
    <row r="501" spans="1:12" x14ac:dyDescent="0.25">
      <c r="A501" t="s">
        <v>583</v>
      </c>
      <c r="B501" s="2">
        <v>2670</v>
      </c>
      <c r="C501" s="2">
        <v>1026</v>
      </c>
      <c r="D501">
        <v>1</v>
      </c>
      <c r="E501" t="s">
        <v>13</v>
      </c>
      <c r="F501" t="s">
        <v>39</v>
      </c>
      <c r="G501" t="s">
        <v>32</v>
      </c>
      <c r="H501" s="1">
        <v>44640</v>
      </c>
      <c r="I501" t="s">
        <v>586</v>
      </c>
      <c r="J501" s="10" t="s">
        <v>42</v>
      </c>
      <c r="K501" t="s">
        <v>92</v>
      </c>
      <c r="L501" t="s">
        <v>134</v>
      </c>
    </row>
    <row r="502" spans="1:12" x14ac:dyDescent="0.25">
      <c r="A502" t="s">
        <v>587</v>
      </c>
      <c r="B502" s="2">
        <v>1108</v>
      </c>
      <c r="C502" s="2">
        <v>167</v>
      </c>
      <c r="D502">
        <v>18</v>
      </c>
      <c r="E502" t="s">
        <v>13</v>
      </c>
      <c r="F502" t="s">
        <v>39</v>
      </c>
      <c r="G502" t="s">
        <v>32</v>
      </c>
      <c r="H502" s="1">
        <v>45723</v>
      </c>
      <c r="I502" t="s">
        <v>588</v>
      </c>
      <c r="J502" s="10" t="s">
        <v>21</v>
      </c>
      <c r="K502" t="s">
        <v>63</v>
      </c>
      <c r="L502" t="s">
        <v>157</v>
      </c>
    </row>
    <row r="503" spans="1:12" x14ac:dyDescent="0.25">
      <c r="A503" t="s">
        <v>587</v>
      </c>
      <c r="B503" s="2">
        <v>9776</v>
      </c>
      <c r="C503" s="2">
        <v>3750</v>
      </c>
      <c r="D503">
        <v>9</v>
      </c>
      <c r="E503" t="s">
        <v>30</v>
      </c>
      <c r="F503" t="s">
        <v>78</v>
      </c>
      <c r="G503" t="s">
        <v>15</v>
      </c>
      <c r="H503" s="1">
        <v>45723</v>
      </c>
      <c r="I503" t="s">
        <v>588</v>
      </c>
      <c r="J503" s="10" t="s">
        <v>21</v>
      </c>
      <c r="K503" t="s">
        <v>63</v>
      </c>
      <c r="L503" t="s">
        <v>157</v>
      </c>
    </row>
    <row r="504" spans="1:12" x14ac:dyDescent="0.25">
      <c r="A504" t="s">
        <v>587</v>
      </c>
      <c r="B504" s="2">
        <v>535</v>
      </c>
      <c r="C504" s="2">
        <v>72</v>
      </c>
      <c r="D504">
        <v>6</v>
      </c>
      <c r="E504" t="s">
        <v>45</v>
      </c>
      <c r="F504" t="s">
        <v>109</v>
      </c>
      <c r="G504" t="s">
        <v>65</v>
      </c>
      <c r="H504" s="1">
        <v>45723</v>
      </c>
      <c r="I504" t="s">
        <v>588</v>
      </c>
      <c r="J504" s="10" t="s">
        <v>21</v>
      </c>
      <c r="K504" t="s">
        <v>63</v>
      </c>
      <c r="L504" t="s">
        <v>157</v>
      </c>
    </row>
    <row r="505" spans="1:12" x14ac:dyDescent="0.25">
      <c r="A505" t="s">
        <v>589</v>
      </c>
      <c r="B505" s="2">
        <v>7564</v>
      </c>
      <c r="C505" s="2">
        <v>3463</v>
      </c>
      <c r="D505">
        <v>5</v>
      </c>
      <c r="E505" t="s">
        <v>30</v>
      </c>
      <c r="F505" t="s">
        <v>64</v>
      </c>
      <c r="G505" t="s">
        <v>47</v>
      </c>
      <c r="H505" s="1">
        <v>45459</v>
      </c>
      <c r="I505" t="s">
        <v>590</v>
      </c>
      <c r="J505" s="10" t="s">
        <v>17</v>
      </c>
      <c r="K505" t="s">
        <v>150</v>
      </c>
      <c r="L505" t="s">
        <v>262</v>
      </c>
    </row>
    <row r="506" spans="1:12" x14ac:dyDescent="0.25">
      <c r="A506" t="s">
        <v>589</v>
      </c>
      <c r="B506" s="2">
        <v>7564</v>
      </c>
      <c r="C506" s="2">
        <v>3463</v>
      </c>
      <c r="D506">
        <v>5</v>
      </c>
      <c r="E506" t="s">
        <v>30</v>
      </c>
      <c r="F506" t="s">
        <v>64</v>
      </c>
      <c r="G506" t="s">
        <v>47</v>
      </c>
      <c r="H506" s="1">
        <v>44156</v>
      </c>
      <c r="I506" t="s">
        <v>591</v>
      </c>
      <c r="J506" s="10" t="s">
        <v>21</v>
      </c>
      <c r="K506" t="s">
        <v>172</v>
      </c>
      <c r="L506" t="s">
        <v>80</v>
      </c>
    </row>
    <row r="507" spans="1:12" x14ac:dyDescent="0.25">
      <c r="A507" t="s">
        <v>589</v>
      </c>
      <c r="B507" s="2">
        <v>7564</v>
      </c>
      <c r="C507" s="2">
        <v>3463</v>
      </c>
      <c r="D507">
        <v>5</v>
      </c>
      <c r="E507" t="s">
        <v>30</v>
      </c>
      <c r="F507" t="s">
        <v>64</v>
      </c>
      <c r="G507" t="s">
        <v>47</v>
      </c>
      <c r="H507" s="1">
        <v>45566</v>
      </c>
      <c r="I507" t="s">
        <v>592</v>
      </c>
      <c r="J507" s="10" t="s">
        <v>17</v>
      </c>
      <c r="K507" t="s">
        <v>18</v>
      </c>
      <c r="L507" t="s">
        <v>360</v>
      </c>
    </row>
    <row r="508" spans="1:12" x14ac:dyDescent="0.25">
      <c r="A508" t="s">
        <v>589</v>
      </c>
      <c r="B508" s="2">
        <v>7564</v>
      </c>
      <c r="C508" s="2">
        <v>3463</v>
      </c>
      <c r="D508">
        <v>5</v>
      </c>
      <c r="E508" t="s">
        <v>30</v>
      </c>
      <c r="F508" t="s">
        <v>64</v>
      </c>
      <c r="G508" t="s">
        <v>47</v>
      </c>
      <c r="H508" s="1">
        <v>45474</v>
      </c>
      <c r="I508" t="s">
        <v>593</v>
      </c>
      <c r="J508" s="10" t="s">
        <v>71</v>
      </c>
      <c r="K508" t="s">
        <v>138</v>
      </c>
      <c r="L508" t="s">
        <v>215</v>
      </c>
    </row>
    <row r="509" spans="1:12" x14ac:dyDescent="0.25">
      <c r="A509" t="s">
        <v>589</v>
      </c>
      <c r="B509" s="2">
        <v>3409</v>
      </c>
      <c r="C509" s="2">
        <v>1605</v>
      </c>
      <c r="D509">
        <v>20</v>
      </c>
      <c r="E509" t="s">
        <v>13</v>
      </c>
      <c r="F509" t="s">
        <v>14</v>
      </c>
      <c r="G509" t="s">
        <v>15</v>
      </c>
      <c r="H509" s="1">
        <v>45459</v>
      </c>
      <c r="I509" t="s">
        <v>590</v>
      </c>
      <c r="J509" s="10" t="s">
        <v>17</v>
      </c>
      <c r="K509" t="s">
        <v>150</v>
      </c>
      <c r="L509" t="s">
        <v>262</v>
      </c>
    </row>
    <row r="510" spans="1:12" x14ac:dyDescent="0.25">
      <c r="A510" t="s">
        <v>589</v>
      </c>
      <c r="B510" s="2">
        <v>3409</v>
      </c>
      <c r="C510" s="2">
        <v>1605</v>
      </c>
      <c r="D510">
        <v>20</v>
      </c>
      <c r="E510" t="s">
        <v>13</v>
      </c>
      <c r="F510" t="s">
        <v>14</v>
      </c>
      <c r="G510" t="s">
        <v>15</v>
      </c>
      <c r="H510" s="1">
        <v>44156</v>
      </c>
      <c r="I510" t="s">
        <v>591</v>
      </c>
      <c r="J510" s="10" t="s">
        <v>21</v>
      </c>
      <c r="K510" t="s">
        <v>172</v>
      </c>
      <c r="L510" t="s">
        <v>80</v>
      </c>
    </row>
    <row r="511" spans="1:12" x14ac:dyDescent="0.25">
      <c r="A511" t="s">
        <v>589</v>
      </c>
      <c r="B511" s="2">
        <v>3409</v>
      </c>
      <c r="C511" s="2">
        <v>1605</v>
      </c>
      <c r="D511">
        <v>20</v>
      </c>
      <c r="E511" t="s">
        <v>13</v>
      </c>
      <c r="F511" t="s">
        <v>14</v>
      </c>
      <c r="G511" t="s">
        <v>15</v>
      </c>
      <c r="H511" s="1">
        <v>45566</v>
      </c>
      <c r="I511" t="s">
        <v>592</v>
      </c>
      <c r="J511" s="10" t="s">
        <v>17</v>
      </c>
      <c r="K511" t="s">
        <v>18</v>
      </c>
      <c r="L511" t="s">
        <v>360</v>
      </c>
    </row>
    <row r="512" spans="1:12" x14ac:dyDescent="0.25">
      <c r="A512" t="s">
        <v>589</v>
      </c>
      <c r="B512" s="2">
        <v>3409</v>
      </c>
      <c r="C512" s="2">
        <v>1605</v>
      </c>
      <c r="D512">
        <v>20</v>
      </c>
      <c r="E512" t="s">
        <v>13</v>
      </c>
      <c r="F512" t="s">
        <v>14</v>
      </c>
      <c r="G512" t="s">
        <v>15</v>
      </c>
      <c r="H512" s="1">
        <v>45474</v>
      </c>
      <c r="I512" t="s">
        <v>593</v>
      </c>
      <c r="J512" s="10" t="s">
        <v>71</v>
      </c>
      <c r="K512" t="s">
        <v>138</v>
      </c>
      <c r="L512" t="s">
        <v>215</v>
      </c>
    </row>
    <row r="513" spans="1:12" x14ac:dyDescent="0.25">
      <c r="A513" t="s">
        <v>594</v>
      </c>
      <c r="B513" s="2">
        <v>9751</v>
      </c>
      <c r="C513" s="2">
        <v>2459</v>
      </c>
      <c r="D513">
        <v>13</v>
      </c>
      <c r="E513" t="s">
        <v>30</v>
      </c>
      <c r="F513" t="s">
        <v>31</v>
      </c>
      <c r="G513" t="s">
        <v>65</v>
      </c>
      <c r="H513" s="1">
        <v>44158</v>
      </c>
      <c r="I513" t="s">
        <v>595</v>
      </c>
      <c r="J513" s="10" t="s">
        <v>25</v>
      </c>
      <c r="K513" t="s">
        <v>26</v>
      </c>
      <c r="L513" t="s">
        <v>80</v>
      </c>
    </row>
    <row r="514" spans="1:12" x14ac:dyDescent="0.25">
      <c r="A514" t="s">
        <v>596</v>
      </c>
      <c r="B514" s="2">
        <v>6385</v>
      </c>
      <c r="C514" s="2">
        <v>2656</v>
      </c>
      <c r="D514">
        <v>11</v>
      </c>
      <c r="E514" t="s">
        <v>13</v>
      </c>
      <c r="F514" t="s">
        <v>28</v>
      </c>
      <c r="G514" t="s">
        <v>47</v>
      </c>
      <c r="H514" s="1">
        <v>45003</v>
      </c>
      <c r="I514" t="s">
        <v>597</v>
      </c>
      <c r="J514" s="10" t="s">
        <v>17</v>
      </c>
      <c r="K514" t="s">
        <v>34</v>
      </c>
      <c r="L514" t="s">
        <v>245</v>
      </c>
    </row>
    <row r="515" spans="1:12" x14ac:dyDescent="0.25">
      <c r="A515" t="s">
        <v>596</v>
      </c>
      <c r="B515" s="2">
        <v>6385</v>
      </c>
      <c r="C515" s="2">
        <v>2656</v>
      </c>
      <c r="D515">
        <v>11</v>
      </c>
      <c r="E515" t="s">
        <v>13</v>
      </c>
      <c r="F515" t="s">
        <v>28</v>
      </c>
      <c r="G515" t="s">
        <v>47</v>
      </c>
      <c r="H515" s="1">
        <v>44853</v>
      </c>
      <c r="I515" t="s">
        <v>598</v>
      </c>
      <c r="J515" s="10" t="s">
        <v>17</v>
      </c>
      <c r="K515" t="s">
        <v>150</v>
      </c>
      <c r="L515" t="s">
        <v>96</v>
      </c>
    </row>
    <row r="516" spans="1:12" x14ac:dyDescent="0.25">
      <c r="A516" t="s">
        <v>599</v>
      </c>
      <c r="B516" s="2">
        <v>6355</v>
      </c>
      <c r="C516" s="2">
        <v>1335</v>
      </c>
      <c r="D516">
        <v>15</v>
      </c>
      <c r="E516" t="s">
        <v>13</v>
      </c>
      <c r="F516" t="s">
        <v>14</v>
      </c>
      <c r="G516" t="s">
        <v>32</v>
      </c>
      <c r="H516" s="1">
        <v>45169</v>
      </c>
      <c r="I516" t="s">
        <v>600</v>
      </c>
      <c r="J516" s="10" t="s">
        <v>71</v>
      </c>
      <c r="K516" t="s">
        <v>86</v>
      </c>
      <c r="L516" t="s">
        <v>121</v>
      </c>
    </row>
    <row r="517" spans="1:12" x14ac:dyDescent="0.25">
      <c r="A517" t="s">
        <v>599</v>
      </c>
      <c r="B517" s="2">
        <v>6355</v>
      </c>
      <c r="C517" s="2">
        <v>1335</v>
      </c>
      <c r="D517">
        <v>15</v>
      </c>
      <c r="E517" t="s">
        <v>13</v>
      </c>
      <c r="F517" t="s">
        <v>14</v>
      </c>
      <c r="G517" t="s">
        <v>32</v>
      </c>
      <c r="H517" s="1">
        <v>44353</v>
      </c>
      <c r="I517" t="s">
        <v>601</v>
      </c>
      <c r="J517" s="10" t="s">
        <v>71</v>
      </c>
      <c r="K517" t="s">
        <v>86</v>
      </c>
      <c r="L517" t="s">
        <v>125</v>
      </c>
    </row>
    <row r="518" spans="1:12" x14ac:dyDescent="0.25">
      <c r="A518" t="s">
        <v>602</v>
      </c>
      <c r="B518" s="2">
        <v>7377</v>
      </c>
      <c r="C518" s="2">
        <v>320</v>
      </c>
      <c r="D518">
        <v>15</v>
      </c>
      <c r="E518" t="s">
        <v>13</v>
      </c>
      <c r="F518" t="s">
        <v>28</v>
      </c>
      <c r="G518" t="s">
        <v>32</v>
      </c>
      <c r="H518" s="1">
        <v>44916</v>
      </c>
      <c r="I518" t="s">
        <v>603</v>
      </c>
      <c r="J518" s="10" t="s">
        <v>71</v>
      </c>
      <c r="K518" t="s">
        <v>86</v>
      </c>
      <c r="L518" t="s">
        <v>152</v>
      </c>
    </row>
    <row r="519" spans="1:12" x14ac:dyDescent="0.25">
      <c r="A519" t="s">
        <v>602</v>
      </c>
      <c r="B519" s="2">
        <v>2054</v>
      </c>
      <c r="C519" s="2">
        <v>371</v>
      </c>
      <c r="D519">
        <v>12</v>
      </c>
      <c r="E519" t="s">
        <v>30</v>
      </c>
      <c r="F519" t="s">
        <v>57</v>
      </c>
      <c r="G519" t="s">
        <v>40</v>
      </c>
      <c r="H519" s="1">
        <v>44916</v>
      </c>
      <c r="I519" t="s">
        <v>603</v>
      </c>
      <c r="J519" s="10" t="s">
        <v>71</v>
      </c>
      <c r="K519" t="s">
        <v>86</v>
      </c>
      <c r="L519" t="s">
        <v>152</v>
      </c>
    </row>
    <row r="520" spans="1:12" x14ac:dyDescent="0.25">
      <c r="A520" t="s">
        <v>604</v>
      </c>
      <c r="B520" s="2">
        <v>7497</v>
      </c>
      <c r="C520" s="2">
        <v>319</v>
      </c>
      <c r="D520">
        <v>18</v>
      </c>
      <c r="E520" t="s">
        <v>45</v>
      </c>
      <c r="F520" t="s">
        <v>49</v>
      </c>
      <c r="G520" t="s">
        <v>65</v>
      </c>
      <c r="H520" s="1">
        <v>45334</v>
      </c>
      <c r="I520" t="s">
        <v>605</v>
      </c>
      <c r="J520" s="10" t="s">
        <v>21</v>
      </c>
      <c r="K520" t="s">
        <v>172</v>
      </c>
      <c r="L520" t="s">
        <v>218</v>
      </c>
    </row>
    <row r="521" spans="1:12" x14ac:dyDescent="0.25">
      <c r="A521" t="s">
        <v>606</v>
      </c>
      <c r="B521" s="2">
        <v>2565</v>
      </c>
      <c r="C521" s="2">
        <v>983</v>
      </c>
      <c r="D521">
        <v>20</v>
      </c>
      <c r="E521" t="s">
        <v>13</v>
      </c>
      <c r="F521" t="s">
        <v>14</v>
      </c>
      <c r="G521" t="s">
        <v>32</v>
      </c>
      <c r="H521" s="1">
        <v>44900</v>
      </c>
      <c r="I521" t="s">
        <v>607</v>
      </c>
      <c r="J521" s="10" t="s">
        <v>17</v>
      </c>
      <c r="K521" t="s">
        <v>18</v>
      </c>
      <c r="L521" t="s">
        <v>152</v>
      </c>
    </row>
    <row r="522" spans="1:12" x14ac:dyDescent="0.25">
      <c r="A522" t="s">
        <v>606</v>
      </c>
      <c r="B522" s="2">
        <v>5024</v>
      </c>
      <c r="C522" s="2">
        <v>1544</v>
      </c>
      <c r="D522">
        <v>19</v>
      </c>
      <c r="E522" t="s">
        <v>30</v>
      </c>
      <c r="F522" t="s">
        <v>31</v>
      </c>
      <c r="G522" t="s">
        <v>65</v>
      </c>
      <c r="H522" s="1">
        <v>44900</v>
      </c>
      <c r="I522" t="s">
        <v>607</v>
      </c>
      <c r="J522" s="10" t="s">
        <v>17</v>
      </c>
      <c r="K522" t="s">
        <v>18</v>
      </c>
      <c r="L522" t="s">
        <v>152</v>
      </c>
    </row>
    <row r="523" spans="1:12" x14ac:dyDescent="0.25">
      <c r="A523" t="s">
        <v>608</v>
      </c>
      <c r="B523" s="2">
        <v>8243</v>
      </c>
      <c r="C523" s="2">
        <v>1346</v>
      </c>
      <c r="D523">
        <v>15</v>
      </c>
      <c r="E523" t="s">
        <v>30</v>
      </c>
      <c r="F523" t="s">
        <v>78</v>
      </c>
      <c r="G523" t="s">
        <v>32</v>
      </c>
      <c r="H523" s="1">
        <v>44290</v>
      </c>
      <c r="I523" t="s">
        <v>609</v>
      </c>
      <c r="J523" s="10" t="s">
        <v>71</v>
      </c>
      <c r="K523" t="s">
        <v>138</v>
      </c>
      <c r="L523" t="s">
        <v>139</v>
      </c>
    </row>
    <row r="524" spans="1:12" x14ac:dyDescent="0.25">
      <c r="A524" t="s">
        <v>610</v>
      </c>
      <c r="B524" s="2">
        <v>7792</v>
      </c>
      <c r="C524" s="2">
        <v>1403</v>
      </c>
      <c r="D524">
        <v>13</v>
      </c>
      <c r="E524" t="s">
        <v>30</v>
      </c>
      <c r="F524" t="s">
        <v>64</v>
      </c>
      <c r="G524" t="s">
        <v>15</v>
      </c>
      <c r="H524" s="1">
        <v>44239</v>
      </c>
      <c r="I524" t="s">
        <v>611</v>
      </c>
      <c r="J524" s="10" t="s">
        <v>21</v>
      </c>
      <c r="K524" t="s">
        <v>172</v>
      </c>
      <c r="L524" t="s">
        <v>292</v>
      </c>
    </row>
    <row r="525" spans="1:12" x14ac:dyDescent="0.25">
      <c r="A525" t="s">
        <v>610</v>
      </c>
      <c r="B525" s="2">
        <v>7792</v>
      </c>
      <c r="C525" s="2">
        <v>1403</v>
      </c>
      <c r="D525">
        <v>13</v>
      </c>
      <c r="E525" t="s">
        <v>30</v>
      </c>
      <c r="F525" t="s">
        <v>64</v>
      </c>
      <c r="G525" t="s">
        <v>15</v>
      </c>
      <c r="H525" s="1">
        <v>44922</v>
      </c>
      <c r="I525" t="s">
        <v>612</v>
      </c>
      <c r="J525" s="10" t="s">
        <v>25</v>
      </c>
      <c r="K525" t="s">
        <v>68</v>
      </c>
      <c r="L525" t="s">
        <v>152</v>
      </c>
    </row>
    <row r="526" spans="1:12" x14ac:dyDescent="0.25">
      <c r="A526" t="s">
        <v>610</v>
      </c>
      <c r="B526" s="2">
        <v>7792</v>
      </c>
      <c r="C526" s="2">
        <v>1403</v>
      </c>
      <c r="D526">
        <v>13</v>
      </c>
      <c r="E526" t="s">
        <v>30</v>
      </c>
      <c r="F526" t="s">
        <v>64</v>
      </c>
      <c r="G526" t="s">
        <v>15</v>
      </c>
      <c r="H526" s="1">
        <v>45310</v>
      </c>
      <c r="I526" t="s">
        <v>613</v>
      </c>
      <c r="J526" s="10" t="s">
        <v>42</v>
      </c>
      <c r="K526" t="s">
        <v>75</v>
      </c>
      <c r="L526" t="s">
        <v>76</v>
      </c>
    </row>
    <row r="527" spans="1:12" x14ac:dyDescent="0.25">
      <c r="A527" t="s">
        <v>610</v>
      </c>
      <c r="B527" s="2">
        <v>2346</v>
      </c>
      <c r="C527" s="2">
        <v>388</v>
      </c>
      <c r="D527">
        <v>14</v>
      </c>
      <c r="E527" t="s">
        <v>45</v>
      </c>
      <c r="F527" t="s">
        <v>49</v>
      </c>
      <c r="G527" t="s">
        <v>32</v>
      </c>
      <c r="H527" s="1">
        <v>44239</v>
      </c>
      <c r="I527" t="s">
        <v>611</v>
      </c>
      <c r="J527" s="10" t="s">
        <v>21</v>
      </c>
      <c r="K527" t="s">
        <v>172</v>
      </c>
      <c r="L527" t="s">
        <v>292</v>
      </c>
    </row>
    <row r="528" spans="1:12" x14ac:dyDescent="0.25">
      <c r="A528" t="s">
        <v>610</v>
      </c>
      <c r="B528" s="2">
        <v>2346</v>
      </c>
      <c r="C528" s="2">
        <v>388</v>
      </c>
      <c r="D528">
        <v>14</v>
      </c>
      <c r="E528" t="s">
        <v>45</v>
      </c>
      <c r="F528" t="s">
        <v>49</v>
      </c>
      <c r="G528" t="s">
        <v>32</v>
      </c>
      <c r="H528" s="1">
        <v>44922</v>
      </c>
      <c r="I528" t="s">
        <v>612</v>
      </c>
      <c r="J528" s="10" t="s">
        <v>25</v>
      </c>
      <c r="K528" t="s">
        <v>68</v>
      </c>
      <c r="L528" t="s">
        <v>152</v>
      </c>
    </row>
    <row r="529" spans="1:12" x14ac:dyDescent="0.25">
      <c r="A529" t="s">
        <v>610</v>
      </c>
      <c r="B529" s="2">
        <v>2346</v>
      </c>
      <c r="C529" s="2">
        <v>388</v>
      </c>
      <c r="D529">
        <v>14</v>
      </c>
      <c r="E529" t="s">
        <v>45</v>
      </c>
      <c r="F529" t="s">
        <v>49</v>
      </c>
      <c r="G529" t="s">
        <v>32</v>
      </c>
      <c r="H529" s="1">
        <v>45310</v>
      </c>
      <c r="I529" t="s">
        <v>613</v>
      </c>
      <c r="J529" s="10" t="s">
        <v>42</v>
      </c>
      <c r="K529" t="s">
        <v>75</v>
      </c>
      <c r="L529" t="s">
        <v>76</v>
      </c>
    </row>
    <row r="530" spans="1:12" x14ac:dyDescent="0.25">
      <c r="A530" t="s">
        <v>614</v>
      </c>
      <c r="B530" s="2">
        <v>7346</v>
      </c>
      <c r="C530" s="2">
        <v>1043</v>
      </c>
      <c r="D530">
        <v>10</v>
      </c>
      <c r="E530" t="s">
        <v>45</v>
      </c>
      <c r="F530" t="s">
        <v>60</v>
      </c>
      <c r="G530" t="s">
        <v>47</v>
      </c>
      <c r="H530" s="1">
        <v>44920</v>
      </c>
      <c r="I530" t="s">
        <v>615</v>
      </c>
      <c r="J530" s="10" t="s">
        <v>98</v>
      </c>
      <c r="K530" t="s">
        <v>99</v>
      </c>
      <c r="L530" t="s">
        <v>152</v>
      </c>
    </row>
    <row r="531" spans="1:12" x14ac:dyDescent="0.25">
      <c r="A531" t="s">
        <v>614</v>
      </c>
      <c r="B531" s="2">
        <v>9770</v>
      </c>
      <c r="C531" s="2">
        <v>4132</v>
      </c>
      <c r="D531">
        <v>7</v>
      </c>
      <c r="E531" t="s">
        <v>13</v>
      </c>
      <c r="F531" t="s">
        <v>14</v>
      </c>
      <c r="G531" t="s">
        <v>15</v>
      </c>
      <c r="H531" s="1">
        <v>44920</v>
      </c>
      <c r="I531" t="s">
        <v>615</v>
      </c>
      <c r="J531" s="10" t="s">
        <v>98</v>
      </c>
      <c r="K531" t="s">
        <v>99</v>
      </c>
      <c r="L531" t="s">
        <v>152</v>
      </c>
    </row>
    <row r="532" spans="1:12" x14ac:dyDescent="0.25">
      <c r="A532" t="s">
        <v>614</v>
      </c>
      <c r="B532" s="2">
        <v>7179</v>
      </c>
      <c r="C532" s="2">
        <v>683</v>
      </c>
      <c r="D532">
        <v>13</v>
      </c>
      <c r="E532" t="s">
        <v>13</v>
      </c>
      <c r="F532" t="s">
        <v>39</v>
      </c>
      <c r="G532" t="s">
        <v>47</v>
      </c>
      <c r="H532" s="1">
        <v>44920</v>
      </c>
      <c r="I532" t="s">
        <v>615</v>
      </c>
      <c r="J532" s="10" t="s">
        <v>98</v>
      </c>
      <c r="K532" t="s">
        <v>99</v>
      </c>
      <c r="L532" t="s">
        <v>152</v>
      </c>
    </row>
    <row r="533" spans="1:12" x14ac:dyDescent="0.25">
      <c r="A533" t="s">
        <v>616</v>
      </c>
      <c r="B533" s="2">
        <v>5449</v>
      </c>
      <c r="C533" s="2">
        <v>2389</v>
      </c>
      <c r="D533">
        <v>2</v>
      </c>
      <c r="E533" t="s">
        <v>13</v>
      </c>
      <c r="F533" t="s">
        <v>82</v>
      </c>
      <c r="G533" t="s">
        <v>15</v>
      </c>
      <c r="H533" s="1">
        <v>44840</v>
      </c>
      <c r="I533" t="s">
        <v>617</v>
      </c>
      <c r="J533" s="10" t="s">
        <v>17</v>
      </c>
      <c r="K533" t="s">
        <v>18</v>
      </c>
      <c r="L533" t="s">
        <v>96</v>
      </c>
    </row>
    <row r="534" spans="1:12" x14ac:dyDescent="0.25">
      <c r="A534" t="s">
        <v>618</v>
      </c>
      <c r="B534" s="2">
        <v>2895</v>
      </c>
      <c r="C534" s="2">
        <v>104</v>
      </c>
      <c r="D534">
        <v>6</v>
      </c>
      <c r="E534" t="s">
        <v>45</v>
      </c>
      <c r="F534" t="s">
        <v>49</v>
      </c>
      <c r="G534" t="s">
        <v>65</v>
      </c>
      <c r="H534" s="1">
        <v>43948</v>
      </c>
      <c r="I534" t="s">
        <v>619</v>
      </c>
      <c r="J534" s="10" t="s">
        <v>25</v>
      </c>
      <c r="K534" t="s">
        <v>26</v>
      </c>
      <c r="L534" t="s">
        <v>162</v>
      </c>
    </row>
    <row r="535" spans="1:12" x14ac:dyDescent="0.25">
      <c r="A535" t="s">
        <v>618</v>
      </c>
      <c r="B535" s="2">
        <v>2895</v>
      </c>
      <c r="C535" s="2">
        <v>104</v>
      </c>
      <c r="D535">
        <v>6</v>
      </c>
      <c r="E535" t="s">
        <v>45</v>
      </c>
      <c r="F535" t="s">
        <v>49</v>
      </c>
      <c r="G535" t="s">
        <v>65</v>
      </c>
      <c r="H535" s="1">
        <v>45425</v>
      </c>
      <c r="I535" t="s">
        <v>620</v>
      </c>
      <c r="J535" s="10" t="s">
        <v>71</v>
      </c>
      <c r="K535" t="s">
        <v>138</v>
      </c>
      <c r="L535" t="s">
        <v>35</v>
      </c>
    </row>
    <row r="536" spans="1:12" x14ac:dyDescent="0.25">
      <c r="A536" t="s">
        <v>618</v>
      </c>
      <c r="B536" s="2">
        <v>697</v>
      </c>
      <c r="C536" s="2">
        <v>116</v>
      </c>
      <c r="D536">
        <v>1</v>
      </c>
      <c r="E536" t="s">
        <v>45</v>
      </c>
      <c r="F536" t="s">
        <v>49</v>
      </c>
      <c r="G536" t="s">
        <v>15</v>
      </c>
      <c r="H536" s="1">
        <v>43948</v>
      </c>
      <c r="I536" t="s">
        <v>619</v>
      </c>
      <c r="J536" s="10" t="s">
        <v>25</v>
      </c>
      <c r="K536" t="s">
        <v>26</v>
      </c>
      <c r="L536" t="s">
        <v>162</v>
      </c>
    </row>
    <row r="537" spans="1:12" x14ac:dyDescent="0.25">
      <c r="A537" t="s">
        <v>618</v>
      </c>
      <c r="B537" s="2">
        <v>697</v>
      </c>
      <c r="C537" s="2">
        <v>116</v>
      </c>
      <c r="D537">
        <v>1</v>
      </c>
      <c r="E537" t="s">
        <v>45</v>
      </c>
      <c r="F537" t="s">
        <v>49</v>
      </c>
      <c r="G537" t="s">
        <v>15</v>
      </c>
      <c r="H537" s="1">
        <v>45425</v>
      </c>
      <c r="I537" t="s">
        <v>620</v>
      </c>
      <c r="J537" s="10" t="s">
        <v>71</v>
      </c>
      <c r="K537" t="s">
        <v>138</v>
      </c>
      <c r="L537" t="s">
        <v>35</v>
      </c>
    </row>
    <row r="538" spans="1:12" x14ac:dyDescent="0.25">
      <c r="A538" t="s">
        <v>621</v>
      </c>
      <c r="B538" s="2">
        <v>6145</v>
      </c>
      <c r="C538" s="2">
        <v>1414</v>
      </c>
      <c r="D538">
        <v>4</v>
      </c>
      <c r="E538" t="s">
        <v>45</v>
      </c>
      <c r="F538" t="s">
        <v>49</v>
      </c>
      <c r="G538" t="s">
        <v>65</v>
      </c>
      <c r="H538" s="1">
        <v>44127</v>
      </c>
      <c r="I538" t="s">
        <v>622</v>
      </c>
      <c r="J538" s="10" t="s">
        <v>42</v>
      </c>
      <c r="K538" t="s">
        <v>43</v>
      </c>
      <c r="L538" t="s">
        <v>119</v>
      </c>
    </row>
    <row r="539" spans="1:12" x14ac:dyDescent="0.25">
      <c r="A539" t="s">
        <v>621</v>
      </c>
      <c r="B539" s="2">
        <v>2504</v>
      </c>
      <c r="C539" s="2">
        <v>440</v>
      </c>
      <c r="D539">
        <v>18</v>
      </c>
      <c r="E539" t="s">
        <v>13</v>
      </c>
      <c r="F539" t="s">
        <v>28</v>
      </c>
      <c r="G539" t="s">
        <v>15</v>
      </c>
      <c r="H539" s="1">
        <v>44127</v>
      </c>
      <c r="I539" t="s">
        <v>622</v>
      </c>
      <c r="J539" s="10" t="s">
        <v>42</v>
      </c>
      <c r="K539" t="s">
        <v>43</v>
      </c>
      <c r="L539" t="s">
        <v>119</v>
      </c>
    </row>
    <row r="540" spans="1:12" x14ac:dyDescent="0.25">
      <c r="A540" t="s">
        <v>621</v>
      </c>
      <c r="B540" s="2">
        <v>3124</v>
      </c>
      <c r="C540" s="2">
        <v>138</v>
      </c>
      <c r="D540">
        <v>16</v>
      </c>
      <c r="E540" t="s">
        <v>13</v>
      </c>
      <c r="F540" t="s">
        <v>82</v>
      </c>
      <c r="G540" t="s">
        <v>32</v>
      </c>
      <c r="H540" s="1">
        <v>44127</v>
      </c>
      <c r="I540" t="s">
        <v>622</v>
      </c>
      <c r="J540" s="10" t="s">
        <v>42</v>
      </c>
      <c r="K540" t="s">
        <v>43</v>
      </c>
      <c r="L540" t="s">
        <v>119</v>
      </c>
    </row>
    <row r="541" spans="1:12" x14ac:dyDescent="0.25">
      <c r="A541" t="s">
        <v>623</v>
      </c>
      <c r="B541" s="2">
        <v>6934</v>
      </c>
      <c r="C541" s="2">
        <v>1226</v>
      </c>
      <c r="D541">
        <v>1</v>
      </c>
      <c r="E541" t="s">
        <v>13</v>
      </c>
      <c r="F541" t="s">
        <v>14</v>
      </c>
      <c r="G541" t="s">
        <v>32</v>
      </c>
      <c r="H541" s="1">
        <v>44358</v>
      </c>
      <c r="I541" t="s">
        <v>624</v>
      </c>
      <c r="J541" s="10" t="s">
        <v>98</v>
      </c>
      <c r="K541" t="s">
        <v>107</v>
      </c>
      <c r="L541" t="s">
        <v>125</v>
      </c>
    </row>
    <row r="542" spans="1:12" x14ac:dyDescent="0.25">
      <c r="A542" t="s">
        <v>623</v>
      </c>
      <c r="B542" s="2">
        <v>6934</v>
      </c>
      <c r="C542" s="2">
        <v>1226</v>
      </c>
      <c r="D542">
        <v>1</v>
      </c>
      <c r="E542" t="s">
        <v>13</v>
      </c>
      <c r="F542" t="s">
        <v>14</v>
      </c>
      <c r="G542" t="s">
        <v>32</v>
      </c>
      <c r="H542" s="1">
        <v>44447</v>
      </c>
      <c r="I542" t="s">
        <v>595</v>
      </c>
      <c r="J542" s="10" t="s">
        <v>25</v>
      </c>
      <c r="K542" t="s">
        <v>68</v>
      </c>
      <c r="L542" t="s">
        <v>224</v>
      </c>
    </row>
    <row r="543" spans="1:12" x14ac:dyDescent="0.25">
      <c r="A543" t="s">
        <v>625</v>
      </c>
      <c r="B543" s="2">
        <v>4202</v>
      </c>
      <c r="C543" s="2">
        <v>1171</v>
      </c>
      <c r="D543">
        <v>3</v>
      </c>
      <c r="E543" t="s">
        <v>30</v>
      </c>
      <c r="F543" t="s">
        <v>57</v>
      </c>
      <c r="G543" t="s">
        <v>65</v>
      </c>
      <c r="H543" s="1">
        <v>44888</v>
      </c>
      <c r="I543" t="s">
        <v>626</v>
      </c>
      <c r="J543" s="10" t="s">
        <v>21</v>
      </c>
      <c r="K543" t="s">
        <v>172</v>
      </c>
      <c r="L543" t="s">
        <v>44</v>
      </c>
    </row>
    <row r="544" spans="1:12" x14ac:dyDescent="0.25">
      <c r="A544" t="s">
        <v>625</v>
      </c>
      <c r="B544" s="2">
        <v>4202</v>
      </c>
      <c r="C544" s="2">
        <v>1171</v>
      </c>
      <c r="D544">
        <v>3</v>
      </c>
      <c r="E544" t="s">
        <v>30</v>
      </c>
      <c r="F544" t="s">
        <v>57</v>
      </c>
      <c r="G544" t="s">
        <v>65</v>
      </c>
      <c r="H544" s="1">
        <v>44865</v>
      </c>
      <c r="I544" t="s">
        <v>627</v>
      </c>
      <c r="J544" s="10" t="s">
        <v>25</v>
      </c>
      <c r="K544" t="s">
        <v>68</v>
      </c>
      <c r="L544" t="s">
        <v>96</v>
      </c>
    </row>
    <row r="545" spans="1:12" x14ac:dyDescent="0.25">
      <c r="A545" t="s">
        <v>625</v>
      </c>
      <c r="B545" s="2">
        <v>4202</v>
      </c>
      <c r="C545" s="2">
        <v>1171</v>
      </c>
      <c r="D545">
        <v>3</v>
      </c>
      <c r="E545" t="s">
        <v>30</v>
      </c>
      <c r="F545" t="s">
        <v>57</v>
      </c>
      <c r="G545" t="s">
        <v>65</v>
      </c>
      <c r="H545" s="1">
        <v>45236</v>
      </c>
      <c r="I545" t="s">
        <v>628</v>
      </c>
      <c r="J545" s="10" t="s">
        <v>17</v>
      </c>
      <c r="K545" t="s">
        <v>150</v>
      </c>
      <c r="L545" t="s">
        <v>52</v>
      </c>
    </row>
    <row r="546" spans="1:12" x14ac:dyDescent="0.25">
      <c r="A546" t="s">
        <v>625</v>
      </c>
      <c r="B546" s="2">
        <v>4202</v>
      </c>
      <c r="C546" s="2">
        <v>1171</v>
      </c>
      <c r="D546">
        <v>3</v>
      </c>
      <c r="E546" t="s">
        <v>30</v>
      </c>
      <c r="F546" t="s">
        <v>57</v>
      </c>
      <c r="G546" t="s">
        <v>65</v>
      </c>
      <c r="H546" s="1">
        <v>45242</v>
      </c>
      <c r="I546" t="s">
        <v>629</v>
      </c>
      <c r="J546" s="10" t="s">
        <v>71</v>
      </c>
      <c r="K546" t="s">
        <v>138</v>
      </c>
      <c r="L546" t="s">
        <v>52</v>
      </c>
    </row>
    <row r="547" spans="1:12" x14ac:dyDescent="0.25">
      <c r="A547" t="s">
        <v>630</v>
      </c>
      <c r="B547" s="2">
        <v>2239</v>
      </c>
      <c r="C547" s="2">
        <v>828</v>
      </c>
      <c r="D547">
        <v>1</v>
      </c>
      <c r="E547" t="s">
        <v>13</v>
      </c>
      <c r="F547" t="s">
        <v>28</v>
      </c>
      <c r="G547" t="s">
        <v>15</v>
      </c>
      <c r="H547" s="1">
        <v>45103</v>
      </c>
      <c r="I547" t="s">
        <v>631</v>
      </c>
      <c r="J547" s="10" t="s">
        <v>42</v>
      </c>
      <c r="K547" t="s">
        <v>43</v>
      </c>
      <c r="L547" t="s">
        <v>19</v>
      </c>
    </row>
    <row r="548" spans="1:12" x14ac:dyDescent="0.25">
      <c r="A548" t="s">
        <v>630</v>
      </c>
      <c r="B548" s="2">
        <v>2239</v>
      </c>
      <c r="C548" s="2">
        <v>828</v>
      </c>
      <c r="D548">
        <v>1</v>
      </c>
      <c r="E548" t="s">
        <v>13</v>
      </c>
      <c r="F548" t="s">
        <v>28</v>
      </c>
      <c r="G548" t="s">
        <v>15</v>
      </c>
      <c r="H548" s="1">
        <v>45199</v>
      </c>
      <c r="I548" t="s">
        <v>632</v>
      </c>
      <c r="J548" s="10" t="s">
        <v>21</v>
      </c>
      <c r="K548" t="s">
        <v>22</v>
      </c>
      <c r="L548" t="s">
        <v>273</v>
      </c>
    </row>
    <row r="549" spans="1:12" x14ac:dyDescent="0.25">
      <c r="A549" t="s">
        <v>630</v>
      </c>
      <c r="B549" s="2">
        <v>2450</v>
      </c>
      <c r="C549" s="2">
        <v>1002</v>
      </c>
      <c r="D549">
        <v>4</v>
      </c>
      <c r="E549" t="s">
        <v>13</v>
      </c>
      <c r="F549" t="s">
        <v>82</v>
      </c>
      <c r="G549" t="s">
        <v>32</v>
      </c>
      <c r="H549" s="1">
        <v>45103</v>
      </c>
      <c r="I549" t="s">
        <v>631</v>
      </c>
      <c r="J549" s="10" t="s">
        <v>42</v>
      </c>
      <c r="K549" t="s">
        <v>43</v>
      </c>
      <c r="L549" t="s">
        <v>19</v>
      </c>
    </row>
    <row r="550" spans="1:12" x14ac:dyDescent="0.25">
      <c r="A550" t="s">
        <v>630</v>
      </c>
      <c r="B550" s="2">
        <v>2450</v>
      </c>
      <c r="C550" s="2">
        <v>1002</v>
      </c>
      <c r="D550">
        <v>4</v>
      </c>
      <c r="E550" t="s">
        <v>13</v>
      </c>
      <c r="F550" t="s">
        <v>82</v>
      </c>
      <c r="G550" t="s">
        <v>32</v>
      </c>
      <c r="H550" s="1">
        <v>45199</v>
      </c>
      <c r="I550" t="s">
        <v>632</v>
      </c>
      <c r="J550" s="10" t="s">
        <v>21</v>
      </c>
      <c r="K550" t="s">
        <v>22</v>
      </c>
      <c r="L550" t="s">
        <v>273</v>
      </c>
    </row>
    <row r="551" spans="1:12" x14ac:dyDescent="0.25">
      <c r="A551" t="s">
        <v>633</v>
      </c>
      <c r="B551" s="2">
        <v>9827</v>
      </c>
      <c r="C551" s="2">
        <v>4208</v>
      </c>
      <c r="D551">
        <v>13</v>
      </c>
      <c r="E551" t="s">
        <v>45</v>
      </c>
      <c r="F551" t="s">
        <v>49</v>
      </c>
      <c r="G551" t="s">
        <v>32</v>
      </c>
      <c r="H551" s="1">
        <v>44086</v>
      </c>
      <c r="I551" t="s">
        <v>634</v>
      </c>
      <c r="J551" s="10" t="s">
        <v>25</v>
      </c>
      <c r="K551" t="s">
        <v>51</v>
      </c>
      <c r="L551" t="s">
        <v>389</v>
      </c>
    </row>
    <row r="552" spans="1:12" x14ac:dyDescent="0.25">
      <c r="A552" t="s">
        <v>633</v>
      </c>
      <c r="B552" s="2">
        <v>8077</v>
      </c>
      <c r="C552" s="2">
        <v>240</v>
      </c>
      <c r="D552">
        <v>15</v>
      </c>
      <c r="E552" t="s">
        <v>45</v>
      </c>
      <c r="F552" t="s">
        <v>60</v>
      </c>
      <c r="G552" t="s">
        <v>47</v>
      </c>
      <c r="H552" s="1">
        <v>44086</v>
      </c>
      <c r="I552" t="s">
        <v>634</v>
      </c>
      <c r="J552" s="10" t="s">
        <v>25</v>
      </c>
      <c r="K552" t="s">
        <v>51</v>
      </c>
      <c r="L552" t="s">
        <v>389</v>
      </c>
    </row>
    <row r="553" spans="1:12" x14ac:dyDescent="0.25">
      <c r="A553" t="s">
        <v>635</v>
      </c>
      <c r="B553" s="2">
        <v>5152</v>
      </c>
      <c r="C553" s="2">
        <v>2045</v>
      </c>
      <c r="D553">
        <v>14</v>
      </c>
      <c r="E553" t="s">
        <v>13</v>
      </c>
      <c r="F553" t="s">
        <v>82</v>
      </c>
      <c r="G553" t="s">
        <v>15</v>
      </c>
      <c r="H553" s="1">
        <v>44162</v>
      </c>
      <c r="I553" t="s">
        <v>636</v>
      </c>
      <c r="J553" s="10" t="s">
        <v>21</v>
      </c>
      <c r="K553" t="s">
        <v>63</v>
      </c>
      <c r="L553" t="s">
        <v>80</v>
      </c>
    </row>
    <row r="554" spans="1:12" x14ac:dyDescent="0.25">
      <c r="A554" t="s">
        <v>635</v>
      </c>
      <c r="B554" s="2">
        <v>5152</v>
      </c>
      <c r="C554" s="2">
        <v>2045</v>
      </c>
      <c r="D554">
        <v>14</v>
      </c>
      <c r="E554" t="s">
        <v>13</v>
      </c>
      <c r="F554" t="s">
        <v>82</v>
      </c>
      <c r="G554" t="s">
        <v>15</v>
      </c>
      <c r="H554" s="1">
        <v>44798</v>
      </c>
      <c r="I554" t="s">
        <v>637</v>
      </c>
      <c r="J554" s="10" t="s">
        <v>42</v>
      </c>
      <c r="K554" t="s">
        <v>43</v>
      </c>
      <c r="L554" t="s">
        <v>209</v>
      </c>
    </row>
    <row r="555" spans="1:12" x14ac:dyDescent="0.25">
      <c r="A555" t="s">
        <v>635</v>
      </c>
      <c r="B555" s="2">
        <v>5152</v>
      </c>
      <c r="C555" s="2">
        <v>2045</v>
      </c>
      <c r="D555">
        <v>14</v>
      </c>
      <c r="E555" t="s">
        <v>13</v>
      </c>
      <c r="F555" t="s">
        <v>82</v>
      </c>
      <c r="G555" t="s">
        <v>15</v>
      </c>
      <c r="H555" s="1">
        <v>45161</v>
      </c>
      <c r="I555" t="s">
        <v>638</v>
      </c>
      <c r="J555" s="10" t="s">
        <v>21</v>
      </c>
      <c r="K555" t="s">
        <v>22</v>
      </c>
      <c r="L555" t="s">
        <v>121</v>
      </c>
    </row>
    <row r="556" spans="1:12" x14ac:dyDescent="0.25">
      <c r="A556" t="s">
        <v>635</v>
      </c>
      <c r="B556" s="2">
        <v>5152</v>
      </c>
      <c r="C556" s="2">
        <v>2045</v>
      </c>
      <c r="D556">
        <v>14</v>
      </c>
      <c r="E556" t="s">
        <v>13</v>
      </c>
      <c r="F556" t="s">
        <v>82</v>
      </c>
      <c r="G556" t="s">
        <v>15</v>
      </c>
      <c r="H556" s="1">
        <v>45210</v>
      </c>
      <c r="I556" t="s">
        <v>639</v>
      </c>
      <c r="J556" s="10" t="s">
        <v>25</v>
      </c>
      <c r="K556" t="s">
        <v>68</v>
      </c>
      <c r="L556" t="s">
        <v>442</v>
      </c>
    </row>
    <row r="557" spans="1:12" x14ac:dyDescent="0.25">
      <c r="A557" t="s">
        <v>640</v>
      </c>
      <c r="B557" s="2">
        <v>2542</v>
      </c>
      <c r="C557" s="2">
        <v>190</v>
      </c>
      <c r="D557">
        <v>1</v>
      </c>
      <c r="E557" t="s">
        <v>30</v>
      </c>
      <c r="F557" t="s">
        <v>57</v>
      </c>
      <c r="G557" t="s">
        <v>47</v>
      </c>
      <c r="H557" s="1">
        <v>44672</v>
      </c>
      <c r="I557" t="s">
        <v>641</v>
      </c>
      <c r="J557" s="10" t="s">
        <v>71</v>
      </c>
      <c r="K557" t="s">
        <v>138</v>
      </c>
      <c r="L557" t="s">
        <v>187</v>
      </c>
    </row>
    <row r="558" spans="1:12" x14ac:dyDescent="0.25">
      <c r="A558" t="s">
        <v>642</v>
      </c>
      <c r="B558" s="2">
        <v>8102</v>
      </c>
      <c r="C558" s="2">
        <v>1800</v>
      </c>
      <c r="D558">
        <v>5</v>
      </c>
      <c r="E558" t="s">
        <v>30</v>
      </c>
      <c r="F558" t="s">
        <v>57</v>
      </c>
      <c r="G558" t="s">
        <v>15</v>
      </c>
      <c r="H558" s="1">
        <v>45183</v>
      </c>
      <c r="I558" t="s">
        <v>643</v>
      </c>
      <c r="J558" s="10" t="s">
        <v>42</v>
      </c>
      <c r="K558" t="s">
        <v>92</v>
      </c>
      <c r="L558" t="s">
        <v>273</v>
      </c>
    </row>
    <row r="559" spans="1:12" x14ac:dyDescent="0.25">
      <c r="A559" t="s">
        <v>642</v>
      </c>
      <c r="B559" s="2">
        <v>8102</v>
      </c>
      <c r="C559" s="2">
        <v>1800</v>
      </c>
      <c r="D559">
        <v>5</v>
      </c>
      <c r="E559" t="s">
        <v>30</v>
      </c>
      <c r="F559" t="s">
        <v>57</v>
      </c>
      <c r="G559" t="s">
        <v>15</v>
      </c>
      <c r="H559" s="1">
        <v>43950</v>
      </c>
      <c r="I559" t="s">
        <v>644</v>
      </c>
      <c r="J559" s="10" t="s">
        <v>25</v>
      </c>
      <c r="K559" t="s">
        <v>26</v>
      </c>
      <c r="L559" t="s">
        <v>162</v>
      </c>
    </row>
    <row r="560" spans="1:12" x14ac:dyDescent="0.25">
      <c r="A560" t="s">
        <v>642</v>
      </c>
      <c r="B560" s="2">
        <v>8102</v>
      </c>
      <c r="C560" s="2">
        <v>1800</v>
      </c>
      <c r="D560">
        <v>5</v>
      </c>
      <c r="E560" t="s">
        <v>30</v>
      </c>
      <c r="F560" t="s">
        <v>57</v>
      </c>
      <c r="G560" t="s">
        <v>15</v>
      </c>
      <c r="H560" s="1">
        <v>44180</v>
      </c>
      <c r="I560" t="s">
        <v>645</v>
      </c>
      <c r="J560" s="10" t="s">
        <v>98</v>
      </c>
      <c r="K560" t="s">
        <v>117</v>
      </c>
      <c r="L560" t="s">
        <v>287</v>
      </c>
    </row>
    <row r="561" spans="1:12" x14ac:dyDescent="0.25">
      <c r="A561" t="s">
        <v>642</v>
      </c>
      <c r="B561" s="2">
        <v>3234</v>
      </c>
      <c r="C561" s="2">
        <v>1274</v>
      </c>
      <c r="D561">
        <v>10</v>
      </c>
      <c r="E561" t="s">
        <v>45</v>
      </c>
      <c r="F561" t="s">
        <v>46</v>
      </c>
      <c r="G561" t="s">
        <v>40</v>
      </c>
      <c r="H561" s="1">
        <v>45183</v>
      </c>
      <c r="I561" t="s">
        <v>643</v>
      </c>
      <c r="J561" s="10" t="s">
        <v>42</v>
      </c>
      <c r="K561" t="s">
        <v>92</v>
      </c>
      <c r="L561" t="s">
        <v>273</v>
      </c>
    </row>
    <row r="562" spans="1:12" x14ac:dyDescent="0.25">
      <c r="A562" t="s">
        <v>642</v>
      </c>
      <c r="B562" s="2">
        <v>3234</v>
      </c>
      <c r="C562" s="2">
        <v>1274</v>
      </c>
      <c r="D562">
        <v>10</v>
      </c>
      <c r="E562" t="s">
        <v>45</v>
      </c>
      <c r="F562" t="s">
        <v>46</v>
      </c>
      <c r="G562" t="s">
        <v>40</v>
      </c>
      <c r="H562" s="1">
        <v>43950</v>
      </c>
      <c r="I562" t="s">
        <v>644</v>
      </c>
      <c r="J562" s="10" t="s">
        <v>25</v>
      </c>
      <c r="K562" t="s">
        <v>26</v>
      </c>
      <c r="L562" t="s">
        <v>162</v>
      </c>
    </row>
    <row r="563" spans="1:12" x14ac:dyDescent="0.25">
      <c r="A563" t="s">
        <v>642</v>
      </c>
      <c r="B563" s="2">
        <v>3234</v>
      </c>
      <c r="C563" s="2">
        <v>1274</v>
      </c>
      <c r="D563">
        <v>10</v>
      </c>
      <c r="E563" t="s">
        <v>45</v>
      </c>
      <c r="F563" t="s">
        <v>46</v>
      </c>
      <c r="G563" t="s">
        <v>40</v>
      </c>
      <c r="H563" s="1">
        <v>44180</v>
      </c>
      <c r="I563" t="s">
        <v>645</v>
      </c>
      <c r="J563" s="10" t="s">
        <v>98</v>
      </c>
      <c r="K563" t="s">
        <v>117</v>
      </c>
      <c r="L563" t="s">
        <v>287</v>
      </c>
    </row>
    <row r="564" spans="1:12" x14ac:dyDescent="0.25">
      <c r="A564" t="s">
        <v>646</v>
      </c>
      <c r="B564" s="2">
        <v>6200</v>
      </c>
      <c r="C564" s="2">
        <v>2321</v>
      </c>
      <c r="D564">
        <v>18</v>
      </c>
      <c r="E564" t="s">
        <v>45</v>
      </c>
      <c r="F564" t="s">
        <v>46</v>
      </c>
      <c r="G564" t="s">
        <v>47</v>
      </c>
      <c r="H564" s="1">
        <v>45484</v>
      </c>
      <c r="I564" t="s">
        <v>647</v>
      </c>
      <c r="J564" s="10" t="s">
        <v>42</v>
      </c>
      <c r="K564" t="s">
        <v>43</v>
      </c>
      <c r="L564" t="s">
        <v>215</v>
      </c>
    </row>
    <row r="565" spans="1:12" x14ac:dyDescent="0.25">
      <c r="A565" t="s">
        <v>646</v>
      </c>
      <c r="B565" s="2">
        <v>6200</v>
      </c>
      <c r="C565" s="2">
        <v>2321</v>
      </c>
      <c r="D565">
        <v>18</v>
      </c>
      <c r="E565" t="s">
        <v>45</v>
      </c>
      <c r="F565" t="s">
        <v>46</v>
      </c>
      <c r="G565" t="s">
        <v>47</v>
      </c>
      <c r="H565" s="1">
        <v>45556</v>
      </c>
      <c r="I565" t="s">
        <v>648</v>
      </c>
      <c r="J565" s="10" t="s">
        <v>17</v>
      </c>
      <c r="K565" t="s">
        <v>18</v>
      </c>
      <c r="L565" t="s">
        <v>159</v>
      </c>
    </row>
    <row r="566" spans="1:12" x14ac:dyDescent="0.25">
      <c r="A566" t="s">
        <v>649</v>
      </c>
      <c r="B566" s="2">
        <v>4470</v>
      </c>
      <c r="C566" s="2">
        <v>413</v>
      </c>
      <c r="D566">
        <v>13</v>
      </c>
      <c r="E566" t="s">
        <v>13</v>
      </c>
      <c r="F566" t="s">
        <v>39</v>
      </c>
      <c r="G566" t="s">
        <v>15</v>
      </c>
      <c r="H566" s="1">
        <v>45690</v>
      </c>
      <c r="I566" t="s">
        <v>650</v>
      </c>
      <c r="J566" s="10" t="s">
        <v>42</v>
      </c>
      <c r="K566" t="s">
        <v>43</v>
      </c>
      <c r="L566" t="s">
        <v>73</v>
      </c>
    </row>
    <row r="567" spans="1:12" x14ac:dyDescent="0.25">
      <c r="A567" t="s">
        <v>651</v>
      </c>
      <c r="B567" s="2">
        <v>916</v>
      </c>
      <c r="C567" s="2">
        <v>362</v>
      </c>
      <c r="D567">
        <v>7</v>
      </c>
      <c r="E567" t="s">
        <v>30</v>
      </c>
      <c r="F567" t="s">
        <v>31</v>
      </c>
      <c r="G567" t="s">
        <v>15</v>
      </c>
      <c r="H567" s="1">
        <v>44855</v>
      </c>
      <c r="I567" t="s">
        <v>652</v>
      </c>
      <c r="J567" s="10" t="s">
        <v>21</v>
      </c>
      <c r="K567" t="s">
        <v>63</v>
      </c>
      <c r="L567" t="s">
        <v>96</v>
      </c>
    </row>
    <row r="568" spans="1:12" x14ac:dyDescent="0.25">
      <c r="A568" t="s">
        <v>651</v>
      </c>
      <c r="B568" s="2">
        <v>916</v>
      </c>
      <c r="C568" s="2">
        <v>362</v>
      </c>
      <c r="D568">
        <v>7</v>
      </c>
      <c r="E568" t="s">
        <v>30</v>
      </c>
      <c r="F568" t="s">
        <v>31</v>
      </c>
      <c r="G568" t="s">
        <v>15</v>
      </c>
      <c r="H568" s="1">
        <v>44125</v>
      </c>
      <c r="I568" t="s">
        <v>653</v>
      </c>
      <c r="J568" s="10" t="s">
        <v>42</v>
      </c>
      <c r="K568" t="s">
        <v>92</v>
      </c>
      <c r="L568" t="s">
        <v>119</v>
      </c>
    </row>
    <row r="569" spans="1:12" x14ac:dyDescent="0.25">
      <c r="A569" t="s">
        <v>651</v>
      </c>
      <c r="B569" s="2">
        <v>1165</v>
      </c>
      <c r="C569" s="2">
        <v>302</v>
      </c>
      <c r="D569">
        <v>20</v>
      </c>
      <c r="E569" t="s">
        <v>45</v>
      </c>
      <c r="F569" t="s">
        <v>60</v>
      </c>
      <c r="G569" t="s">
        <v>15</v>
      </c>
      <c r="H569" s="1">
        <v>44855</v>
      </c>
      <c r="I569" t="s">
        <v>652</v>
      </c>
      <c r="J569" s="10" t="s">
        <v>21</v>
      </c>
      <c r="K569" t="s">
        <v>63</v>
      </c>
      <c r="L569" t="s">
        <v>96</v>
      </c>
    </row>
    <row r="570" spans="1:12" x14ac:dyDescent="0.25">
      <c r="A570" t="s">
        <v>651</v>
      </c>
      <c r="B570" s="2">
        <v>1165</v>
      </c>
      <c r="C570" s="2">
        <v>302</v>
      </c>
      <c r="D570">
        <v>20</v>
      </c>
      <c r="E570" t="s">
        <v>45</v>
      </c>
      <c r="F570" t="s">
        <v>60</v>
      </c>
      <c r="G570" t="s">
        <v>15</v>
      </c>
      <c r="H570" s="1">
        <v>44125</v>
      </c>
      <c r="I570" t="s">
        <v>653</v>
      </c>
      <c r="J570" s="10" t="s">
        <v>42</v>
      </c>
      <c r="K570" t="s">
        <v>92</v>
      </c>
      <c r="L570" t="s">
        <v>119</v>
      </c>
    </row>
    <row r="571" spans="1:12" x14ac:dyDescent="0.25">
      <c r="A571" t="s">
        <v>651</v>
      </c>
      <c r="B571" s="2">
        <v>7846</v>
      </c>
      <c r="C571" s="2">
        <v>677</v>
      </c>
      <c r="D571">
        <v>12</v>
      </c>
      <c r="E571" t="s">
        <v>45</v>
      </c>
      <c r="F571" t="s">
        <v>49</v>
      </c>
      <c r="G571" t="s">
        <v>15</v>
      </c>
      <c r="H571" s="1">
        <v>44855</v>
      </c>
      <c r="I571" t="s">
        <v>652</v>
      </c>
      <c r="J571" s="10" t="s">
        <v>21</v>
      </c>
      <c r="K571" t="s">
        <v>63</v>
      </c>
      <c r="L571" t="s">
        <v>96</v>
      </c>
    </row>
    <row r="572" spans="1:12" x14ac:dyDescent="0.25">
      <c r="A572" t="s">
        <v>651</v>
      </c>
      <c r="B572" s="2">
        <v>7846</v>
      </c>
      <c r="C572" s="2">
        <v>677</v>
      </c>
      <c r="D572">
        <v>12</v>
      </c>
      <c r="E572" t="s">
        <v>45</v>
      </c>
      <c r="F572" t="s">
        <v>49</v>
      </c>
      <c r="G572" t="s">
        <v>15</v>
      </c>
      <c r="H572" s="1">
        <v>44125</v>
      </c>
      <c r="I572" t="s">
        <v>653</v>
      </c>
      <c r="J572" s="10" t="s">
        <v>42</v>
      </c>
      <c r="K572" t="s">
        <v>92</v>
      </c>
      <c r="L572" t="s">
        <v>119</v>
      </c>
    </row>
    <row r="573" spans="1:12" x14ac:dyDescent="0.25">
      <c r="A573" t="s">
        <v>654</v>
      </c>
      <c r="B573" s="2">
        <v>3022</v>
      </c>
      <c r="C573" s="2">
        <v>384</v>
      </c>
      <c r="D573">
        <v>1</v>
      </c>
      <c r="E573" t="s">
        <v>30</v>
      </c>
      <c r="F573" t="s">
        <v>31</v>
      </c>
      <c r="G573" t="s">
        <v>47</v>
      </c>
      <c r="H573" s="1">
        <v>44572</v>
      </c>
      <c r="I573" t="s">
        <v>655</v>
      </c>
      <c r="J573" s="10" t="s">
        <v>71</v>
      </c>
      <c r="K573" t="s">
        <v>86</v>
      </c>
      <c r="L573" t="s">
        <v>87</v>
      </c>
    </row>
    <row r="574" spans="1:12" x14ac:dyDescent="0.25">
      <c r="A574" t="s">
        <v>654</v>
      </c>
      <c r="B574" s="2">
        <v>3022</v>
      </c>
      <c r="C574" s="2">
        <v>384</v>
      </c>
      <c r="D574">
        <v>1</v>
      </c>
      <c r="E574" t="s">
        <v>30</v>
      </c>
      <c r="F574" t="s">
        <v>31</v>
      </c>
      <c r="G574" t="s">
        <v>47</v>
      </c>
      <c r="H574" s="1">
        <v>44244</v>
      </c>
      <c r="I574" t="s">
        <v>656</v>
      </c>
      <c r="J574" s="10" t="s">
        <v>21</v>
      </c>
      <c r="K574" t="s">
        <v>22</v>
      </c>
      <c r="L574" t="s">
        <v>292</v>
      </c>
    </row>
    <row r="575" spans="1:12" x14ac:dyDescent="0.25">
      <c r="A575" t="s">
        <v>654</v>
      </c>
      <c r="B575" s="2">
        <v>5266</v>
      </c>
      <c r="C575" s="2">
        <v>1111</v>
      </c>
      <c r="D575">
        <v>13</v>
      </c>
      <c r="E575" t="s">
        <v>13</v>
      </c>
      <c r="F575" t="s">
        <v>14</v>
      </c>
      <c r="G575" t="s">
        <v>32</v>
      </c>
      <c r="H575" s="1">
        <v>44572</v>
      </c>
      <c r="I575" t="s">
        <v>655</v>
      </c>
      <c r="J575" s="10" t="s">
        <v>71</v>
      </c>
      <c r="K575" t="s">
        <v>86</v>
      </c>
      <c r="L575" t="s">
        <v>87</v>
      </c>
    </row>
    <row r="576" spans="1:12" x14ac:dyDescent="0.25">
      <c r="A576" t="s">
        <v>654</v>
      </c>
      <c r="B576" s="2">
        <v>5266</v>
      </c>
      <c r="C576" s="2">
        <v>1111</v>
      </c>
      <c r="D576">
        <v>13</v>
      </c>
      <c r="E576" t="s">
        <v>13</v>
      </c>
      <c r="F576" t="s">
        <v>14</v>
      </c>
      <c r="G576" t="s">
        <v>32</v>
      </c>
      <c r="H576" s="1">
        <v>44244</v>
      </c>
      <c r="I576" t="s">
        <v>656</v>
      </c>
      <c r="J576" s="10" t="s">
        <v>21</v>
      </c>
      <c r="K576" t="s">
        <v>22</v>
      </c>
      <c r="L576" t="s">
        <v>292</v>
      </c>
    </row>
    <row r="577" spans="1:12" x14ac:dyDescent="0.25">
      <c r="A577" t="s">
        <v>657</v>
      </c>
      <c r="B577" s="2">
        <v>4853</v>
      </c>
      <c r="C577" s="2">
        <v>1764</v>
      </c>
      <c r="D577">
        <v>9</v>
      </c>
      <c r="E577" t="s">
        <v>30</v>
      </c>
      <c r="F577" t="s">
        <v>31</v>
      </c>
      <c r="G577" t="s">
        <v>32</v>
      </c>
      <c r="H577" s="1">
        <v>44506</v>
      </c>
      <c r="I577" t="s">
        <v>658</v>
      </c>
      <c r="J577" s="10" t="s">
        <v>17</v>
      </c>
      <c r="K577" t="s">
        <v>34</v>
      </c>
      <c r="L577" t="s">
        <v>175</v>
      </c>
    </row>
    <row r="578" spans="1:12" x14ac:dyDescent="0.25">
      <c r="A578" t="s">
        <v>657</v>
      </c>
      <c r="B578" s="2">
        <v>4853</v>
      </c>
      <c r="C578" s="2">
        <v>1764</v>
      </c>
      <c r="D578">
        <v>9</v>
      </c>
      <c r="E578" t="s">
        <v>30</v>
      </c>
      <c r="F578" t="s">
        <v>31</v>
      </c>
      <c r="G578" t="s">
        <v>32</v>
      </c>
      <c r="H578" s="1">
        <v>44803</v>
      </c>
      <c r="I578" t="s">
        <v>659</v>
      </c>
      <c r="J578" s="10" t="s">
        <v>71</v>
      </c>
      <c r="K578" t="s">
        <v>138</v>
      </c>
      <c r="L578" t="s">
        <v>209</v>
      </c>
    </row>
    <row r="579" spans="1:12" x14ac:dyDescent="0.25">
      <c r="A579" t="s">
        <v>660</v>
      </c>
      <c r="B579" s="2">
        <v>9832</v>
      </c>
      <c r="C579" s="2">
        <v>1270</v>
      </c>
      <c r="D579">
        <v>1</v>
      </c>
      <c r="E579" t="s">
        <v>30</v>
      </c>
      <c r="F579" t="s">
        <v>31</v>
      </c>
      <c r="G579" t="s">
        <v>65</v>
      </c>
      <c r="H579" s="1">
        <v>44841</v>
      </c>
      <c r="I579" t="s">
        <v>661</v>
      </c>
      <c r="J579" s="10" t="s">
        <v>42</v>
      </c>
      <c r="K579" t="s">
        <v>92</v>
      </c>
      <c r="L579" t="s">
        <v>96</v>
      </c>
    </row>
    <row r="580" spans="1:12" x14ac:dyDescent="0.25">
      <c r="A580" t="s">
        <v>660</v>
      </c>
      <c r="B580" s="2">
        <v>796</v>
      </c>
      <c r="C580" s="2">
        <v>153</v>
      </c>
      <c r="D580">
        <v>15</v>
      </c>
      <c r="E580" t="s">
        <v>30</v>
      </c>
      <c r="F580" t="s">
        <v>31</v>
      </c>
      <c r="G580" t="s">
        <v>47</v>
      </c>
      <c r="H580" s="1">
        <v>44841</v>
      </c>
      <c r="I580" t="s">
        <v>661</v>
      </c>
      <c r="J580" s="10" t="s">
        <v>42</v>
      </c>
      <c r="K580" t="s">
        <v>92</v>
      </c>
      <c r="L580" t="s">
        <v>96</v>
      </c>
    </row>
    <row r="581" spans="1:12" x14ac:dyDescent="0.25">
      <c r="A581" t="s">
        <v>662</v>
      </c>
      <c r="B581" s="2">
        <v>883</v>
      </c>
      <c r="C581" s="2">
        <v>127</v>
      </c>
      <c r="D581">
        <v>7</v>
      </c>
      <c r="E581" t="s">
        <v>45</v>
      </c>
      <c r="F581" t="s">
        <v>49</v>
      </c>
      <c r="G581" t="s">
        <v>65</v>
      </c>
      <c r="H581" s="1">
        <v>45081</v>
      </c>
      <c r="I581" t="s">
        <v>663</v>
      </c>
      <c r="J581" s="10" t="s">
        <v>42</v>
      </c>
      <c r="K581" t="s">
        <v>92</v>
      </c>
      <c r="L581" t="s">
        <v>19</v>
      </c>
    </row>
    <row r="582" spans="1:12" x14ac:dyDescent="0.25">
      <c r="A582" t="s">
        <v>662</v>
      </c>
      <c r="B582" s="2">
        <v>4539</v>
      </c>
      <c r="C582" s="2">
        <v>1155</v>
      </c>
      <c r="D582">
        <v>8</v>
      </c>
      <c r="E582" t="s">
        <v>45</v>
      </c>
      <c r="F582" t="s">
        <v>109</v>
      </c>
      <c r="G582" t="s">
        <v>32</v>
      </c>
      <c r="H582" s="1">
        <v>45081</v>
      </c>
      <c r="I582" t="s">
        <v>663</v>
      </c>
      <c r="J582" s="10" t="s">
        <v>42</v>
      </c>
      <c r="K582" t="s">
        <v>92</v>
      </c>
      <c r="L582" t="s">
        <v>19</v>
      </c>
    </row>
    <row r="583" spans="1:12" x14ac:dyDescent="0.25">
      <c r="A583" t="s">
        <v>662</v>
      </c>
      <c r="B583" s="2">
        <v>9659</v>
      </c>
      <c r="C583" s="2">
        <v>2226</v>
      </c>
      <c r="D583">
        <v>16</v>
      </c>
      <c r="E583" t="s">
        <v>30</v>
      </c>
      <c r="F583" t="s">
        <v>78</v>
      </c>
      <c r="G583" t="s">
        <v>32</v>
      </c>
      <c r="H583" s="1">
        <v>45081</v>
      </c>
      <c r="I583" t="s">
        <v>663</v>
      </c>
      <c r="J583" s="10" t="s">
        <v>42</v>
      </c>
      <c r="K583" t="s">
        <v>92</v>
      </c>
      <c r="L583" t="s">
        <v>19</v>
      </c>
    </row>
    <row r="584" spans="1:12" x14ac:dyDescent="0.25">
      <c r="A584" t="s">
        <v>664</v>
      </c>
      <c r="B584" s="2">
        <v>9562</v>
      </c>
      <c r="C584" s="2">
        <v>325</v>
      </c>
      <c r="D584">
        <v>2</v>
      </c>
      <c r="E584" t="s">
        <v>13</v>
      </c>
      <c r="F584" t="s">
        <v>28</v>
      </c>
      <c r="G584" t="s">
        <v>32</v>
      </c>
      <c r="H584" s="1">
        <v>44694</v>
      </c>
      <c r="I584" t="s">
        <v>665</v>
      </c>
      <c r="J584" s="10" t="s">
        <v>42</v>
      </c>
      <c r="K584" t="s">
        <v>75</v>
      </c>
      <c r="L584" t="s">
        <v>180</v>
      </c>
    </row>
    <row r="585" spans="1:12" x14ac:dyDescent="0.25">
      <c r="A585" t="s">
        <v>666</v>
      </c>
      <c r="B585" s="2">
        <v>4688</v>
      </c>
      <c r="C585" s="2">
        <v>1841</v>
      </c>
      <c r="D585">
        <v>3</v>
      </c>
      <c r="E585" t="s">
        <v>13</v>
      </c>
      <c r="F585" t="s">
        <v>39</v>
      </c>
      <c r="G585" t="s">
        <v>47</v>
      </c>
      <c r="H585" s="1">
        <v>44949</v>
      </c>
      <c r="I585" t="s">
        <v>667</v>
      </c>
      <c r="J585" s="10" t="s">
        <v>42</v>
      </c>
      <c r="K585" t="s">
        <v>92</v>
      </c>
      <c r="L585" t="s">
        <v>333</v>
      </c>
    </row>
    <row r="586" spans="1:12" x14ac:dyDescent="0.25">
      <c r="A586" t="s">
        <v>666</v>
      </c>
      <c r="B586" s="2">
        <v>4688</v>
      </c>
      <c r="C586" s="2">
        <v>1841</v>
      </c>
      <c r="D586">
        <v>3</v>
      </c>
      <c r="E586" t="s">
        <v>13</v>
      </c>
      <c r="F586" t="s">
        <v>39</v>
      </c>
      <c r="G586" t="s">
        <v>47</v>
      </c>
      <c r="H586" s="1">
        <v>44402</v>
      </c>
      <c r="I586" t="s">
        <v>668</v>
      </c>
      <c r="J586" s="10" t="s">
        <v>42</v>
      </c>
      <c r="K586" t="s">
        <v>75</v>
      </c>
      <c r="L586" t="s">
        <v>27</v>
      </c>
    </row>
    <row r="587" spans="1:12" x14ac:dyDescent="0.25">
      <c r="A587" t="s">
        <v>669</v>
      </c>
      <c r="B587" s="2">
        <v>7900</v>
      </c>
      <c r="C587" s="2">
        <v>482</v>
      </c>
      <c r="D587">
        <v>4</v>
      </c>
      <c r="E587" t="s">
        <v>13</v>
      </c>
      <c r="F587" t="s">
        <v>82</v>
      </c>
      <c r="G587" t="s">
        <v>65</v>
      </c>
      <c r="H587" s="1">
        <v>45724</v>
      </c>
      <c r="I587" t="s">
        <v>670</v>
      </c>
      <c r="J587" s="10" t="s">
        <v>98</v>
      </c>
      <c r="K587" t="s">
        <v>99</v>
      </c>
      <c r="L587" t="s">
        <v>157</v>
      </c>
    </row>
    <row r="588" spans="1:12" x14ac:dyDescent="0.25">
      <c r="A588" t="s">
        <v>671</v>
      </c>
      <c r="B588" s="2">
        <v>6967</v>
      </c>
      <c r="C588" s="2">
        <v>3257</v>
      </c>
      <c r="D588">
        <v>17</v>
      </c>
      <c r="E588" t="s">
        <v>45</v>
      </c>
      <c r="F588" t="s">
        <v>109</v>
      </c>
      <c r="G588" t="s">
        <v>65</v>
      </c>
      <c r="H588" s="1">
        <v>44920</v>
      </c>
      <c r="I588" t="s">
        <v>672</v>
      </c>
      <c r="J588" s="10" t="s">
        <v>98</v>
      </c>
      <c r="K588" t="s">
        <v>107</v>
      </c>
      <c r="L588" t="s">
        <v>152</v>
      </c>
    </row>
    <row r="589" spans="1:12" x14ac:dyDescent="0.25">
      <c r="A589" t="s">
        <v>671</v>
      </c>
      <c r="B589" s="2">
        <v>1091</v>
      </c>
      <c r="C589" s="2">
        <v>277</v>
      </c>
      <c r="D589">
        <v>6</v>
      </c>
      <c r="E589" t="s">
        <v>30</v>
      </c>
      <c r="F589" t="s">
        <v>64</v>
      </c>
      <c r="G589" t="s">
        <v>65</v>
      </c>
      <c r="H589" s="1">
        <v>44920</v>
      </c>
      <c r="I589" t="s">
        <v>672</v>
      </c>
      <c r="J589" s="10" t="s">
        <v>98</v>
      </c>
      <c r="K589" t="s">
        <v>107</v>
      </c>
      <c r="L589" t="s">
        <v>152</v>
      </c>
    </row>
    <row r="590" spans="1:12" x14ac:dyDescent="0.25">
      <c r="A590" t="s">
        <v>671</v>
      </c>
      <c r="B590" s="2">
        <v>6027</v>
      </c>
      <c r="C590" s="2">
        <v>1530</v>
      </c>
      <c r="D590">
        <v>2</v>
      </c>
      <c r="E590" t="s">
        <v>30</v>
      </c>
      <c r="F590" t="s">
        <v>78</v>
      </c>
      <c r="G590" t="s">
        <v>47</v>
      </c>
      <c r="H590" s="1">
        <v>44920</v>
      </c>
      <c r="I590" t="s">
        <v>672</v>
      </c>
      <c r="J590" s="10" t="s">
        <v>98</v>
      </c>
      <c r="K590" t="s">
        <v>107</v>
      </c>
      <c r="L590" t="s">
        <v>152</v>
      </c>
    </row>
    <row r="591" spans="1:12" x14ac:dyDescent="0.25">
      <c r="A591" t="s">
        <v>673</v>
      </c>
      <c r="B591" s="2">
        <v>4852</v>
      </c>
      <c r="C591" s="2">
        <v>218</v>
      </c>
      <c r="D591">
        <v>2</v>
      </c>
      <c r="E591" t="s">
        <v>45</v>
      </c>
      <c r="F591" t="s">
        <v>46</v>
      </c>
      <c r="G591" t="s">
        <v>40</v>
      </c>
      <c r="H591" s="1">
        <v>45406</v>
      </c>
      <c r="I591" t="s">
        <v>674</v>
      </c>
      <c r="J591" s="10" t="s">
        <v>71</v>
      </c>
      <c r="K591" t="s">
        <v>72</v>
      </c>
      <c r="L591" t="s">
        <v>235</v>
      </c>
    </row>
    <row r="592" spans="1:12" x14ac:dyDescent="0.25">
      <c r="A592" t="s">
        <v>673</v>
      </c>
      <c r="B592" s="2">
        <v>4852</v>
      </c>
      <c r="C592" s="2">
        <v>218</v>
      </c>
      <c r="D592">
        <v>2</v>
      </c>
      <c r="E592" t="s">
        <v>45</v>
      </c>
      <c r="F592" t="s">
        <v>46</v>
      </c>
      <c r="G592" t="s">
        <v>40</v>
      </c>
      <c r="H592" s="1">
        <v>44554</v>
      </c>
      <c r="I592" t="s">
        <v>675</v>
      </c>
      <c r="J592" s="10" t="s">
        <v>17</v>
      </c>
      <c r="K592" t="s">
        <v>150</v>
      </c>
      <c r="L592" t="s">
        <v>90</v>
      </c>
    </row>
    <row r="593" spans="1:12" x14ac:dyDescent="0.25">
      <c r="A593" t="s">
        <v>673</v>
      </c>
      <c r="B593" s="2">
        <v>4852</v>
      </c>
      <c r="C593" s="2">
        <v>218</v>
      </c>
      <c r="D593">
        <v>2</v>
      </c>
      <c r="E593" t="s">
        <v>45</v>
      </c>
      <c r="F593" t="s">
        <v>46</v>
      </c>
      <c r="G593" t="s">
        <v>40</v>
      </c>
      <c r="H593" s="1">
        <v>45176</v>
      </c>
      <c r="I593" t="s">
        <v>676</v>
      </c>
      <c r="J593" s="10" t="s">
        <v>21</v>
      </c>
      <c r="K593" t="s">
        <v>63</v>
      </c>
      <c r="L593" t="s">
        <v>273</v>
      </c>
    </row>
    <row r="594" spans="1:12" x14ac:dyDescent="0.25">
      <c r="A594" t="s">
        <v>677</v>
      </c>
      <c r="B594" s="2">
        <v>4314</v>
      </c>
      <c r="C594" s="2">
        <v>1453</v>
      </c>
      <c r="D594">
        <v>6</v>
      </c>
      <c r="E594" t="s">
        <v>45</v>
      </c>
      <c r="F594" t="s">
        <v>60</v>
      </c>
      <c r="G594" t="s">
        <v>65</v>
      </c>
      <c r="H594" s="1">
        <v>44418</v>
      </c>
      <c r="I594" t="s">
        <v>678</v>
      </c>
      <c r="J594" s="10" t="s">
        <v>17</v>
      </c>
      <c r="K594" t="s">
        <v>150</v>
      </c>
      <c r="L594" t="s">
        <v>178</v>
      </c>
    </row>
    <row r="595" spans="1:12" x14ac:dyDescent="0.25">
      <c r="A595" t="s">
        <v>679</v>
      </c>
      <c r="B595" s="2">
        <v>3288</v>
      </c>
      <c r="C595" s="2">
        <v>1477</v>
      </c>
      <c r="D595">
        <v>3</v>
      </c>
      <c r="E595" t="s">
        <v>30</v>
      </c>
      <c r="F595" t="s">
        <v>31</v>
      </c>
      <c r="G595" t="s">
        <v>40</v>
      </c>
      <c r="H595" s="1">
        <v>45438</v>
      </c>
      <c r="I595" t="s">
        <v>680</v>
      </c>
      <c r="J595" s="10" t="s">
        <v>71</v>
      </c>
      <c r="K595" t="s">
        <v>86</v>
      </c>
      <c r="L595" t="s">
        <v>35</v>
      </c>
    </row>
    <row r="596" spans="1:12" x14ac:dyDescent="0.25">
      <c r="A596" t="s">
        <v>679</v>
      </c>
      <c r="B596" s="2">
        <v>3288</v>
      </c>
      <c r="C596" s="2">
        <v>1477</v>
      </c>
      <c r="D596">
        <v>3</v>
      </c>
      <c r="E596" t="s">
        <v>30</v>
      </c>
      <c r="F596" t="s">
        <v>31</v>
      </c>
      <c r="G596" t="s">
        <v>40</v>
      </c>
      <c r="H596" s="1">
        <v>44611</v>
      </c>
      <c r="I596" t="s">
        <v>681</v>
      </c>
      <c r="J596" s="10" t="s">
        <v>21</v>
      </c>
      <c r="K596" t="s">
        <v>63</v>
      </c>
      <c r="L596" t="s">
        <v>137</v>
      </c>
    </row>
    <row r="597" spans="1:12" x14ac:dyDescent="0.25">
      <c r="A597" t="s">
        <v>682</v>
      </c>
      <c r="B597" s="2">
        <v>3977</v>
      </c>
      <c r="C597" s="2">
        <v>813</v>
      </c>
      <c r="D597">
        <v>5</v>
      </c>
      <c r="E597" t="s">
        <v>30</v>
      </c>
      <c r="F597" t="s">
        <v>78</v>
      </c>
      <c r="G597" t="s">
        <v>47</v>
      </c>
      <c r="H597" s="1">
        <v>45635</v>
      </c>
      <c r="I597" t="s">
        <v>683</v>
      </c>
      <c r="J597" s="10" t="s">
        <v>25</v>
      </c>
      <c r="K597" t="s">
        <v>51</v>
      </c>
      <c r="L597" t="s">
        <v>23</v>
      </c>
    </row>
    <row r="598" spans="1:12" x14ac:dyDescent="0.25">
      <c r="A598" t="s">
        <v>684</v>
      </c>
      <c r="B598" s="2">
        <v>6252</v>
      </c>
      <c r="C598" s="2">
        <v>1377</v>
      </c>
      <c r="D598">
        <v>2</v>
      </c>
      <c r="E598" t="s">
        <v>13</v>
      </c>
      <c r="F598" t="s">
        <v>28</v>
      </c>
      <c r="G598" t="s">
        <v>40</v>
      </c>
      <c r="H598" s="1">
        <v>45078</v>
      </c>
      <c r="I598" t="s">
        <v>685</v>
      </c>
      <c r="J598" s="10" t="s">
        <v>21</v>
      </c>
      <c r="K598" t="s">
        <v>22</v>
      </c>
      <c r="L598" t="s">
        <v>19</v>
      </c>
    </row>
    <row r="599" spans="1:12" x14ac:dyDescent="0.25">
      <c r="A599" t="s">
        <v>686</v>
      </c>
      <c r="B599" s="2">
        <v>9084</v>
      </c>
      <c r="C599" s="2">
        <v>3253</v>
      </c>
      <c r="D599">
        <v>12</v>
      </c>
      <c r="E599" t="s">
        <v>30</v>
      </c>
      <c r="F599" t="s">
        <v>31</v>
      </c>
      <c r="G599" t="s">
        <v>32</v>
      </c>
      <c r="H599" s="1">
        <v>45235</v>
      </c>
      <c r="I599" t="s">
        <v>687</v>
      </c>
      <c r="J599" s="10" t="s">
        <v>25</v>
      </c>
      <c r="K599" t="s">
        <v>26</v>
      </c>
      <c r="L599" t="s">
        <v>52</v>
      </c>
    </row>
    <row r="600" spans="1:12" x14ac:dyDescent="0.25">
      <c r="A600" t="s">
        <v>688</v>
      </c>
      <c r="B600" s="2">
        <v>8994</v>
      </c>
      <c r="C600" s="2">
        <v>1481</v>
      </c>
      <c r="D600">
        <v>15</v>
      </c>
      <c r="E600" t="s">
        <v>13</v>
      </c>
      <c r="F600" t="s">
        <v>82</v>
      </c>
      <c r="G600" t="s">
        <v>47</v>
      </c>
      <c r="H600" s="1">
        <v>44003</v>
      </c>
      <c r="I600" t="s">
        <v>689</v>
      </c>
      <c r="J600" s="10" t="s">
        <v>42</v>
      </c>
      <c r="K600" t="s">
        <v>75</v>
      </c>
      <c r="L600" t="s">
        <v>313</v>
      </c>
    </row>
    <row r="601" spans="1:12" x14ac:dyDescent="0.25">
      <c r="A601" t="s">
        <v>690</v>
      </c>
      <c r="B601" s="2">
        <v>1089</v>
      </c>
      <c r="C601" s="2">
        <v>176</v>
      </c>
      <c r="D601">
        <v>16</v>
      </c>
      <c r="E601" t="s">
        <v>30</v>
      </c>
      <c r="F601" t="s">
        <v>57</v>
      </c>
      <c r="G601" t="s">
        <v>40</v>
      </c>
      <c r="H601" s="1">
        <v>44130</v>
      </c>
      <c r="I601" t="s">
        <v>691</v>
      </c>
      <c r="J601" s="10" t="s">
        <v>71</v>
      </c>
      <c r="K601" t="s">
        <v>72</v>
      </c>
      <c r="L601" t="s">
        <v>119</v>
      </c>
    </row>
    <row r="602" spans="1:12" x14ac:dyDescent="0.25">
      <c r="A602" t="s">
        <v>692</v>
      </c>
      <c r="B602" s="2">
        <v>6690</v>
      </c>
      <c r="C602" s="2">
        <v>1001</v>
      </c>
      <c r="D602">
        <v>19</v>
      </c>
      <c r="E602" t="s">
        <v>30</v>
      </c>
      <c r="F602" t="s">
        <v>78</v>
      </c>
      <c r="G602" t="s">
        <v>15</v>
      </c>
      <c r="H602" s="1">
        <v>44718</v>
      </c>
      <c r="I602" t="s">
        <v>693</v>
      </c>
      <c r="J602" s="10" t="s">
        <v>21</v>
      </c>
      <c r="K602" t="s">
        <v>63</v>
      </c>
      <c r="L602" t="s">
        <v>165</v>
      </c>
    </row>
    <row r="603" spans="1:12" x14ac:dyDescent="0.25">
      <c r="A603" t="s">
        <v>692</v>
      </c>
      <c r="B603" s="2">
        <v>6690</v>
      </c>
      <c r="C603" s="2">
        <v>1001</v>
      </c>
      <c r="D603">
        <v>19</v>
      </c>
      <c r="E603" t="s">
        <v>30</v>
      </c>
      <c r="F603" t="s">
        <v>78</v>
      </c>
      <c r="G603" t="s">
        <v>15</v>
      </c>
      <c r="H603" s="1">
        <v>44513</v>
      </c>
      <c r="I603" t="s">
        <v>694</v>
      </c>
      <c r="J603" s="10" t="s">
        <v>21</v>
      </c>
      <c r="K603" t="s">
        <v>22</v>
      </c>
      <c r="L603" t="s">
        <v>175</v>
      </c>
    </row>
    <row r="604" spans="1:12" x14ac:dyDescent="0.25">
      <c r="A604" t="s">
        <v>692</v>
      </c>
      <c r="B604" s="2">
        <v>4985</v>
      </c>
      <c r="C604" s="2">
        <v>1920</v>
      </c>
      <c r="D604">
        <v>10</v>
      </c>
      <c r="E604" t="s">
        <v>45</v>
      </c>
      <c r="F604" t="s">
        <v>109</v>
      </c>
      <c r="G604" t="s">
        <v>47</v>
      </c>
      <c r="H604" s="1">
        <v>44718</v>
      </c>
      <c r="I604" t="s">
        <v>693</v>
      </c>
      <c r="J604" s="10" t="s">
        <v>21</v>
      </c>
      <c r="K604" t="s">
        <v>63</v>
      </c>
      <c r="L604" t="s">
        <v>165</v>
      </c>
    </row>
    <row r="605" spans="1:12" x14ac:dyDescent="0.25">
      <c r="A605" t="s">
        <v>692</v>
      </c>
      <c r="B605" s="2">
        <v>4985</v>
      </c>
      <c r="C605" s="2">
        <v>1920</v>
      </c>
      <c r="D605">
        <v>10</v>
      </c>
      <c r="E605" t="s">
        <v>45</v>
      </c>
      <c r="F605" t="s">
        <v>109</v>
      </c>
      <c r="G605" t="s">
        <v>47</v>
      </c>
      <c r="H605" s="1">
        <v>44513</v>
      </c>
      <c r="I605" t="s">
        <v>694</v>
      </c>
      <c r="J605" s="10" t="s">
        <v>21</v>
      </c>
      <c r="K605" t="s">
        <v>22</v>
      </c>
      <c r="L605" t="s">
        <v>175</v>
      </c>
    </row>
    <row r="606" spans="1:12" x14ac:dyDescent="0.25">
      <c r="A606" t="s">
        <v>695</v>
      </c>
      <c r="B606" s="2">
        <v>8590</v>
      </c>
      <c r="C606" s="2">
        <v>3565</v>
      </c>
      <c r="D606">
        <v>15</v>
      </c>
      <c r="E606" t="s">
        <v>13</v>
      </c>
      <c r="F606" t="s">
        <v>14</v>
      </c>
      <c r="G606" t="s">
        <v>40</v>
      </c>
      <c r="H606" s="1">
        <v>44511</v>
      </c>
      <c r="I606" t="s">
        <v>696</v>
      </c>
      <c r="J606" s="10" t="s">
        <v>17</v>
      </c>
      <c r="K606" t="s">
        <v>18</v>
      </c>
      <c r="L606" t="s">
        <v>175</v>
      </c>
    </row>
    <row r="607" spans="1:12" x14ac:dyDescent="0.25">
      <c r="A607" t="s">
        <v>695</v>
      </c>
      <c r="B607" s="2">
        <v>6973</v>
      </c>
      <c r="C607" s="2">
        <v>3038</v>
      </c>
      <c r="D607">
        <v>10</v>
      </c>
      <c r="E607" t="s">
        <v>45</v>
      </c>
      <c r="F607" t="s">
        <v>46</v>
      </c>
      <c r="G607" t="s">
        <v>65</v>
      </c>
      <c r="H607" s="1">
        <v>44511</v>
      </c>
      <c r="I607" t="s">
        <v>696</v>
      </c>
      <c r="J607" s="10" t="s">
        <v>17</v>
      </c>
      <c r="K607" t="s">
        <v>18</v>
      </c>
      <c r="L607" t="s">
        <v>175</v>
      </c>
    </row>
    <row r="608" spans="1:12" x14ac:dyDescent="0.25">
      <c r="A608" t="s">
        <v>697</v>
      </c>
      <c r="B608" s="2">
        <v>4591</v>
      </c>
      <c r="C608" s="2">
        <v>1941</v>
      </c>
      <c r="D608">
        <v>19</v>
      </c>
      <c r="E608" t="s">
        <v>13</v>
      </c>
      <c r="F608" t="s">
        <v>28</v>
      </c>
      <c r="G608" t="s">
        <v>40</v>
      </c>
      <c r="H608" s="1">
        <v>44408</v>
      </c>
      <c r="I608" t="s">
        <v>476</v>
      </c>
      <c r="J608" s="10" t="s">
        <v>71</v>
      </c>
      <c r="K608" t="s">
        <v>72</v>
      </c>
      <c r="L608" t="s">
        <v>27</v>
      </c>
    </row>
    <row r="609" spans="1:12" x14ac:dyDescent="0.25">
      <c r="A609" t="s">
        <v>697</v>
      </c>
      <c r="B609" s="2">
        <v>9612</v>
      </c>
      <c r="C609" s="2">
        <v>2572</v>
      </c>
      <c r="D609">
        <v>17</v>
      </c>
      <c r="E609" t="s">
        <v>30</v>
      </c>
      <c r="F609" t="s">
        <v>31</v>
      </c>
      <c r="G609" t="s">
        <v>47</v>
      </c>
      <c r="H609" s="1">
        <v>44408</v>
      </c>
      <c r="I609" t="s">
        <v>476</v>
      </c>
      <c r="J609" s="10" t="s">
        <v>71</v>
      </c>
      <c r="K609" t="s">
        <v>72</v>
      </c>
      <c r="L609" t="s">
        <v>27</v>
      </c>
    </row>
    <row r="610" spans="1:12" x14ac:dyDescent="0.25">
      <c r="A610" t="s">
        <v>698</v>
      </c>
      <c r="B610" s="2">
        <v>5343</v>
      </c>
      <c r="C610" s="2">
        <v>655</v>
      </c>
      <c r="D610">
        <v>1</v>
      </c>
      <c r="E610" t="s">
        <v>45</v>
      </c>
      <c r="F610" t="s">
        <v>49</v>
      </c>
      <c r="G610" t="s">
        <v>40</v>
      </c>
      <c r="H610" s="1">
        <v>45395</v>
      </c>
      <c r="I610" t="s">
        <v>699</v>
      </c>
      <c r="J610" s="10" t="s">
        <v>42</v>
      </c>
      <c r="K610" t="s">
        <v>75</v>
      </c>
      <c r="L610" t="s">
        <v>235</v>
      </c>
    </row>
    <row r="611" spans="1:12" x14ac:dyDescent="0.25">
      <c r="A611" t="s">
        <v>700</v>
      </c>
      <c r="B611" s="2">
        <v>6956</v>
      </c>
      <c r="C611" s="2">
        <v>318</v>
      </c>
      <c r="D611">
        <v>20</v>
      </c>
      <c r="E611" t="s">
        <v>30</v>
      </c>
      <c r="F611" t="s">
        <v>57</v>
      </c>
      <c r="G611" t="s">
        <v>32</v>
      </c>
      <c r="H611" s="1">
        <v>44670</v>
      </c>
      <c r="I611" t="s">
        <v>701</v>
      </c>
      <c r="J611" s="10" t="s">
        <v>21</v>
      </c>
      <c r="K611" t="s">
        <v>63</v>
      </c>
      <c r="L611" t="s">
        <v>187</v>
      </c>
    </row>
    <row r="612" spans="1:12" x14ac:dyDescent="0.25">
      <c r="A612" t="s">
        <v>702</v>
      </c>
      <c r="B612" s="2">
        <v>5306</v>
      </c>
      <c r="C612" s="2">
        <v>2405</v>
      </c>
      <c r="D612">
        <v>17</v>
      </c>
      <c r="E612" t="s">
        <v>45</v>
      </c>
      <c r="F612" t="s">
        <v>46</v>
      </c>
      <c r="G612" t="s">
        <v>40</v>
      </c>
      <c r="H612" s="1">
        <v>45374</v>
      </c>
      <c r="I612" t="s">
        <v>703</v>
      </c>
      <c r="J612" s="10" t="s">
        <v>25</v>
      </c>
      <c r="K612" t="s">
        <v>26</v>
      </c>
      <c r="L612" t="s">
        <v>338</v>
      </c>
    </row>
    <row r="613" spans="1:12" x14ac:dyDescent="0.25">
      <c r="A613" t="s">
        <v>704</v>
      </c>
      <c r="B613" s="2">
        <v>8982</v>
      </c>
      <c r="C613" s="2">
        <v>448</v>
      </c>
      <c r="D613">
        <v>17</v>
      </c>
      <c r="E613" t="s">
        <v>45</v>
      </c>
      <c r="F613" t="s">
        <v>60</v>
      </c>
      <c r="G613" t="s">
        <v>15</v>
      </c>
      <c r="H613" s="1">
        <v>44323</v>
      </c>
      <c r="I613" t="s">
        <v>705</v>
      </c>
      <c r="J613" s="10" t="s">
        <v>25</v>
      </c>
      <c r="K613" t="s">
        <v>51</v>
      </c>
      <c r="L613" t="s">
        <v>108</v>
      </c>
    </row>
    <row r="614" spans="1:12" x14ac:dyDescent="0.25">
      <c r="A614" t="s">
        <v>704</v>
      </c>
      <c r="B614" s="2">
        <v>4826</v>
      </c>
      <c r="C614" s="2">
        <v>562</v>
      </c>
      <c r="D614">
        <v>5</v>
      </c>
      <c r="E614" t="s">
        <v>30</v>
      </c>
      <c r="F614" t="s">
        <v>64</v>
      </c>
      <c r="G614" t="s">
        <v>32</v>
      </c>
      <c r="H614" s="1">
        <v>44323</v>
      </c>
      <c r="I614" t="s">
        <v>705</v>
      </c>
      <c r="J614" s="10" t="s">
        <v>25</v>
      </c>
      <c r="K614" t="s">
        <v>51</v>
      </c>
      <c r="L614" t="s">
        <v>108</v>
      </c>
    </row>
    <row r="615" spans="1:12" x14ac:dyDescent="0.25">
      <c r="A615" t="s">
        <v>706</v>
      </c>
      <c r="B615" s="2">
        <v>972</v>
      </c>
      <c r="C615" s="2">
        <v>106</v>
      </c>
      <c r="D615">
        <v>15</v>
      </c>
      <c r="E615" t="s">
        <v>30</v>
      </c>
      <c r="F615" t="s">
        <v>31</v>
      </c>
      <c r="G615" t="s">
        <v>40</v>
      </c>
      <c r="H615" s="1">
        <v>44687</v>
      </c>
      <c r="I615" t="s">
        <v>707</v>
      </c>
      <c r="J615" s="10" t="s">
        <v>98</v>
      </c>
      <c r="K615" t="s">
        <v>107</v>
      </c>
      <c r="L615" t="s">
        <v>180</v>
      </c>
    </row>
    <row r="616" spans="1:12" x14ac:dyDescent="0.25">
      <c r="A616" t="s">
        <v>708</v>
      </c>
      <c r="B616" s="2">
        <v>3665</v>
      </c>
      <c r="C616" s="2">
        <v>802</v>
      </c>
      <c r="D616">
        <v>4</v>
      </c>
      <c r="E616" t="s">
        <v>30</v>
      </c>
      <c r="F616" t="s">
        <v>57</v>
      </c>
      <c r="G616" t="s">
        <v>47</v>
      </c>
      <c r="H616" s="1">
        <v>44417</v>
      </c>
      <c r="I616" t="s">
        <v>709</v>
      </c>
      <c r="J616" s="10" t="s">
        <v>17</v>
      </c>
      <c r="K616" t="s">
        <v>18</v>
      </c>
      <c r="L616" t="s">
        <v>178</v>
      </c>
    </row>
    <row r="617" spans="1:12" x14ac:dyDescent="0.25">
      <c r="A617" t="s">
        <v>708</v>
      </c>
      <c r="B617" s="2">
        <v>3665</v>
      </c>
      <c r="C617" s="2">
        <v>802</v>
      </c>
      <c r="D617">
        <v>4</v>
      </c>
      <c r="E617" t="s">
        <v>30</v>
      </c>
      <c r="F617" t="s">
        <v>57</v>
      </c>
      <c r="G617" t="s">
        <v>47</v>
      </c>
      <c r="H617" s="1">
        <v>45697</v>
      </c>
      <c r="I617" t="s">
        <v>710</v>
      </c>
      <c r="J617" s="10" t="s">
        <v>17</v>
      </c>
      <c r="K617" t="s">
        <v>150</v>
      </c>
      <c r="L617" t="s">
        <v>73</v>
      </c>
    </row>
    <row r="618" spans="1:12" x14ac:dyDescent="0.25">
      <c r="A618" t="s">
        <v>711</v>
      </c>
      <c r="B618" s="2">
        <v>9808</v>
      </c>
      <c r="C618" s="2">
        <v>2117</v>
      </c>
      <c r="D618">
        <v>2</v>
      </c>
      <c r="E618" t="s">
        <v>30</v>
      </c>
      <c r="F618" t="s">
        <v>31</v>
      </c>
      <c r="G618" t="s">
        <v>15</v>
      </c>
      <c r="H618" s="1">
        <v>45405</v>
      </c>
      <c r="I618" t="s">
        <v>712</v>
      </c>
      <c r="J618" s="10" t="s">
        <v>42</v>
      </c>
      <c r="K618" t="s">
        <v>43</v>
      </c>
      <c r="L618" t="s">
        <v>235</v>
      </c>
    </row>
    <row r="619" spans="1:12" x14ac:dyDescent="0.25">
      <c r="A619" t="s">
        <v>713</v>
      </c>
      <c r="B619" s="2">
        <v>1133</v>
      </c>
      <c r="C619" s="2">
        <v>73</v>
      </c>
      <c r="D619">
        <v>17</v>
      </c>
      <c r="E619" t="s">
        <v>45</v>
      </c>
      <c r="F619" t="s">
        <v>49</v>
      </c>
      <c r="G619" t="s">
        <v>15</v>
      </c>
      <c r="H619" s="1">
        <v>44980</v>
      </c>
      <c r="I619" t="s">
        <v>714</v>
      </c>
      <c r="J619" s="10" t="s">
        <v>98</v>
      </c>
      <c r="K619" t="s">
        <v>117</v>
      </c>
      <c r="L619" t="s">
        <v>93</v>
      </c>
    </row>
    <row r="620" spans="1:12" x14ac:dyDescent="0.25">
      <c r="A620" t="s">
        <v>713</v>
      </c>
      <c r="B620" s="2">
        <v>1133</v>
      </c>
      <c r="C620" s="2">
        <v>73</v>
      </c>
      <c r="D620">
        <v>17</v>
      </c>
      <c r="E620" t="s">
        <v>45</v>
      </c>
      <c r="F620" t="s">
        <v>49</v>
      </c>
      <c r="G620" t="s">
        <v>15</v>
      </c>
      <c r="H620" s="1">
        <v>45449</v>
      </c>
      <c r="I620" t="s">
        <v>715</v>
      </c>
      <c r="J620" s="10" t="s">
        <v>42</v>
      </c>
      <c r="K620" t="s">
        <v>75</v>
      </c>
      <c r="L620" t="s">
        <v>262</v>
      </c>
    </row>
    <row r="621" spans="1:12" x14ac:dyDescent="0.25">
      <c r="A621" t="s">
        <v>713</v>
      </c>
      <c r="B621" s="2">
        <v>6248</v>
      </c>
      <c r="C621" s="2">
        <v>1168</v>
      </c>
      <c r="D621">
        <v>19</v>
      </c>
      <c r="E621" t="s">
        <v>45</v>
      </c>
      <c r="F621" t="s">
        <v>109</v>
      </c>
      <c r="G621" t="s">
        <v>65</v>
      </c>
      <c r="H621" s="1">
        <v>44980</v>
      </c>
      <c r="I621" t="s">
        <v>714</v>
      </c>
      <c r="J621" s="10" t="s">
        <v>98</v>
      </c>
      <c r="K621" t="s">
        <v>117</v>
      </c>
      <c r="L621" t="s">
        <v>93</v>
      </c>
    </row>
    <row r="622" spans="1:12" x14ac:dyDescent="0.25">
      <c r="A622" t="s">
        <v>713</v>
      </c>
      <c r="B622" s="2">
        <v>6248</v>
      </c>
      <c r="C622" s="2">
        <v>1168</v>
      </c>
      <c r="D622">
        <v>19</v>
      </c>
      <c r="E622" t="s">
        <v>45</v>
      </c>
      <c r="F622" t="s">
        <v>109</v>
      </c>
      <c r="G622" t="s">
        <v>65</v>
      </c>
      <c r="H622" s="1">
        <v>45449</v>
      </c>
      <c r="I622" t="s">
        <v>715</v>
      </c>
      <c r="J622" s="10" t="s">
        <v>42</v>
      </c>
      <c r="K622" t="s">
        <v>75</v>
      </c>
      <c r="L622" t="s">
        <v>262</v>
      </c>
    </row>
    <row r="623" spans="1:12" x14ac:dyDescent="0.25">
      <c r="A623" t="s">
        <v>716</v>
      </c>
      <c r="B623" s="2">
        <v>5666</v>
      </c>
      <c r="C623" s="2">
        <v>2733</v>
      </c>
      <c r="D623">
        <v>17</v>
      </c>
      <c r="E623" t="s">
        <v>13</v>
      </c>
      <c r="F623" t="s">
        <v>14</v>
      </c>
      <c r="G623" t="s">
        <v>47</v>
      </c>
      <c r="H623" s="1">
        <v>45684</v>
      </c>
      <c r="I623" t="s">
        <v>717</v>
      </c>
      <c r="J623" s="10" t="s">
        <v>17</v>
      </c>
      <c r="K623" t="s">
        <v>150</v>
      </c>
      <c r="L623" t="s">
        <v>308</v>
      </c>
    </row>
    <row r="624" spans="1:12" x14ac:dyDescent="0.25">
      <c r="A624" t="s">
        <v>718</v>
      </c>
      <c r="B624" s="2">
        <v>4171</v>
      </c>
      <c r="C624" s="2">
        <v>1450</v>
      </c>
      <c r="D624">
        <v>18</v>
      </c>
      <c r="E624" t="s">
        <v>30</v>
      </c>
      <c r="F624" t="s">
        <v>57</v>
      </c>
      <c r="G624" t="s">
        <v>65</v>
      </c>
      <c r="H624" s="1">
        <v>45023</v>
      </c>
      <c r="I624" t="s">
        <v>719</v>
      </c>
      <c r="J624" s="10" t="s">
        <v>71</v>
      </c>
      <c r="K624" t="s">
        <v>72</v>
      </c>
      <c r="L624" t="s">
        <v>145</v>
      </c>
    </row>
    <row r="625" spans="1:12" x14ac:dyDescent="0.25">
      <c r="A625" t="s">
        <v>720</v>
      </c>
      <c r="B625" s="2">
        <v>6236</v>
      </c>
      <c r="C625" s="2">
        <v>2839</v>
      </c>
      <c r="D625">
        <v>7</v>
      </c>
      <c r="E625" t="s">
        <v>13</v>
      </c>
      <c r="F625" t="s">
        <v>28</v>
      </c>
      <c r="G625" t="s">
        <v>47</v>
      </c>
      <c r="H625" s="1">
        <v>44581</v>
      </c>
      <c r="I625" t="s">
        <v>721</v>
      </c>
      <c r="J625" s="10" t="s">
        <v>21</v>
      </c>
      <c r="K625" t="s">
        <v>63</v>
      </c>
      <c r="L625" t="s">
        <v>87</v>
      </c>
    </row>
    <row r="626" spans="1:12" x14ac:dyDescent="0.25">
      <c r="A626" t="s">
        <v>720</v>
      </c>
      <c r="B626" s="2">
        <v>6236</v>
      </c>
      <c r="C626" s="2">
        <v>2839</v>
      </c>
      <c r="D626">
        <v>7</v>
      </c>
      <c r="E626" t="s">
        <v>13</v>
      </c>
      <c r="F626" t="s">
        <v>28</v>
      </c>
      <c r="G626" t="s">
        <v>47</v>
      </c>
      <c r="H626" s="1">
        <v>44691</v>
      </c>
      <c r="I626" t="s">
        <v>722</v>
      </c>
      <c r="J626" s="10" t="s">
        <v>17</v>
      </c>
      <c r="K626" t="s">
        <v>34</v>
      </c>
      <c r="L626" t="s">
        <v>180</v>
      </c>
    </row>
    <row r="627" spans="1:12" x14ac:dyDescent="0.25">
      <c r="A627" t="s">
        <v>723</v>
      </c>
      <c r="B627" s="2">
        <v>5410</v>
      </c>
      <c r="C627" s="2">
        <v>2456</v>
      </c>
      <c r="D627">
        <v>8</v>
      </c>
      <c r="E627" t="s">
        <v>45</v>
      </c>
      <c r="F627" t="s">
        <v>49</v>
      </c>
      <c r="G627" t="s">
        <v>47</v>
      </c>
      <c r="H627" s="1">
        <v>45441</v>
      </c>
      <c r="I627" t="s">
        <v>724</v>
      </c>
      <c r="J627" s="10" t="s">
        <v>42</v>
      </c>
      <c r="K627" t="s">
        <v>43</v>
      </c>
      <c r="L627" t="s">
        <v>35</v>
      </c>
    </row>
    <row r="628" spans="1:12" x14ac:dyDescent="0.25">
      <c r="A628" t="s">
        <v>723</v>
      </c>
      <c r="B628" s="2">
        <v>5410</v>
      </c>
      <c r="C628" s="2">
        <v>2456</v>
      </c>
      <c r="D628">
        <v>8</v>
      </c>
      <c r="E628" t="s">
        <v>45</v>
      </c>
      <c r="F628" t="s">
        <v>49</v>
      </c>
      <c r="G628" t="s">
        <v>47</v>
      </c>
      <c r="H628" s="1">
        <v>44565</v>
      </c>
      <c r="I628" t="s">
        <v>725</v>
      </c>
      <c r="J628" s="10" t="s">
        <v>17</v>
      </c>
      <c r="K628" t="s">
        <v>150</v>
      </c>
      <c r="L628" t="s">
        <v>87</v>
      </c>
    </row>
    <row r="629" spans="1:12" x14ac:dyDescent="0.25">
      <c r="A629" t="s">
        <v>726</v>
      </c>
      <c r="B629" s="2">
        <v>3024</v>
      </c>
      <c r="C629" s="2">
        <v>1353</v>
      </c>
      <c r="D629">
        <v>1</v>
      </c>
      <c r="E629" t="s">
        <v>45</v>
      </c>
      <c r="F629" t="s">
        <v>60</v>
      </c>
      <c r="G629" t="s">
        <v>47</v>
      </c>
      <c r="H629" s="1">
        <v>45414</v>
      </c>
      <c r="I629" t="s">
        <v>727</v>
      </c>
      <c r="J629" s="10" t="s">
        <v>42</v>
      </c>
      <c r="K629" t="s">
        <v>43</v>
      </c>
      <c r="L629" t="s">
        <v>35</v>
      </c>
    </row>
    <row r="630" spans="1:12" x14ac:dyDescent="0.25">
      <c r="A630" t="s">
        <v>726</v>
      </c>
      <c r="B630" s="2">
        <v>3024</v>
      </c>
      <c r="C630" s="2">
        <v>1353</v>
      </c>
      <c r="D630">
        <v>1</v>
      </c>
      <c r="E630" t="s">
        <v>45</v>
      </c>
      <c r="F630" t="s">
        <v>60</v>
      </c>
      <c r="G630" t="s">
        <v>47</v>
      </c>
      <c r="H630" s="1">
        <v>44558</v>
      </c>
      <c r="I630" t="s">
        <v>728</v>
      </c>
      <c r="J630" s="10" t="s">
        <v>98</v>
      </c>
      <c r="K630" t="s">
        <v>99</v>
      </c>
      <c r="L630" t="s">
        <v>90</v>
      </c>
    </row>
    <row r="631" spans="1:12" x14ac:dyDescent="0.25">
      <c r="A631" t="s">
        <v>729</v>
      </c>
      <c r="B631" s="2">
        <v>7434</v>
      </c>
      <c r="C631" s="2">
        <v>2851</v>
      </c>
      <c r="D631">
        <v>5</v>
      </c>
      <c r="E631" t="s">
        <v>30</v>
      </c>
      <c r="F631" t="s">
        <v>57</v>
      </c>
      <c r="G631" t="s">
        <v>15</v>
      </c>
      <c r="H631" s="1">
        <v>44907</v>
      </c>
      <c r="I631" t="s">
        <v>730</v>
      </c>
      <c r="J631" s="10" t="s">
        <v>21</v>
      </c>
      <c r="K631" t="s">
        <v>63</v>
      </c>
      <c r="L631" t="s">
        <v>152</v>
      </c>
    </row>
    <row r="632" spans="1:12" x14ac:dyDescent="0.25">
      <c r="A632" t="s">
        <v>731</v>
      </c>
      <c r="B632" s="2">
        <v>7213</v>
      </c>
      <c r="C632" s="2">
        <v>508</v>
      </c>
      <c r="D632">
        <v>19</v>
      </c>
      <c r="E632" t="s">
        <v>13</v>
      </c>
      <c r="F632" t="s">
        <v>14</v>
      </c>
      <c r="G632" t="s">
        <v>32</v>
      </c>
      <c r="H632" s="1">
        <v>45155</v>
      </c>
      <c r="I632" t="s">
        <v>732</v>
      </c>
      <c r="J632" s="10" t="s">
        <v>71</v>
      </c>
      <c r="K632" t="s">
        <v>72</v>
      </c>
      <c r="L632" t="s">
        <v>121</v>
      </c>
    </row>
    <row r="633" spans="1:12" x14ac:dyDescent="0.25">
      <c r="A633" t="s">
        <v>731</v>
      </c>
      <c r="B633" s="2">
        <v>7213</v>
      </c>
      <c r="C633" s="2">
        <v>508</v>
      </c>
      <c r="D633">
        <v>19</v>
      </c>
      <c r="E633" t="s">
        <v>13</v>
      </c>
      <c r="F633" t="s">
        <v>14</v>
      </c>
      <c r="G633" t="s">
        <v>32</v>
      </c>
      <c r="H633" s="1">
        <v>44529</v>
      </c>
      <c r="I633" t="s">
        <v>733</v>
      </c>
      <c r="J633" s="10" t="s">
        <v>98</v>
      </c>
      <c r="K633" t="s">
        <v>107</v>
      </c>
      <c r="L633" t="s">
        <v>175</v>
      </c>
    </row>
    <row r="634" spans="1:12" x14ac:dyDescent="0.25">
      <c r="A634" t="s">
        <v>731</v>
      </c>
      <c r="B634" s="2">
        <v>3176</v>
      </c>
      <c r="C634" s="2">
        <v>586</v>
      </c>
      <c r="D634">
        <v>9</v>
      </c>
      <c r="E634" t="s">
        <v>45</v>
      </c>
      <c r="F634" t="s">
        <v>46</v>
      </c>
      <c r="G634" t="s">
        <v>40</v>
      </c>
      <c r="H634" s="1">
        <v>45155</v>
      </c>
      <c r="I634" t="s">
        <v>732</v>
      </c>
      <c r="J634" s="10" t="s">
        <v>71</v>
      </c>
      <c r="K634" t="s">
        <v>72</v>
      </c>
      <c r="L634" t="s">
        <v>121</v>
      </c>
    </row>
    <row r="635" spans="1:12" x14ac:dyDescent="0.25">
      <c r="A635" t="s">
        <v>731</v>
      </c>
      <c r="B635" s="2">
        <v>3176</v>
      </c>
      <c r="C635" s="2">
        <v>586</v>
      </c>
      <c r="D635">
        <v>9</v>
      </c>
      <c r="E635" t="s">
        <v>45</v>
      </c>
      <c r="F635" t="s">
        <v>46</v>
      </c>
      <c r="G635" t="s">
        <v>40</v>
      </c>
      <c r="H635" s="1">
        <v>44529</v>
      </c>
      <c r="I635" t="s">
        <v>733</v>
      </c>
      <c r="J635" s="10" t="s">
        <v>98</v>
      </c>
      <c r="K635" t="s">
        <v>107</v>
      </c>
      <c r="L635" t="s">
        <v>175</v>
      </c>
    </row>
    <row r="636" spans="1:12" x14ac:dyDescent="0.25">
      <c r="A636" t="s">
        <v>734</v>
      </c>
      <c r="B636" s="2">
        <v>9144</v>
      </c>
      <c r="C636" s="2">
        <v>2220</v>
      </c>
      <c r="D636">
        <v>18</v>
      </c>
      <c r="E636" t="s">
        <v>30</v>
      </c>
      <c r="F636" t="s">
        <v>78</v>
      </c>
      <c r="G636" t="s">
        <v>47</v>
      </c>
      <c r="H636" s="1">
        <v>44360</v>
      </c>
      <c r="I636" t="s">
        <v>735</v>
      </c>
      <c r="J636" s="10" t="s">
        <v>17</v>
      </c>
      <c r="K636" t="s">
        <v>18</v>
      </c>
      <c r="L636" t="s">
        <v>125</v>
      </c>
    </row>
    <row r="637" spans="1:12" x14ac:dyDescent="0.25">
      <c r="A637" t="s">
        <v>736</v>
      </c>
      <c r="B637" s="2">
        <v>4146</v>
      </c>
      <c r="C637" s="2">
        <v>865</v>
      </c>
      <c r="D637">
        <v>19</v>
      </c>
      <c r="E637" t="s">
        <v>45</v>
      </c>
      <c r="F637" t="s">
        <v>46</v>
      </c>
      <c r="G637" t="s">
        <v>40</v>
      </c>
      <c r="H637" s="1">
        <v>44746</v>
      </c>
      <c r="I637" t="s">
        <v>737</v>
      </c>
      <c r="J637" s="10" t="s">
        <v>71</v>
      </c>
      <c r="K637" t="s">
        <v>138</v>
      </c>
      <c r="L637" t="s">
        <v>418</v>
      </c>
    </row>
    <row r="638" spans="1:12" x14ac:dyDescent="0.25">
      <c r="A638" t="s">
        <v>736</v>
      </c>
      <c r="B638" s="2">
        <v>3793</v>
      </c>
      <c r="C638" s="2">
        <v>875</v>
      </c>
      <c r="D638">
        <v>7</v>
      </c>
      <c r="E638" t="s">
        <v>45</v>
      </c>
      <c r="F638" t="s">
        <v>46</v>
      </c>
      <c r="G638" t="s">
        <v>40</v>
      </c>
      <c r="H638" s="1">
        <v>44746</v>
      </c>
      <c r="I638" t="s">
        <v>737</v>
      </c>
      <c r="J638" s="10" t="s">
        <v>71</v>
      </c>
      <c r="K638" t="s">
        <v>138</v>
      </c>
      <c r="L638" t="s">
        <v>418</v>
      </c>
    </row>
    <row r="639" spans="1:12" x14ac:dyDescent="0.25">
      <c r="A639" t="s">
        <v>738</v>
      </c>
      <c r="B639" s="2">
        <v>7169</v>
      </c>
      <c r="C639" s="2">
        <v>2385</v>
      </c>
      <c r="D639">
        <v>11</v>
      </c>
      <c r="E639" t="s">
        <v>45</v>
      </c>
      <c r="F639" t="s">
        <v>60</v>
      </c>
      <c r="G639" t="s">
        <v>65</v>
      </c>
      <c r="H639" s="1">
        <v>44374</v>
      </c>
      <c r="I639" t="s">
        <v>739</v>
      </c>
      <c r="J639" s="10" t="s">
        <v>42</v>
      </c>
      <c r="K639" t="s">
        <v>43</v>
      </c>
      <c r="L639" t="s">
        <v>125</v>
      </c>
    </row>
    <row r="640" spans="1:12" x14ac:dyDescent="0.25">
      <c r="A640" t="s">
        <v>738</v>
      </c>
      <c r="B640" s="2">
        <v>4046</v>
      </c>
      <c r="C640" s="2">
        <v>417</v>
      </c>
      <c r="D640">
        <v>18</v>
      </c>
      <c r="E640" t="s">
        <v>45</v>
      </c>
      <c r="F640" t="s">
        <v>49</v>
      </c>
      <c r="G640" t="s">
        <v>47</v>
      </c>
      <c r="H640" s="1">
        <v>44374</v>
      </c>
      <c r="I640" t="s">
        <v>739</v>
      </c>
      <c r="J640" s="10" t="s">
        <v>42</v>
      </c>
      <c r="K640" t="s">
        <v>43</v>
      </c>
      <c r="L640" t="s">
        <v>125</v>
      </c>
    </row>
    <row r="641" spans="1:12" x14ac:dyDescent="0.25">
      <c r="A641" t="s">
        <v>740</v>
      </c>
      <c r="B641" s="2">
        <v>4164</v>
      </c>
      <c r="C641" s="2">
        <v>905</v>
      </c>
      <c r="D641">
        <v>11</v>
      </c>
      <c r="E641" t="s">
        <v>13</v>
      </c>
      <c r="F641" t="s">
        <v>82</v>
      </c>
      <c r="G641" t="s">
        <v>65</v>
      </c>
      <c r="H641" s="1">
        <v>45264</v>
      </c>
      <c r="I641" t="s">
        <v>741</v>
      </c>
      <c r="J641" s="10" t="s">
        <v>42</v>
      </c>
      <c r="K641" t="s">
        <v>75</v>
      </c>
      <c r="L641" t="s">
        <v>102</v>
      </c>
    </row>
    <row r="642" spans="1:12" x14ac:dyDescent="0.25">
      <c r="A642" t="s">
        <v>740</v>
      </c>
      <c r="B642" s="2">
        <v>5389</v>
      </c>
      <c r="C642" s="2">
        <v>2196</v>
      </c>
      <c r="D642">
        <v>5</v>
      </c>
      <c r="E642" t="s">
        <v>45</v>
      </c>
      <c r="F642" t="s">
        <v>46</v>
      </c>
      <c r="G642" t="s">
        <v>15</v>
      </c>
      <c r="H642" s="1">
        <v>45264</v>
      </c>
      <c r="I642" t="s">
        <v>741</v>
      </c>
      <c r="J642" s="10" t="s">
        <v>42</v>
      </c>
      <c r="K642" t="s">
        <v>75</v>
      </c>
      <c r="L642" t="s">
        <v>102</v>
      </c>
    </row>
    <row r="643" spans="1:12" x14ac:dyDescent="0.25">
      <c r="A643" t="s">
        <v>742</v>
      </c>
      <c r="B643" s="2">
        <v>5448</v>
      </c>
      <c r="C643" s="2">
        <v>2204</v>
      </c>
      <c r="D643">
        <v>5</v>
      </c>
      <c r="E643" t="s">
        <v>45</v>
      </c>
      <c r="F643" t="s">
        <v>60</v>
      </c>
      <c r="G643" t="s">
        <v>65</v>
      </c>
      <c r="H643" s="1">
        <v>44782</v>
      </c>
      <c r="I643" t="s">
        <v>743</v>
      </c>
      <c r="J643" s="10" t="s">
        <v>25</v>
      </c>
      <c r="K643" t="s">
        <v>51</v>
      </c>
      <c r="L643" t="s">
        <v>209</v>
      </c>
    </row>
    <row r="644" spans="1:12" x14ac:dyDescent="0.25">
      <c r="A644" t="s">
        <v>744</v>
      </c>
      <c r="B644" s="2">
        <v>4115</v>
      </c>
      <c r="C644" s="2">
        <v>1285</v>
      </c>
      <c r="D644">
        <v>1</v>
      </c>
      <c r="E644" t="s">
        <v>45</v>
      </c>
      <c r="F644" t="s">
        <v>60</v>
      </c>
      <c r="G644" t="s">
        <v>15</v>
      </c>
      <c r="H644" s="1">
        <v>43929</v>
      </c>
      <c r="I644" t="s">
        <v>745</v>
      </c>
      <c r="J644" s="10" t="s">
        <v>17</v>
      </c>
      <c r="K644" t="s">
        <v>34</v>
      </c>
      <c r="L644" t="s">
        <v>162</v>
      </c>
    </row>
    <row r="645" spans="1:12" x14ac:dyDescent="0.25">
      <c r="A645" t="s">
        <v>744</v>
      </c>
      <c r="B645" s="2">
        <v>4761</v>
      </c>
      <c r="C645" s="2">
        <v>2231</v>
      </c>
      <c r="D645">
        <v>12</v>
      </c>
      <c r="E645" t="s">
        <v>45</v>
      </c>
      <c r="F645" t="s">
        <v>46</v>
      </c>
      <c r="G645" t="s">
        <v>15</v>
      </c>
      <c r="H645" s="1">
        <v>43929</v>
      </c>
      <c r="I645" t="s">
        <v>745</v>
      </c>
      <c r="J645" s="10" t="s">
        <v>17</v>
      </c>
      <c r="K645" t="s">
        <v>34</v>
      </c>
      <c r="L645" t="s">
        <v>162</v>
      </c>
    </row>
    <row r="646" spans="1:12" x14ac:dyDescent="0.25">
      <c r="A646" t="s">
        <v>746</v>
      </c>
      <c r="B646" s="2">
        <v>5899</v>
      </c>
      <c r="C646" s="2">
        <v>2264</v>
      </c>
      <c r="D646">
        <v>6</v>
      </c>
      <c r="E646" t="s">
        <v>30</v>
      </c>
      <c r="F646" t="s">
        <v>78</v>
      </c>
      <c r="G646" t="s">
        <v>40</v>
      </c>
      <c r="H646" s="1">
        <v>45219</v>
      </c>
      <c r="I646" t="s">
        <v>747</v>
      </c>
      <c r="J646" s="10" t="s">
        <v>25</v>
      </c>
      <c r="K646" t="s">
        <v>26</v>
      </c>
      <c r="L646" t="s">
        <v>442</v>
      </c>
    </row>
    <row r="647" spans="1:12" x14ac:dyDescent="0.25">
      <c r="A647" t="s">
        <v>748</v>
      </c>
      <c r="B647" s="2">
        <v>6109</v>
      </c>
      <c r="C647" s="2">
        <v>3040</v>
      </c>
      <c r="D647">
        <v>9</v>
      </c>
      <c r="E647" t="s">
        <v>45</v>
      </c>
      <c r="F647" t="s">
        <v>49</v>
      </c>
      <c r="G647" t="s">
        <v>40</v>
      </c>
      <c r="H647" s="1">
        <v>44602</v>
      </c>
      <c r="I647" t="s">
        <v>749</v>
      </c>
      <c r="J647" s="10" t="s">
        <v>25</v>
      </c>
      <c r="K647" t="s">
        <v>26</v>
      </c>
      <c r="L647" t="s">
        <v>137</v>
      </c>
    </row>
    <row r="648" spans="1:12" x14ac:dyDescent="0.25">
      <c r="A648" t="s">
        <v>748</v>
      </c>
      <c r="B648" s="2">
        <v>6109</v>
      </c>
      <c r="C648" s="2">
        <v>3040</v>
      </c>
      <c r="D648">
        <v>9</v>
      </c>
      <c r="E648" t="s">
        <v>45</v>
      </c>
      <c r="F648" t="s">
        <v>49</v>
      </c>
      <c r="G648" t="s">
        <v>40</v>
      </c>
      <c r="H648" s="1">
        <v>45204</v>
      </c>
      <c r="I648" t="s">
        <v>750</v>
      </c>
      <c r="J648" s="10" t="s">
        <v>25</v>
      </c>
      <c r="K648" t="s">
        <v>68</v>
      </c>
      <c r="L648" t="s">
        <v>442</v>
      </c>
    </row>
    <row r="649" spans="1:12" x14ac:dyDescent="0.25">
      <c r="A649" t="s">
        <v>748</v>
      </c>
      <c r="B649" s="2">
        <v>4628</v>
      </c>
      <c r="C649" s="2">
        <v>1491</v>
      </c>
      <c r="D649">
        <v>17</v>
      </c>
      <c r="E649" t="s">
        <v>13</v>
      </c>
      <c r="F649" t="s">
        <v>14</v>
      </c>
      <c r="G649" t="s">
        <v>15</v>
      </c>
      <c r="H649" s="1">
        <v>44602</v>
      </c>
      <c r="I649" t="s">
        <v>749</v>
      </c>
      <c r="J649" s="10" t="s">
        <v>25</v>
      </c>
      <c r="K649" t="s">
        <v>26</v>
      </c>
      <c r="L649" t="s">
        <v>137</v>
      </c>
    </row>
    <row r="650" spans="1:12" x14ac:dyDescent="0.25">
      <c r="A650" t="s">
        <v>748</v>
      </c>
      <c r="B650" s="2">
        <v>4628</v>
      </c>
      <c r="C650" s="2">
        <v>1491</v>
      </c>
      <c r="D650">
        <v>17</v>
      </c>
      <c r="E650" t="s">
        <v>13</v>
      </c>
      <c r="F650" t="s">
        <v>14</v>
      </c>
      <c r="G650" t="s">
        <v>15</v>
      </c>
      <c r="H650" s="1">
        <v>45204</v>
      </c>
      <c r="I650" t="s">
        <v>750</v>
      </c>
      <c r="J650" s="10" t="s">
        <v>25</v>
      </c>
      <c r="K650" t="s">
        <v>68</v>
      </c>
      <c r="L650" t="s">
        <v>442</v>
      </c>
    </row>
    <row r="651" spans="1:12" x14ac:dyDescent="0.25">
      <c r="A651" t="s">
        <v>751</v>
      </c>
      <c r="B651" s="2">
        <v>4369</v>
      </c>
      <c r="C651" s="2">
        <v>584</v>
      </c>
      <c r="D651">
        <v>13</v>
      </c>
      <c r="E651" t="s">
        <v>30</v>
      </c>
      <c r="F651" t="s">
        <v>31</v>
      </c>
      <c r="G651" t="s">
        <v>47</v>
      </c>
      <c r="H651" s="1">
        <v>44826</v>
      </c>
      <c r="I651" t="s">
        <v>752</v>
      </c>
      <c r="J651" s="10" t="s">
        <v>21</v>
      </c>
      <c r="K651" t="s">
        <v>172</v>
      </c>
      <c r="L651" t="s">
        <v>131</v>
      </c>
    </row>
    <row r="652" spans="1:12" x14ac:dyDescent="0.25">
      <c r="A652" t="s">
        <v>751</v>
      </c>
      <c r="B652" s="2">
        <v>4369</v>
      </c>
      <c r="C652" s="2">
        <v>584</v>
      </c>
      <c r="D652">
        <v>13</v>
      </c>
      <c r="E652" t="s">
        <v>30</v>
      </c>
      <c r="F652" t="s">
        <v>31</v>
      </c>
      <c r="G652" t="s">
        <v>47</v>
      </c>
      <c r="H652" s="1">
        <v>44289</v>
      </c>
      <c r="I652" t="s">
        <v>753</v>
      </c>
      <c r="J652" s="10" t="s">
        <v>71</v>
      </c>
      <c r="K652" t="s">
        <v>86</v>
      </c>
      <c r="L652" t="s">
        <v>139</v>
      </c>
    </row>
    <row r="653" spans="1:12" x14ac:dyDescent="0.25">
      <c r="A653" t="s">
        <v>754</v>
      </c>
      <c r="B653" s="2">
        <v>5632</v>
      </c>
      <c r="C653" s="2">
        <v>2358</v>
      </c>
      <c r="D653">
        <v>20</v>
      </c>
      <c r="E653" t="s">
        <v>45</v>
      </c>
      <c r="F653" t="s">
        <v>60</v>
      </c>
      <c r="G653" t="s">
        <v>47</v>
      </c>
      <c r="H653" s="1">
        <v>44319</v>
      </c>
      <c r="I653" t="s">
        <v>755</v>
      </c>
      <c r="J653" s="10" t="s">
        <v>42</v>
      </c>
      <c r="K653" t="s">
        <v>43</v>
      </c>
      <c r="L653" t="s">
        <v>108</v>
      </c>
    </row>
    <row r="654" spans="1:12" x14ac:dyDescent="0.25">
      <c r="A654" t="s">
        <v>754</v>
      </c>
      <c r="B654" s="2">
        <v>5632</v>
      </c>
      <c r="C654" s="2">
        <v>2358</v>
      </c>
      <c r="D654">
        <v>20</v>
      </c>
      <c r="E654" t="s">
        <v>45</v>
      </c>
      <c r="F654" t="s">
        <v>60</v>
      </c>
      <c r="G654" t="s">
        <v>47</v>
      </c>
      <c r="H654" s="1">
        <v>45333</v>
      </c>
      <c r="I654" t="s">
        <v>756</v>
      </c>
      <c r="J654" s="10" t="s">
        <v>17</v>
      </c>
      <c r="K654" t="s">
        <v>18</v>
      </c>
      <c r="L654" t="s">
        <v>218</v>
      </c>
    </row>
    <row r="655" spans="1:12" x14ac:dyDescent="0.25">
      <c r="A655" t="s">
        <v>754</v>
      </c>
      <c r="B655" s="2">
        <v>5632</v>
      </c>
      <c r="C655" s="2">
        <v>2358</v>
      </c>
      <c r="D655">
        <v>20</v>
      </c>
      <c r="E655" t="s">
        <v>45</v>
      </c>
      <c r="F655" t="s">
        <v>60</v>
      </c>
      <c r="G655" t="s">
        <v>47</v>
      </c>
      <c r="H655" s="1">
        <v>45692</v>
      </c>
      <c r="I655" t="s">
        <v>757</v>
      </c>
      <c r="J655" s="10" t="s">
        <v>98</v>
      </c>
      <c r="K655" t="s">
        <v>117</v>
      </c>
      <c r="L655" t="s">
        <v>73</v>
      </c>
    </row>
    <row r="656" spans="1:12" x14ac:dyDescent="0.25">
      <c r="A656" t="s">
        <v>758</v>
      </c>
      <c r="B656" s="2">
        <v>7519</v>
      </c>
      <c r="C656" s="2">
        <v>402</v>
      </c>
      <c r="D656">
        <v>14</v>
      </c>
      <c r="E656" t="s">
        <v>30</v>
      </c>
      <c r="F656" t="s">
        <v>64</v>
      </c>
      <c r="G656" t="s">
        <v>15</v>
      </c>
      <c r="H656" s="1">
        <v>44846</v>
      </c>
      <c r="I656" t="s">
        <v>759</v>
      </c>
      <c r="J656" s="10" t="s">
        <v>42</v>
      </c>
      <c r="K656" t="s">
        <v>75</v>
      </c>
      <c r="L656" t="s">
        <v>96</v>
      </c>
    </row>
    <row r="657" spans="1:12" x14ac:dyDescent="0.25">
      <c r="A657" t="s">
        <v>758</v>
      </c>
      <c r="B657" s="2">
        <v>1564</v>
      </c>
      <c r="C657" s="2">
        <v>674</v>
      </c>
      <c r="D657">
        <v>13</v>
      </c>
      <c r="E657" t="s">
        <v>13</v>
      </c>
      <c r="F657" t="s">
        <v>14</v>
      </c>
      <c r="G657" t="s">
        <v>32</v>
      </c>
      <c r="H657" s="1">
        <v>44846</v>
      </c>
      <c r="I657" t="s">
        <v>759</v>
      </c>
      <c r="J657" s="10" t="s">
        <v>42</v>
      </c>
      <c r="K657" t="s">
        <v>75</v>
      </c>
      <c r="L657" t="s">
        <v>96</v>
      </c>
    </row>
    <row r="658" spans="1:12" x14ac:dyDescent="0.25">
      <c r="A658" t="s">
        <v>760</v>
      </c>
      <c r="B658" s="2">
        <v>2804</v>
      </c>
      <c r="C658" s="2">
        <v>936</v>
      </c>
      <c r="D658">
        <v>10</v>
      </c>
      <c r="E658" t="s">
        <v>13</v>
      </c>
      <c r="F658" t="s">
        <v>14</v>
      </c>
      <c r="G658" t="s">
        <v>47</v>
      </c>
      <c r="H658" s="1">
        <v>44598</v>
      </c>
      <c r="I658" t="s">
        <v>761</v>
      </c>
      <c r="J658" s="10" t="s">
        <v>71</v>
      </c>
      <c r="K658" t="s">
        <v>86</v>
      </c>
      <c r="L658" t="s">
        <v>137</v>
      </c>
    </row>
    <row r="659" spans="1:12" x14ac:dyDescent="0.25">
      <c r="A659" t="s">
        <v>760</v>
      </c>
      <c r="B659" s="2">
        <v>2804</v>
      </c>
      <c r="C659" s="2">
        <v>936</v>
      </c>
      <c r="D659">
        <v>10</v>
      </c>
      <c r="E659" t="s">
        <v>13</v>
      </c>
      <c r="F659" t="s">
        <v>14</v>
      </c>
      <c r="G659" t="s">
        <v>47</v>
      </c>
      <c r="H659" s="1">
        <v>44144</v>
      </c>
      <c r="I659" t="s">
        <v>762</v>
      </c>
      <c r="J659" s="10" t="s">
        <v>17</v>
      </c>
      <c r="K659" t="s">
        <v>150</v>
      </c>
      <c r="L659" t="s">
        <v>80</v>
      </c>
    </row>
    <row r="660" spans="1:12" x14ac:dyDescent="0.25">
      <c r="A660" t="s">
        <v>760</v>
      </c>
      <c r="B660" s="2">
        <v>2804</v>
      </c>
      <c r="C660" s="2">
        <v>936</v>
      </c>
      <c r="D660">
        <v>10</v>
      </c>
      <c r="E660" t="s">
        <v>13</v>
      </c>
      <c r="F660" t="s">
        <v>14</v>
      </c>
      <c r="G660" t="s">
        <v>47</v>
      </c>
      <c r="H660" s="1">
        <v>45049</v>
      </c>
      <c r="I660" t="s">
        <v>763</v>
      </c>
      <c r="J660" s="10" t="s">
        <v>17</v>
      </c>
      <c r="K660" t="s">
        <v>150</v>
      </c>
      <c r="L660" t="s">
        <v>127</v>
      </c>
    </row>
    <row r="661" spans="1:12" x14ac:dyDescent="0.25">
      <c r="A661" t="s">
        <v>764</v>
      </c>
      <c r="B661" s="2">
        <v>2321</v>
      </c>
      <c r="C661" s="2">
        <v>505</v>
      </c>
      <c r="D661">
        <v>6</v>
      </c>
      <c r="E661" t="s">
        <v>45</v>
      </c>
      <c r="F661" t="s">
        <v>49</v>
      </c>
      <c r="G661" t="s">
        <v>40</v>
      </c>
      <c r="H661" s="1">
        <v>44838</v>
      </c>
      <c r="I661" t="s">
        <v>765</v>
      </c>
      <c r="J661" s="10" t="s">
        <v>21</v>
      </c>
      <c r="K661" t="s">
        <v>63</v>
      </c>
      <c r="L661" t="s">
        <v>96</v>
      </c>
    </row>
    <row r="662" spans="1:12" x14ac:dyDescent="0.25">
      <c r="A662" t="s">
        <v>766</v>
      </c>
      <c r="B662" s="2">
        <v>5730</v>
      </c>
      <c r="C662" s="2">
        <v>482</v>
      </c>
      <c r="D662">
        <v>6</v>
      </c>
      <c r="E662" t="s">
        <v>13</v>
      </c>
      <c r="F662" t="s">
        <v>39</v>
      </c>
      <c r="G662" t="s">
        <v>65</v>
      </c>
      <c r="H662" s="1">
        <v>45525</v>
      </c>
      <c r="I662" t="s">
        <v>767</v>
      </c>
      <c r="J662" s="10" t="s">
        <v>17</v>
      </c>
      <c r="K662" t="s">
        <v>150</v>
      </c>
      <c r="L662" t="s">
        <v>114</v>
      </c>
    </row>
    <row r="663" spans="1:12" x14ac:dyDescent="0.25">
      <c r="A663" t="s">
        <v>768</v>
      </c>
      <c r="B663" s="2">
        <v>7441</v>
      </c>
      <c r="C663" s="2">
        <v>867</v>
      </c>
      <c r="D663">
        <v>12</v>
      </c>
      <c r="E663" t="s">
        <v>45</v>
      </c>
      <c r="F663" t="s">
        <v>60</v>
      </c>
      <c r="G663" t="s">
        <v>65</v>
      </c>
      <c r="H663" s="1">
        <v>44520</v>
      </c>
      <c r="I663" t="s">
        <v>769</v>
      </c>
      <c r="J663" s="10" t="s">
        <v>21</v>
      </c>
      <c r="K663" t="s">
        <v>22</v>
      </c>
      <c r="L663" t="s">
        <v>175</v>
      </c>
    </row>
    <row r="664" spans="1:12" x14ac:dyDescent="0.25">
      <c r="A664" t="s">
        <v>768</v>
      </c>
      <c r="B664" s="2">
        <v>7441</v>
      </c>
      <c r="C664" s="2">
        <v>867</v>
      </c>
      <c r="D664">
        <v>12</v>
      </c>
      <c r="E664" t="s">
        <v>45</v>
      </c>
      <c r="F664" t="s">
        <v>60</v>
      </c>
      <c r="G664" t="s">
        <v>65</v>
      </c>
      <c r="H664" s="1">
        <v>43964</v>
      </c>
      <c r="I664" t="s">
        <v>770</v>
      </c>
      <c r="J664" s="10" t="s">
        <v>71</v>
      </c>
      <c r="K664" t="s">
        <v>86</v>
      </c>
      <c r="L664" t="s">
        <v>59</v>
      </c>
    </row>
    <row r="665" spans="1:12" x14ac:dyDescent="0.25">
      <c r="A665" t="s">
        <v>771</v>
      </c>
      <c r="B665" s="2">
        <v>1732</v>
      </c>
      <c r="C665" s="2">
        <v>766</v>
      </c>
      <c r="D665">
        <v>7</v>
      </c>
      <c r="E665" t="s">
        <v>30</v>
      </c>
      <c r="F665" t="s">
        <v>78</v>
      </c>
      <c r="G665" t="s">
        <v>15</v>
      </c>
      <c r="H665" s="1">
        <v>44985</v>
      </c>
      <c r="I665" t="s">
        <v>772</v>
      </c>
      <c r="J665" s="10" t="s">
        <v>25</v>
      </c>
      <c r="K665" t="s">
        <v>51</v>
      </c>
      <c r="L665" t="s">
        <v>93</v>
      </c>
    </row>
    <row r="666" spans="1:12" x14ac:dyDescent="0.25">
      <c r="A666" t="s">
        <v>771</v>
      </c>
      <c r="B666" s="2">
        <v>8788</v>
      </c>
      <c r="C666" s="2">
        <v>3944</v>
      </c>
      <c r="D666">
        <v>19</v>
      </c>
      <c r="E666" t="s">
        <v>30</v>
      </c>
      <c r="F666" t="s">
        <v>64</v>
      </c>
      <c r="G666" t="s">
        <v>40</v>
      </c>
      <c r="H666" s="1">
        <v>44985</v>
      </c>
      <c r="I666" t="s">
        <v>772</v>
      </c>
      <c r="J666" s="10" t="s">
        <v>25</v>
      </c>
      <c r="K666" t="s">
        <v>51</v>
      </c>
      <c r="L666" t="s">
        <v>93</v>
      </c>
    </row>
    <row r="667" spans="1:12" x14ac:dyDescent="0.25">
      <c r="A667" t="s">
        <v>773</v>
      </c>
      <c r="B667" s="2">
        <v>838</v>
      </c>
      <c r="C667" s="2">
        <v>271</v>
      </c>
      <c r="D667">
        <v>11</v>
      </c>
      <c r="E667" t="s">
        <v>30</v>
      </c>
      <c r="F667" t="s">
        <v>57</v>
      </c>
      <c r="G667" t="s">
        <v>40</v>
      </c>
      <c r="H667" s="1">
        <v>44217</v>
      </c>
      <c r="I667" t="s">
        <v>774</v>
      </c>
      <c r="J667" s="10" t="s">
        <v>98</v>
      </c>
      <c r="K667" t="s">
        <v>99</v>
      </c>
      <c r="L667" t="s">
        <v>276</v>
      </c>
    </row>
    <row r="668" spans="1:12" x14ac:dyDescent="0.25">
      <c r="A668" t="s">
        <v>773</v>
      </c>
      <c r="B668" s="2">
        <v>838</v>
      </c>
      <c r="C668" s="2">
        <v>271</v>
      </c>
      <c r="D668">
        <v>11</v>
      </c>
      <c r="E668" t="s">
        <v>30</v>
      </c>
      <c r="F668" t="s">
        <v>57</v>
      </c>
      <c r="G668" t="s">
        <v>40</v>
      </c>
      <c r="H668" s="1">
        <v>44620</v>
      </c>
      <c r="I668" t="s">
        <v>775</v>
      </c>
      <c r="J668" s="10" t="s">
        <v>21</v>
      </c>
      <c r="K668" t="s">
        <v>172</v>
      </c>
      <c r="L668" t="s">
        <v>137</v>
      </c>
    </row>
    <row r="669" spans="1:12" x14ac:dyDescent="0.25">
      <c r="A669" t="s">
        <v>773</v>
      </c>
      <c r="B669" s="2">
        <v>3577</v>
      </c>
      <c r="C669" s="2">
        <v>699</v>
      </c>
      <c r="D669">
        <v>2</v>
      </c>
      <c r="E669" t="s">
        <v>45</v>
      </c>
      <c r="F669" t="s">
        <v>46</v>
      </c>
      <c r="G669" t="s">
        <v>15</v>
      </c>
      <c r="H669" s="1">
        <v>44217</v>
      </c>
      <c r="I669" t="s">
        <v>774</v>
      </c>
      <c r="J669" s="10" t="s">
        <v>98</v>
      </c>
      <c r="K669" t="s">
        <v>99</v>
      </c>
      <c r="L669" t="s">
        <v>276</v>
      </c>
    </row>
    <row r="670" spans="1:12" x14ac:dyDescent="0.25">
      <c r="A670" t="s">
        <v>773</v>
      </c>
      <c r="B670" s="2">
        <v>3577</v>
      </c>
      <c r="C670" s="2">
        <v>699</v>
      </c>
      <c r="D670">
        <v>2</v>
      </c>
      <c r="E670" t="s">
        <v>45</v>
      </c>
      <c r="F670" t="s">
        <v>46</v>
      </c>
      <c r="G670" t="s">
        <v>15</v>
      </c>
      <c r="H670" s="1">
        <v>44620</v>
      </c>
      <c r="I670" t="s">
        <v>775</v>
      </c>
      <c r="J670" s="10" t="s">
        <v>21</v>
      </c>
      <c r="K670" t="s">
        <v>172</v>
      </c>
      <c r="L670" t="s">
        <v>137</v>
      </c>
    </row>
    <row r="671" spans="1:12" x14ac:dyDescent="0.25">
      <c r="A671" t="s">
        <v>776</v>
      </c>
      <c r="B671" s="2">
        <v>7122</v>
      </c>
      <c r="C671" s="2">
        <v>1836</v>
      </c>
      <c r="D671">
        <v>6</v>
      </c>
      <c r="E671" t="s">
        <v>13</v>
      </c>
      <c r="F671" t="s">
        <v>82</v>
      </c>
      <c r="G671" t="s">
        <v>32</v>
      </c>
      <c r="H671" s="1">
        <v>45407</v>
      </c>
      <c r="I671" t="s">
        <v>777</v>
      </c>
      <c r="J671" s="10" t="s">
        <v>71</v>
      </c>
      <c r="K671" t="s">
        <v>72</v>
      </c>
      <c r="L671" t="s">
        <v>235</v>
      </c>
    </row>
    <row r="672" spans="1:12" x14ac:dyDescent="0.25">
      <c r="A672" t="s">
        <v>776</v>
      </c>
      <c r="B672" s="2">
        <v>7122</v>
      </c>
      <c r="C672" s="2">
        <v>1836</v>
      </c>
      <c r="D672">
        <v>6</v>
      </c>
      <c r="E672" t="s">
        <v>13</v>
      </c>
      <c r="F672" t="s">
        <v>82</v>
      </c>
      <c r="G672" t="s">
        <v>32</v>
      </c>
      <c r="H672" s="1">
        <v>44995</v>
      </c>
      <c r="I672" t="s">
        <v>778</v>
      </c>
      <c r="J672" s="10" t="s">
        <v>71</v>
      </c>
      <c r="K672" t="s">
        <v>138</v>
      </c>
      <c r="L672" t="s">
        <v>245</v>
      </c>
    </row>
    <row r="673" spans="1:12" x14ac:dyDescent="0.25">
      <c r="A673" t="s">
        <v>776</v>
      </c>
      <c r="B673" s="2">
        <v>7122</v>
      </c>
      <c r="C673" s="2">
        <v>1836</v>
      </c>
      <c r="D673">
        <v>6</v>
      </c>
      <c r="E673" t="s">
        <v>13</v>
      </c>
      <c r="F673" t="s">
        <v>82</v>
      </c>
      <c r="G673" t="s">
        <v>32</v>
      </c>
      <c r="H673" s="1">
        <v>45117</v>
      </c>
      <c r="I673" t="s">
        <v>779</v>
      </c>
      <c r="J673" s="10" t="s">
        <v>25</v>
      </c>
      <c r="K673" t="s">
        <v>51</v>
      </c>
      <c r="L673" t="s">
        <v>105</v>
      </c>
    </row>
    <row r="674" spans="1:12" x14ac:dyDescent="0.25">
      <c r="A674" t="s">
        <v>776</v>
      </c>
      <c r="B674" s="2">
        <v>7327</v>
      </c>
      <c r="C674" s="2">
        <v>2596</v>
      </c>
      <c r="D674">
        <v>15</v>
      </c>
      <c r="E674" t="s">
        <v>30</v>
      </c>
      <c r="F674" t="s">
        <v>57</v>
      </c>
      <c r="G674" t="s">
        <v>47</v>
      </c>
      <c r="H674" s="1">
        <v>45407</v>
      </c>
      <c r="I674" t="s">
        <v>777</v>
      </c>
      <c r="J674" s="10" t="s">
        <v>71</v>
      </c>
      <c r="K674" t="s">
        <v>72</v>
      </c>
      <c r="L674" t="s">
        <v>235</v>
      </c>
    </row>
    <row r="675" spans="1:12" x14ac:dyDescent="0.25">
      <c r="A675" t="s">
        <v>776</v>
      </c>
      <c r="B675" s="2">
        <v>7327</v>
      </c>
      <c r="C675" s="2">
        <v>2596</v>
      </c>
      <c r="D675">
        <v>15</v>
      </c>
      <c r="E675" t="s">
        <v>30</v>
      </c>
      <c r="F675" t="s">
        <v>57</v>
      </c>
      <c r="G675" t="s">
        <v>47</v>
      </c>
      <c r="H675" s="1">
        <v>44995</v>
      </c>
      <c r="I675" t="s">
        <v>778</v>
      </c>
      <c r="J675" s="10" t="s">
        <v>71</v>
      </c>
      <c r="K675" t="s">
        <v>138</v>
      </c>
      <c r="L675" t="s">
        <v>245</v>
      </c>
    </row>
    <row r="676" spans="1:12" x14ac:dyDescent="0.25">
      <c r="A676" t="s">
        <v>776</v>
      </c>
      <c r="B676" s="2">
        <v>7327</v>
      </c>
      <c r="C676" s="2">
        <v>2596</v>
      </c>
      <c r="D676">
        <v>15</v>
      </c>
      <c r="E676" t="s">
        <v>30</v>
      </c>
      <c r="F676" t="s">
        <v>57</v>
      </c>
      <c r="G676" t="s">
        <v>47</v>
      </c>
      <c r="H676" s="1">
        <v>45117</v>
      </c>
      <c r="I676" t="s">
        <v>779</v>
      </c>
      <c r="J676" s="10" t="s">
        <v>25</v>
      </c>
      <c r="K676" t="s">
        <v>51</v>
      </c>
      <c r="L676" t="s">
        <v>105</v>
      </c>
    </row>
    <row r="677" spans="1:12" x14ac:dyDescent="0.25">
      <c r="A677" t="s">
        <v>780</v>
      </c>
      <c r="B677" s="2">
        <v>2239</v>
      </c>
      <c r="C677" s="2">
        <v>1094</v>
      </c>
      <c r="D677">
        <v>18</v>
      </c>
      <c r="E677" t="s">
        <v>13</v>
      </c>
      <c r="F677" t="s">
        <v>28</v>
      </c>
      <c r="G677" t="s">
        <v>65</v>
      </c>
      <c r="H677" s="1">
        <v>45501</v>
      </c>
      <c r="I677" t="s">
        <v>781</v>
      </c>
      <c r="J677" s="10" t="s">
        <v>17</v>
      </c>
      <c r="K677" t="s">
        <v>150</v>
      </c>
      <c r="L677" t="s">
        <v>215</v>
      </c>
    </row>
    <row r="678" spans="1:12" x14ac:dyDescent="0.25">
      <c r="A678" t="s">
        <v>780</v>
      </c>
      <c r="B678" s="2">
        <v>4932</v>
      </c>
      <c r="C678" s="2">
        <v>1153</v>
      </c>
      <c r="D678">
        <v>1</v>
      </c>
      <c r="E678" t="s">
        <v>30</v>
      </c>
      <c r="F678" t="s">
        <v>57</v>
      </c>
      <c r="G678" t="s">
        <v>65</v>
      </c>
      <c r="H678" s="1">
        <v>45501</v>
      </c>
      <c r="I678" t="s">
        <v>781</v>
      </c>
      <c r="J678" s="10" t="s">
        <v>17</v>
      </c>
      <c r="K678" t="s">
        <v>150</v>
      </c>
      <c r="L678" t="s">
        <v>215</v>
      </c>
    </row>
    <row r="679" spans="1:12" x14ac:dyDescent="0.25">
      <c r="A679" t="s">
        <v>782</v>
      </c>
      <c r="B679" s="2">
        <v>4609</v>
      </c>
      <c r="C679" s="2">
        <v>1084</v>
      </c>
      <c r="D679">
        <v>8</v>
      </c>
      <c r="E679" t="s">
        <v>13</v>
      </c>
      <c r="F679" t="s">
        <v>28</v>
      </c>
      <c r="G679" t="s">
        <v>15</v>
      </c>
      <c r="H679" s="1">
        <v>45137</v>
      </c>
      <c r="I679" t="s">
        <v>783</v>
      </c>
      <c r="J679" s="10" t="s">
        <v>17</v>
      </c>
      <c r="K679" t="s">
        <v>34</v>
      </c>
      <c r="L679" t="s">
        <v>105</v>
      </c>
    </row>
    <row r="680" spans="1:12" x14ac:dyDescent="0.25">
      <c r="A680" t="s">
        <v>782</v>
      </c>
      <c r="B680" s="2">
        <v>2328</v>
      </c>
      <c r="C680" s="2">
        <v>788</v>
      </c>
      <c r="D680">
        <v>4</v>
      </c>
      <c r="E680" t="s">
        <v>30</v>
      </c>
      <c r="F680" t="s">
        <v>64</v>
      </c>
      <c r="G680" t="s">
        <v>15</v>
      </c>
      <c r="H680" s="1">
        <v>45137</v>
      </c>
      <c r="I680" t="s">
        <v>783</v>
      </c>
      <c r="J680" s="10" t="s">
        <v>17</v>
      </c>
      <c r="K680" t="s">
        <v>34</v>
      </c>
      <c r="L680" t="s">
        <v>105</v>
      </c>
    </row>
    <row r="681" spans="1:12" x14ac:dyDescent="0.25">
      <c r="A681" t="s">
        <v>782</v>
      </c>
      <c r="B681" s="2">
        <v>4734</v>
      </c>
      <c r="C681" s="2">
        <v>958</v>
      </c>
      <c r="D681">
        <v>7</v>
      </c>
      <c r="E681" t="s">
        <v>13</v>
      </c>
      <c r="F681" t="s">
        <v>28</v>
      </c>
      <c r="G681" t="s">
        <v>32</v>
      </c>
      <c r="H681" s="1">
        <v>45137</v>
      </c>
      <c r="I681" t="s">
        <v>783</v>
      </c>
      <c r="J681" s="10" t="s">
        <v>17</v>
      </c>
      <c r="K681" t="s">
        <v>34</v>
      </c>
      <c r="L681" t="s">
        <v>105</v>
      </c>
    </row>
    <row r="682" spans="1:12" x14ac:dyDescent="0.25">
      <c r="A682" t="s">
        <v>784</v>
      </c>
      <c r="B682" s="2">
        <v>1388</v>
      </c>
      <c r="C682" s="2">
        <v>345</v>
      </c>
      <c r="D682">
        <v>5</v>
      </c>
      <c r="E682" t="s">
        <v>45</v>
      </c>
      <c r="F682" t="s">
        <v>60</v>
      </c>
      <c r="G682" t="s">
        <v>15</v>
      </c>
      <c r="H682" s="1">
        <v>45570</v>
      </c>
      <c r="I682" t="s">
        <v>785</v>
      </c>
      <c r="J682" s="10" t="s">
        <v>25</v>
      </c>
      <c r="K682" t="s">
        <v>51</v>
      </c>
      <c r="L682" t="s">
        <v>360</v>
      </c>
    </row>
    <row r="683" spans="1:12" x14ac:dyDescent="0.25">
      <c r="A683" t="s">
        <v>784</v>
      </c>
      <c r="B683" s="2">
        <v>8555</v>
      </c>
      <c r="C683" s="2">
        <v>1638</v>
      </c>
      <c r="D683">
        <v>8</v>
      </c>
      <c r="E683" t="s">
        <v>13</v>
      </c>
      <c r="F683" t="s">
        <v>39</v>
      </c>
      <c r="G683" t="s">
        <v>47</v>
      </c>
      <c r="H683" s="1">
        <v>45570</v>
      </c>
      <c r="I683" t="s">
        <v>785</v>
      </c>
      <c r="J683" s="10" t="s">
        <v>25</v>
      </c>
      <c r="K683" t="s">
        <v>51</v>
      </c>
      <c r="L683" t="s">
        <v>360</v>
      </c>
    </row>
    <row r="684" spans="1:12" x14ac:dyDescent="0.25">
      <c r="A684" t="s">
        <v>786</v>
      </c>
      <c r="B684" s="2">
        <v>9024</v>
      </c>
      <c r="C684" s="2">
        <v>730</v>
      </c>
      <c r="D684">
        <v>4</v>
      </c>
      <c r="E684" t="s">
        <v>45</v>
      </c>
      <c r="F684" t="s">
        <v>46</v>
      </c>
      <c r="G684" t="s">
        <v>47</v>
      </c>
      <c r="H684" s="1">
        <v>45342</v>
      </c>
      <c r="I684" t="s">
        <v>787</v>
      </c>
      <c r="J684" s="10" t="s">
        <v>71</v>
      </c>
      <c r="K684" t="s">
        <v>72</v>
      </c>
      <c r="L684" t="s">
        <v>218</v>
      </c>
    </row>
    <row r="685" spans="1:12" x14ac:dyDescent="0.25">
      <c r="A685" t="s">
        <v>786</v>
      </c>
      <c r="B685" s="2">
        <v>2468</v>
      </c>
      <c r="C685" s="2">
        <v>418</v>
      </c>
      <c r="D685">
        <v>4</v>
      </c>
      <c r="E685" t="s">
        <v>13</v>
      </c>
      <c r="F685" t="s">
        <v>39</v>
      </c>
      <c r="G685" t="s">
        <v>47</v>
      </c>
      <c r="H685" s="1">
        <v>45342</v>
      </c>
      <c r="I685" t="s">
        <v>787</v>
      </c>
      <c r="J685" s="10" t="s">
        <v>71</v>
      </c>
      <c r="K685" t="s">
        <v>72</v>
      </c>
      <c r="L685" t="s">
        <v>218</v>
      </c>
    </row>
    <row r="686" spans="1:12" x14ac:dyDescent="0.25">
      <c r="A686" t="s">
        <v>788</v>
      </c>
      <c r="B686" s="2">
        <v>9438</v>
      </c>
      <c r="C686" s="2">
        <v>1801</v>
      </c>
      <c r="D686">
        <v>4</v>
      </c>
      <c r="E686" t="s">
        <v>13</v>
      </c>
      <c r="F686" t="s">
        <v>14</v>
      </c>
      <c r="G686" t="s">
        <v>65</v>
      </c>
      <c r="H686" s="1">
        <v>45035</v>
      </c>
      <c r="I686" t="s">
        <v>789</v>
      </c>
      <c r="J686" s="10" t="s">
        <v>17</v>
      </c>
      <c r="K686" t="s">
        <v>34</v>
      </c>
      <c r="L686" t="s">
        <v>145</v>
      </c>
    </row>
    <row r="687" spans="1:12" x14ac:dyDescent="0.25">
      <c r="A687" t="s">
        <v>788</v>
      </c>
      <c r="B687" s="2">
        <v>9438</v>
      </c>
      <c r="C687" s="2">
        <v>1801</v>
      </c>
      <c r="D687">
        <v>4</v>
      </c>
      <c r="E687" t="s">
        <v>13</v>
      </c>
      <c r="F687" t="s">
        <v>14</v>
      </c>
      <c r="G687" t="s">
        <v>65</v>
      </c>
      <c r="H687" s="1">
        <v>45228</v>
      </c>
      <c r="I687" t="s">
        <v>790</v>
      </c>
      <c r="J687" s="10" t="s">
        <v>71</v>
      </c>
      <c r="K687" t="s">
        <v>86</v>
      </c>
      <c r="L687" t="s">
        <v>442</v>
      </c>
    </row>
    <row r="688" spans="1:12" x14ac:dyDescent="0.25">
      <c r="A688" t="s">
        <v>791</v>
      </c>
      <c r="B688" s="2">
        <v>2685</v>
      </c>
      <c r="C688" s="2">
        <v>379</v>
      </c>
      <c r="D688">
        <v>18</v>
      </c>
      <c r="E688" t="s">
        <v>13</v>
      </c>
      <c r="F688" t="s">
        <v>82</v>
      </c>
      <c r="G688" t="s">
        <v>15</v>
      </c>
      <c r="H688" s="1">
        <v>44628</v>
      </c>
      <c r="I688" t="s">
        <v>792</v>
      </c>
      <c r="J688" s="10" t="s">
        <v>98</v>
      </c>
      <c r="K688" t="s">
        <v>117</v>
      </c>
      <c r="L688" t="s">
        <v>134</v>
      </c>
    </row>
    <row r="689" spans="1:12" x14ac:dyDescent="0.25">
      <c r="A689" t="s">
        <v>791</v>
      </c>
      <c r="B689" s="2">
        <v>2685</v>
      </c>
      <c r="C689" s="2">
        <v>379</v>
      </c>
      <c r="D689">
        <v>18</v>
      </c>
      <c r="E689" t="s">
        <v>13</v>
      </c>
      <c r="F689" t="s">
        <v>82</v>
      </c>
      <c r="G689" t="s">
        <v>15</v>
      </c>
      <c r="H689" s="1">
        <v>44903</v>
      </c>
      <c r="I689" t="s">
        <v>793</v>
      </c>
      <c r="J689" s="10" t="s">
        <v>17</v>
      </c>
      <c r="K689" t="s">
        <v>150</v>
      </c>
      <c r="L689" t="s">
        <v>152</v>
      </c>
    </row>
    <row r="690" spans="1:12" x14ac:dyDescent="0.25">
      <c r="A690" t="s">
        <v>791</v>
      </c>
      <c r="B690" s="2">
        <v>9916</v>
      </c>
      <c r="C690" s="2">
        <v>4602</v>
      </c>
      <c r="D690">
        <v>14</v>
      </c>
      <c r="E690" t="s">
        <v>45</v>
      </c>
      <c r="F690" t="s">
        <v>49</v>
      </c>
      <c r="G690" t="s">
        <v>15</v>
      </c>
      <c r="H690" s="1">
        <v>44628</v>
      </c>
      <c r="I690" t="s">
        <v>792</v>
      </c>
      <c r="J690" s="10" t="s">
        <v>98</v>
      </c>
      <c r="K690" t="s">
        <v>117</v>
      </c>
      <c r="L690" t="s">
        <v>134</v>
      </c>
    </row>
    <row r="691" spans="1:12" x14ac:dyDescent="0.25">
      <c r="A691" t="s">
        <v>791</v>
      </c>
      <c r="B691" s="2">
        <v>9916</v>
      </c>
      <c r="C691" s="2">
        <v>4602</v>
      </c>
      <c r="D691">
        <v>14</v>
      </c>
      <c r="E691" t="s">
        <v>45</v>
      </c>
      <c r="F691" t="s">
        <v>49</v>
      </c>
      <c r="G691" t="s">
        <v>15</v>
      </c>
      <c r="H691" s="1">
        <v>44903</v>
      </c>
      <c r="I691" t="s">
        <v>793</v>
      </c>
      <c r="J691" s="10" t="s">
        <v>17</v>
      </c>
      <c r="K691" t="s">
        <v>150</v>
      </c>
      <c r="L691" t="s">
        <v>152</v>
      </c>
    </row>
    <row r="692" spans="1:12" x14ac:dyDescent="0.25">
      <c r="A692" t="s">
        <v>791</v>
      </c>
      <c r="B692" s="2">
        <v>6184</v>
      </c>
      <c r="C692" s="2">
        <v>50</v>
      </c>
      <c r="D692">
        <v>14</v>
      </c>
      <c r="E692" t="s">
        <v>13</v>
      </c>
      <c r="F692" t="s">
        <v>14</v>
      </c>
      <c r="G692" t="s">
        <v>47</v>
      </c>
      <c r="H692" s="1">
        <v>44628</v>
      </c>
      <c r="I692" t="s">
        <v>792</v>
      </c>
      <c r="J692" s="10" t="s">
        <v>98</v>
      </c>
      <c r="K692" t="s">
        <v>117</v>
      </c>
      <c r="L692" t="s">
        <v>134</v>
      </c>
    </row>
    <row r="693" spans="1:12" x14ac:dyDescent="0.25">
      <c r="A693" t="s">
        <v>791</v>
      </c>
      <c r="B693" s="2">
        <v>6184</v>
      </c>
      <c r="C693" s="2">
        <v>50</v>
      </c>
      <c r="D693">
        <v>14</v>
      </c>
      <c r="E693" t="s">
        <v>13</v>
      </c>
      <c r="F693" t="s">
        <v>14</v>
      </c>
      <c r="G693" t="s">
        <v>47</v>
      </c>
      <c r="H693" s="1">
        <v>44903</v>
      </c>
      <c r="I693" t="s">
        <v>793</v>
      </c>
      <c r="J693" s="10" t="s">
        <v>17</v>
      </c>
      <c r="K693" t="s">
        <v>150</v>
      </c>
      <c r="L693" t="s">
        <v>152</v>
      </c>
    </row>
    <row r="694" spans="1:12" x14ac:dyDescent="0.25">
      <c r="A694" t="s">
        <v>791</v>
      </c>
      <c r="B694" s="2">
        <v>4548</v>
      </c>
      <c r="C694" s="2">
        <v>2135</v>
      </c>
      <c r="D694">
        <v>8</v>
      </c>
      <c r="E694" t="s">
        <v>30</v>
      </c>
      <c r="F694" t="s">
        <v>57</v>
      </c>
      <c r="G694" t="s">
        <v>32</v>
      </c>
      <c r="H694" s="1">
        <v>44628</v>
      </c>
      <c r="I694" t="s">
        <v>792</v>
      </c>
      <c r="J694" s="10" t="s">
        <v>98</v>
      </c>
      <c r="K694" t="s">
        <v>117</v>
      </c>
      <c r="L694" t="s">
        <v>134</v>
      </c>
    </row>
    <row r="695" spans="1:12" x14ac:dyDescent="0.25">
      <c r="A695" t="s">
        <v>791</v>
      </c>
      <c r="B695" s="2">
        <v>4548</v>
      </c>
      <c r="C695" s="2">
        <v>2135</v>
      </c>
      <c r="D695">
        <v>8</v>
      </c>
      <c r="E695" t="s">
        <v>30</v>
      </c>
      <c r="F695" t="s">
        <v>57</v>
      </c>
      <c r="G695" t="s">
        <v>32</v>
      </c>
      <c r="H695" s="1">
        <v>44903</v>
      </c>
      <c r="I695" t="s">
        <v>793</v>
      </c>
      <c r="J695" s="10" t="s">
        <v>17</v>
      </c>
      <c r="K695" t="s">
        <v>150</v>
      </c>
      <c r="L695" t="s">
        <v>152</v>
      </c>
    </row>
    <row r="696" spans="1:12" x14ac:dyDescent="0.25">
      <c r="A696" t="s">
        <v>794</v>
      </c>
      <c r="B696" s="2">
        <v>7195</v>
      </c>
      <c r="C696" s="2">
        <v>1665</v>
      </c>
      <c r="D696">
        <v>7</v>
      </c>
      <c r="E696" t="s">
        <v>30</v>
      </c>
      <c r="F696" t="s">
        <v>57</v>
      </c>
      <c r="G696" t="s">
        <v>65</v>
      </c>
      <c r="H696" s="1">
        <v>45500</v>
      </c>
      <c r="I696" t="s">
        <v>795</v>
      </c>
      <c r="J696" s="10" t="s">
        <v>25</v>
      </c>
      <c r="K696" t="s">
        <v>68</v>
      </c>
      <c r="L696" t="s">
        <v>215</v>
      </c>
    </row>
    <row r="697" spans="1:12" x14ac:dyDescent="0.25">
      <c r="A697" t="s">
        <v>794</v>
      </c>
      <c r="B697" s="2">
        <v>7195</v>
      </c>
      <c r="C697" s="2">
        <v>1665</v>
      </c>
      <c r="D697">
        <v>7</v>
      </c>
      <c r="E697" t="s">
        <v>30</v>
      </c>
      <c r="F697" t="s">
        <v>57</v>
      </c>
      <c r="G697" t="s">
        <v>65</v>
      </c>
      <c r="H697" s="1">
        <v>44747</v>
      </c>
      <c r="I697" t="s">
        <v>796</v>
      </c>
      <c r="J697" s="10" t="s">
        <v>25</v>
      </c>
      <c r="K697" t="s">
        <v>26</v>
      </c>
      <c r="L697" t="s">
        <v>418</v>
      </c>
    </row>
    <row r="698" spans="1:12" x14ac:dyDescent="0.25">
      <c r="A698" t="s">
        <v>797</v>
      </c>
      <c r="B698" s="2">
        <v>3098</v>
      </c>
      <c r="C698" s="2">
        <v>957</v>
      </c>
      <c r="D698">
        <v>18</v>
      </c>
      <c r="E698" t="s">
        <v>45</v>
      </c>
      <c r="F698" t="s">
        <v>109</v>
      </c>
      <c r="G698" t="s">
        <v>65</v>
      </c>
      <c r="H698" s="1">
        <v>45477</v>
      </c>
      <c r="I698" t="s">
        <v>798</v>
      </c>
      <c r="J698" s="10" t="s">
        <v>71</v>
      </c>
      <c r="K698" t="s">
        <v>86</v>
      </c>
      <c r="L698" t="s">
        <v>215</v>
      </c>
    </row>
    <row r="699" spans="1:12" x14ac:dyDescent="0.25">
      <c r="A699" t="s">
        <v>799</v>
      </c>
      <c r="B699" s="2">
        <v>5412</v>
      </c>
      <c r="C699" s="2">
        <v>1192</v>
      </c>
      <c r="D699">
        <v>18</v>
      </c>
      <c r="E699" t="s">
        <v>45</v>
      </c>
      <c r="F699" t="s">
        <v>46</v>
      </c>
      <c r="G699" t="s">
        <v>47</v>
      </c>
      <c r="H699" s="1">
        <v>45350</v>
      </c>
      <c r="I699" t="s">
        <v>800</v>
      </c>
      <c r="J699" s="10" t="s">
        <v>42</v>
      </c>
      <c r="K699" t="s">
        <v>75</v>
      </c>
      <c r="L699" t="s">
        <v>218</v>
      </c>
    </row>
    <row r="700" spans="1:12" x14ac:dyDescent="0.25">
      <c r="A700" t="s">
        <v>799</v>
      </c>
      <c r="B700" s="2">
        <v>5412</v>
      </c>
      <c r="C700" s="2">
        <v>1192</v>
      </c>
      <c r="D700">
        <v>18</v>
      </c>
      <c r="E700" t="s">
        <v>45</v>
      </c>
      <c r="F700" t="s">
        <v>46</v>
      </c>
      <c r="G700" t="s">
        <v>47</v>
      </c>
      <c r="H700" s="1">
        <v>45660</v>
      </c>
      <c r="I700" t="s">
        <v>801</v>
      </c>
      <c r="J700" s="10" t="s">
        <v>42</v>
      </c>
      <c r="K700" t="s">
        <v>43</v>
      </c>
      <c r="L700" t="s">
        <v>308</v>
      </c>
    </row>
    <row r="701" spans="1:12" x14ac:dyDescent="0.25">
      <c r="A701" t="s">
        <v>802</v>
      </c>
      <c r="B701" s="2">
        <v>1397</v>
      </c>
      <c r="C701" s="2">
        <v>686</v>
      </c>
      <c r="D701">
        <v>11</v>
      </c>
      <c r="E701" t="s">
        <v>45</v>
      </c>
      <c r="F701" t="s">
        <v>49</v>
      </c>
      <c r="G701" t="s">
        <v>47</v>
      </c>
      <c r="H701" s="1">
        <v>44537</v>
      </c>
      <c r="I701" t="s">
        <v>803</v>
      </c>
      <c r="J701" s="10" t="s">
        <v>25</v>
      </c>
      <c r="K701" t="s">
        <v>51</v>
      </c>
      <c r="L701" t="s">
        <v>90</v>
      </c>
    </row>
    <row r="702" spans="1:12" x14ac:dyDescent="0.25">
      <c r="A702" t="s">
        <v>804</v>
      </c>
      <c r="B702" s="2">
        <v>9279</v>
      </c>
      <c r="C702" s="2">
        <v>552</v>
      </c>
      <c r="D702">
        <v>14</v>
      </c>
      <c r="E702" t="s">
        <v>45</v>
      </c>
      <c r="F702" t="s">
        <v>49</v>
      </c>
      <c r="G702" t="s">
        <v>40</v>
      </c>
      <c r="H702" s="1">
        <v>44544</v>
      </c>
      <c r="I702" t="s">
        <v>805</v>
      </c>
      <c r="J702" s="10" t="s">
        <v>25</v>
      </c>
      <c r="K702" t="s">
        <v>26</v>
      </c>
      <c r="L702" t="s">
        <v>90</v>
      </c>
    </row>
    <row r="703" spans="1:12" x14ac:dyDescent="0.25">
      <c r="A703" t="s">
        <v>804</v>
      </c>
      <c r="B703" s="2">
        <v>9279</v>
      </c>
      <c r="C703" s="2">
        <v>552</v>
      </c>
      <c r="D703">
        <v>14</v>
      </c>
      <c r="E703" t="s">
        <v>45</v>
      </c>
      <c r="F703" t="s">
        <v>49</v>
      </c>
      <c r="G703" t="s">
        <v>40</v>
      </c>
      <c r="H703" s="1">
        <v>44165</v>
      </c>
      <c r="I703" t="s">
        <v>806</v>
      </c>
      <c r="J703" s="10" t="s">
        <v>42</v>
      </c>
      <c r="K703" t="s">
        <v>92</v>
      </c>
      <c r="L703" t="s">
        <v>80</v>
      </c>
    </row>
    <row r="704" spans="1:12" x14ac:dyDescent="0.25">
      <c r="A704" t="s">
        <v>804</v>
      </c>
      <c r="B704" s="2">
        <v>2596</v>
      </c>
      <c r="C704" s="2">
        <v>1003</v>
      </c>
      <c r="D704">
        <v>19</v>
      </c>
      <c r="E704" t="s">
        <v>30</v>
      </c>
      <c r="F704" t="s">
        <v>64</v>
      </c>
      <c r="G704" t="s">
        <v>47</v>
      </c>
      <c r="H704" s="1">
        <v>44544</v>
      </c>
      <c r="I704" t="s">
        <v>805</v>
      </c>
      <c r="J704" s="10" t="s">
        <v>25</v>
      </c>
      <c r="K704" t="s">
        <v>26</v>
      </c>
      <c r="L704" t="s">
        <v>90</v>
      </c>
    </row>
    <row r="705" spans="1:12" x14ac:dyDescent="0.25">
      <c r="A705" t="s">
        <v>804</v>
      </c>
      <c r="B705" s="2">
        <v>2596</v>
      </c>
      <c r="C705" s="2">
        <v>1003</v>
      </c>
      <c r="D705">
        <v>19</v>
      </c>
      <c r="E705" t="s">
        <v>30</v>
      </c>
      <c r="F705" t="s">
        <v>64</v>
      </c>
      <c r="G705" t="s">
        <v>47</v>
      </c>
      <c r="H705" s="1">
        <v>44165</v>
      </c>
      <c r="I705" t="s">
        <v>806</v>
      </c>
      <c r="J705" s="10" t="s">
        <v>42</v>
      </c>
      <c r="K705" t="s">
        <v>92</v>
      </c>
      <c r="L705" t="s">
        <v>80</v>
      </c>
    </row>
    <row r="706" spans="1:12" x14ac:dyDescent="0.25">
      <c r="A706" t="s">
        <v>807</v>
      </c>
      <c r="B706" s="2">
        <v>6732</v>
      </c>
      <c r="C706" s="2">
        <v>911</v>
      </c>
      <c r="D706">
        <v>19</v>
      </c>
      <c r="E706" t="s">
        <v>45</v>
      </c>
      <c r="F706" t="s">
        <v>109</v>
      </c>
      <c r="G706" t="s">
        <v>40</v>
      </c>
      <c r="H706" s="1">
        <v>44559</v>
      </c>
      <c r="I706" t="s">
        <v>808</v>
      </c>
      <c r="J706" s="10" t="s">
        <v>25</v>
      </c>
      <c r="K706" t="s">
        <v>26</v>
      </c>
      <c r="L706" t="s">
        <v>90</v>
      </c>
    </row>
    <row r="707" spans="1:12" x14ac:dyDescent="0.25">
      <c r="A707" t="s">
        <v>807</v>
      </c>
      <c r="B707" s="2">
        <v>4495</v>
      </c>
      <c r="C707" s="2">
        <v>1408</v>
      </c>
      <c r="D707">
        <v>14</v>
      </c>
      <c r="E707" t="s">
        <v>30</v>
      </c>
      <c r="F707" t="s">
        <v>31</v>
      </c>
      <c r="G707" t="s">
        <v>40</v>
      </c>
      <c r="H707" s="1">
        <v>44559</v>
      </c>
      <c r="I707" t="s">
        <v>808</v>
      </c>
      <c r="J707" s="10" t="s">
        <v>25</v>
      </c>
      <c r="K707" t="s">
        <v>26</v>
      </c>
      <c r="L707" t="s">
        <v>90</v>
      </c>
    </row>
    <row r="708" spans="1:12" x14ac:dyDescent="0.25">
      <c r="A708" t="s">
        <v>809</v>
      </c>
      <c r="B708" s="2">
        <v>9653</v>
      </c>
      <c r="C708" s="2">
        <v>2471</v>
      </c>
      <c r="D708">
        <v>6</v>
      </c>
      <c r="E708" t="s">
        <v>30</v>
      </c>
      <c r="F708" t="s">
        <v>64</v>
      </c>
      <c r="G708" t="s">
        <v>15</v>
      </c>
      <c r="H708" s="1">
        <v>45481</v>
      </c>
      <c r="I708" t="s">
        <v>810</v>
      </c>
      <c r="J708" s="10" t="s">
        <v>25</v>
      </c>
      <c r="K708" t="s">
        <v>26</v>
      </c>
      <c r="L708" t="s">
        <v>215</v>
      </c>
    </row>
    <row r="709" spans="1:12" x14ac:dyDescent="0.25">
      <c r="A709" t="s">
        <v>811</v>
      </c>
      <c r="B709" s="2">
        <v>8945</v>
      </c>
      <c r="C709" s="2">
        <v>1728</v>
      </c>
      <c r="D709">
        <v>10</v>
      </c>
      <c r="E709" t="s">
        <v>45</v>
      </c>
      <c r="F709" t="s">
        <v>46</v>
      </c>
      <c r="G709" t="s">
        <v>15</v>
      </c>
      <c r="H709" s="1">
        <v>44237</v>
      </c>
      <c r="I709" t="s">
        <v>812</v>
      </c>
      <c r="J709" s="10" t="s">
        <v>21</v>
      </c>
      <c r="K709" t="s">
        <v>172</v>
      </c>
      <c r="L709" t="s">
        <v>292</v>
      </c>
    </row>
    <row r="710" spans="1:12" x14ac:dyDescent="0.25">
      <c r="A710" t="s">
        <v>813</v>
      </c>
      <c r="B710" s="2">
        <v>4007</v>
      </c>
      <c r="C710" s="2">
        <v>201</v>
      </c>
      <c r="D710">
        <v>13</v>
      </c>
      <c r="E710" t="s">
        <v>45</v>
      </c>
      <c r="F710" t="s">
        <v>109</v>
      </c>
      <c r="G710" t="s">
        <v>65</v>
      </c>
      <c r="H710" s="1">
        <v>44125</v>
      </c>
      <c r="I710" t="s">
        <v>814</v>
      </c>
      <c r="J710" s="10" t="s">
        <v>98</v>
      </c>
      <c r="K710" t="s">
        <v>99</v>
      </c>
      <c r="L710" t="s">
        <v>119</v>
      </c>
    </row>
    <row r="711" spans="1:12" x14ac:dyDescent="0.25">
      <c r="A711" t="s">
        <v>813</v>
      </c>
      <c r="B711" s="2">
        <v>4007</v>
      </c>
      <c r="C711" s="2">
        <v>201</v>
      </c>
      <c r="D711">
        <v>13</v>
      </c>
      <c r="E711" t="s">
        <v>45</v>
      </c>
      <c r="F711" t="s">
        <v>109</v>
      </c>
      <c r="G711" t="s">
        <v>65</v>
      </c>
      <c r="H711" s="1">
        <v>45033</v>
      </c>
      <c r="I711" t="s">
        <v>815</v>
      </c>
      <c r="J711" s="10" t="s">
        <v>71</v>
      </c>
      <c r="K711" t="s">
        <v>72</v>
      </c>
      <c r="L711" t="s">
        <v>145</v>
      </c>
    </row>
    <row r="712" spans="1:12" x14ac:dyDescent="0.25">
      <c r="A712" t="s">
        <v>816</v>
      </c>
      <c r="B712" s="2">
        <v>810</v>
      </c>
      <c r="C712" s="2">
        <v>231</v>
      </c>
      <c r="D712">
        <v>18</v>
      </c>
      <c r="E712" t="s">
        <v>45</v>
      </c>
      <c r="F712" t="s">
        <v>109</v>
      </c>
      <c r="G712" t="s">
        <v>40</v>
      </c>
      <c r="H712" s="1">
        <v>44125</v>
      </c>
      <c r="I712" t="s">
        <v>817</v>
      </c>
      <c r="J712" s="10" t="s">
        <v>17</v>
      </c>
      <c r="K712" t="s">
        <v>150</v>
      </c>
      <c r="L712" t="s">
        <v>119</v>
      </c>
    </row>
    <row r="713" spans="1:12" x14ac:dyDescent="0.25">
      <c r="A713" t="s">
        <v>818</v>
      </c>
      <c r="B713" s="2">
        <v>9789</v>
      </c>
      <c r="C713" s="2">
        <v>2071</v>
      </c>
      <c r="D713">
        <v>18</v>
      </c>
      <c r="E713" t="s">
        <v>45</v>
      </c>
      <c r="F713" t="s">
        <v>109</v>
      </c>
      <c r="G713" t="s">
        <v>32</v>
      </c>
      <c r="H713" s="1">
        <v>45288</v>
      </c>
      <c r="I713" t="s">
        <v>819</v>
      </c>
      <c r="J713" s="10" t="s">
        <v>25</v>
      </c>
      <c r="K713" t="s">
        <v>68</v>
      </c>
      <c r="L713" t="s">
        <v>102</v>
      </c>
    </row>
    <row r="714" spans="1:12" x14ac:dyDescent="0.25">
      <c r="A714" t="s">
        <v>818</v>
      </c>
      <c r="B714" s="2">
        <v>9229</v>
      </c>
      <c r="C714" s="2">
        <v>4090</v>
      </c>
      <c r="D714">
        <v>8</v>
      </c>
      <c r="E714" t="s">
        <v>13</v>
      </c>
      <c r="F714" t="s">
        <v>14</v>
      </c>
      <c r="G714" t="s">
        <v>65</v>
      </c>
      <c r="H714" s="1">
        <v>45288</v>
      </c>
      <c r="I714" t="s">
        <v>819</v>
      </c>
      <c r="J714" s="10" t="s">
        <v>25</v>
      </c>
      <c r="K714" t="s">
        <v>68</v>
      </c>
      <c r="L714" t="s">
        <v>102</v>
      </c>
    </row>
    <row r="715" spans="1:12" x14ac:dyDescent="0.25">
      <c r="A715" t="s">
        <v>820</v>
      </c>
      <c r="B715" s="2">
        <v>8141</v>
      </c>
      <c r="C715" s="2">
        <v>3968</v>
      </c>
      <c r="D715">
        <v>18</v>
      </c>
      <c r="E715" t="s">
        <v>30</v>
      </c>
      <c r="F715" t="s">
        <v>57</v>
      </c>
      <c r="G715" t="s">
        <v>32</v>
      </c>
      <c r="H715" s="1">
        <v>44918</v>
      </c>
      <c r="I715" t="s">
        <v>821</v>
      </c>
      <c r="J715" s="10" t="s">
        <v>25</v>
      </c>
      <c r="K715" t="s">
        <v>68</v>
      </c>
      <c r="L715" t="s">
        <v>152</v>
      </c>
    </row>
    <row r="716" spans="1:12" x14ac:dyDescent="0.25">
      <c r="A716" t="s">
        <v>820</v>
      </c>
      <c r="B716" s="2">
        <v>8141</v>
      </c>
      <c r="C716" s="2">
        <v>3968</v>
      </c>
      <c r="D716">
        <v>18</v>
      </c>
      <c r="E716" t="s">
        <v>30</v>
      </c>
      <c r="F716" t="s">
        <v>57</v>
      </c>
      <c r="G716" t="s">
        <v>32</v>
      </c>
      <c r="H716" s="1">
        <v>44783</v>
      </c>
      <c r="I716" t="s">
        <v>822</v>
      </c>
      <c r="J716" s="10" t="s">
        <v>21</v>
      </c>
      <c r="K716" t="s">
        <v>172</v>
      </c>
      <c r="L716" t="s">
        <v>209</v>
      </c>
    </row>
    <row r="717" spans="1:12" x14ac:dyDescent="0.25">
      <c r="A717" t="s">
        <v>820</v>
      </c>
      <c r="B717" s="2">
        <v>1067</v>
      </c>
      <c r="C717" s="2">
        <v>251</v>
      </c>
      <c r="D717">
        <v>14</v>
      </c>
      <c r="E717" t="s">
        <v>45</v>
      </c>
      <c r="F717" t="s">
        <v>60</v>
      </c>
      <c r="G717" t="s">
        <v>40</v>
      </c>
      <c r="H717" s="1">
        <v>44918</v>
      </c>
      <c r="I717" t="s">
        <v>821</v>
      </c>
      <c r="J717" s="10" t="s">
        <v>25</v>
      </c>
      <c r="K717" t="s">
        <v>68</v>
      </c>
      <c r="L717" t="s">
        <v>152</v>
      </c>
    </row>
    <row r="718" spans="1:12" x14ac:dyDescent="0.25">
      <c r="A718" t="s">
        <v>820</v>
      </c>
      <c r="B718" s="2">
        <v>1067</v>
      </c>
      <c r="C718" s="2">
        <v>251</v>
      </c>
      <c r="D718">
        <v>14</v>
      </c>
      <c r="E718" t="s">
        <v>45</v>
      </c>
      <c r="F718" t="s">
        <v>60</v>
      </c>
      <c r="G718" t="s">
        <v>40</v>
      </c>
      <c r="H718" s="1">
        <v>44783</v>
      </c>
      <c r="I718" t="s">
        <v>822</v>
      </c>
      <c r="J718" s="10" t="s">
        <v>21</v>
      </c>
      <c r="K718" t="s">
        <v>172</v>
      </c>
      <c r="L718" t="s">
        <v>209</v>
      </c>
    </row>
    <row r="719" spans="1:12" x14ac:dyDescent="0.25">
      <c r="A719" t="s">
        <v>823</v>
      </c>
      <c r="B719" s="2">
        <v>3839</v>
      </c>
      <c r="C719" s="2">
        <v>1415</v>
      </c>
      <c r="D719">
        <v>10</v>
      </c>
      <c r="E719" t="s">
        <v>30</v>
      </c>
      <c r="F719" t="s">
        <v>78</v>
      </c>
      <c r="G719" t="s">
        <v>15</v>
      </c>
      <c r="H719" s="1">
        <v>45216</v>
      </c>
      <c r="I719" t="s">
        <v>824</v>
      </c>
      <c r="J719" s="10" t="s">
        <v>42</v>
      </c>
      <c r="K719" t="s">
        <v>43</v>
      </c>
      <c r="L719" t="s">
        <v>442</v>
      </c>
    </row>
    <row r="720" spans="1:12" x14ac:dyDescent="0.25">
      <c r="A720" t="s">
        <v>823</v>
      </c>
      <c r="B720" s="2">
        <v>3839</v>
      </c>
      <c r="C720" s="2">
        <v>1415</v>
      </c>
      <c r="D720">
        <v>10</v>
      </c>
      <c r="E720" t="s">
        <v>30</v>
      </c>
      <c r="F720" t="s">
        <v>78</v>
      </c>
      <c r="G720" t="s">
        <v>15</v>
      </c>
      <c r="H720" s="1">
        <v>44620</v>
      </c>
      <c r="I720" t="s">
        <v>825</v>
      </c>
      <c r="J720" s="10" t="s">
        <v>17</v>
      </c>
      <c r="K720" t="s">
        <v>34</v>
      </c>
      <c r="L720" t="s">
        <v>137</v>
      </c>
    </row>
    <row r="721" spans="1:12" x14ac:dyDescent="0.25">
      <c r="A721" t="s">
        <v>826</v>
      </c>
      <c r="B721" s="2">
        <v>2858</v>
      </c>
      <c r="C721" s="2">
        <v>482</v>
      </c>
      <c r="D721">
        <v>13</v>
      </c>
      <c r="E721" t="s">
        <v>13</v>
      </c>
      <c r="F721" t="s">
        <v>14</v>
      </c>
      <c r="G721" t="s">
        <v>65</v>
      </c>
      <c r="H721" s="1">
        <v>45436</v>
      </c>
      <c r="I721" t="s">
        <v>827</v>
      </c>
      <c r="J721" s="10" t="s">
        <v>71</v>
      </c>
      <c r="K721" t="s">
        <v>86</v>
      </c>
      <c r="L721" t="s">
        <v>35</v>
      </c>
    </row>
    <row r="722" spans="1:12" x14ac:dyDescent="0.25">
      <c r="A722" t="s">
        <v>828</v>
      </c>
      <c r="B722" s="2">
        <v>2137</v>
      </c>
      <c r="C722" s="2">
        <v>638</v>
      </c>
      <c r="D722">
        <v>12</v>
      </c>
      <c r="E722" t="s">
        <v>45</v>
      </c>
      <c r="F722" t="s">
        <v>109</v>
      </c>
      <c r="G722" t="s">
        <v>32</v>
      </c>
      <c r="H722" s="1">
        <v>44106</v>
      </c>
      <c r="I722" t="s">
        <v>829</v>
      </c>
      <c r="J722" s="10" t="s">
        <v>25</v>
      </c>
      <c r="K722" t="s">
        <v>51</v>
      </c>
      <c r="L722" t="s">
        <v>119</v>
      </c>
    </row>
    <row r="723" spans="1:12" x14ac:dyDescent="0.25">
      <c r="A723" t="s">
        <v>828</v>
      </c>
      <c r="B723" s="2">
        <v>2831</v>
      </c>
      <c r="C723" s="2">
        <v>1289</v>
      </c>
      <c r="D723">
        <v>12</v>
      </c>
      <c r="E723" t="s">
        <v>45</v>
      </c>
      <c r="F723" t="s">
        <v>49</v>
      </c>
      <c r="G723" t="s">
        <v>32</v>
      </c>
      <c r="H723" s="1">
        <v>44106</v>
      </c>
      <c r="I723" t="s">
        <v>829</v>
      </c>
      <c r="J723" s="10" t="s">
        <v>25</v>
      </c>
      <c r="K723" t="s">
        <v>51</v>
      </c>
      <c r="L723" t="s">
        <v>119</v>
      </c>
    </row>
    <row r="724" spans="1:12" x14ac:dyDescent="0.25">
      <c r="A724" t="s">
        <v>830</v>
      </c>
      <c r="B724" s="2">
        <v>3913</v>
      </c>
      <c r="C724" s="2">
        <v>961</v>
      </c>
      <c r="D724">
        <v>15</v>
      </c>
      <c r="E724" t="s">
        <v>45</v>
      </c>
      <c r="F724" t="s">
        <v>60</v>
      </c>
      <c r="G724" t="s">
        <v>15</v>
      </c>
      <c r="H724" s="1">
        <v>45332</v>
      </c>
      <c r="I724" t="s">
        <v>831</v>
      </c>
      <c r="J724" s="10" t="s">
        <v>98</v>
      </c>
      <c r="K724" t="s">
        <v>99</v>
      </c>
      <c r="L724" t="s">
        <v>218</v>
      </c>
    </row>
    <row r="725" spans="1:12" x14ac:dyDescent="0.25">
      <c r="A725" t="s">
        <v>830</v>
      </c>
      <c r="B725" s="2">
        <v>3913</v>
      </c>
      <c r="C725" s="2">
        <v>961</v>
      </c>
      <c r="D725">
        <v>15</v>
      </c>
      <c r="E725" t="s">
        <v>45</v>
      </c>
      <c r="F725" t="s">
        <v>60</v>
      </c>
      <c r="G725" t="s">
        <v>15</v>
      </c>
      <c r="H725" s="1">
        <v>44233</v>
      </c>
      <c r="I725" t="s">
        <v>832</v>
      </c>
      <c r="J725" s="10" t="s">
        <v>42</v>
      </c>
      <c r="K725" t="s">
        <v>92</v>
      </c>
      <c r="L725" t="s">
        <v>292</v>
      </c>
    </row>
    <row r="726" spans="1:12" x14ac:dyDescent="0.25">
      <c r="A726" t="s">
        <v>833</v>
      </c>
      <c r="B726" s="2">
        <v>4468</v>
      </c>
      <c r="C726" s="2">
        <v>1940</v>
      </c>
      <c r="D726">
        <v>9</v>
      </c>
      <c r="E726" t="s">
        <v>30</v>
      </c>
      <c r="F726" t="s">
        <v>64</v>
      </c>
      <c r="G726" t="s">
        <v>65</v>
      </c>
      <c r="H726" s="1">
        <v>44636</v>
      </c>
      <c r="I726" t="s">
        <v>834</v>
      </c>
      <c r="J726" s="10" t="s">
        <v>17</v>
      </c>
      <c r="K726" t="s">
        <v>150</v>
      </c>
      <c r="L726" t="s">
        <v>134</v>
      </c>
    </row>
    <row r="727" spans="1:12" x14ac:dyDescent="0.25">
      <c r="A727" t="s">
        <v>835</v>
      </c>
      <c r="B727" s="2">
        <v>1579</v>
      </c>
      <c r="C727" s="2">
        <v>602</v>
      </c>
      <c r="D727">
        <v>9</v>
      </c>
      <c r="E727" t="s">
        <v>13</v>
      </c>
      <c r="F727" t="s">
        <v>39</v>
      </c>
      <c r="G727" t="s">
        <v>47</v>
      </c>
      <c r="H727" s="1">
        <v>43975</v>
      </c>
      <c r="I727" t="s">
        <v>836</v>
      </c>
      <c r="J727" s="10" t="s">
        <v>98</v>
      </c>
      <c r="K727" t="s">
        <v>107</v>
      </c>
      <c r="L727" t="s">
        <v>59</v>
      </c>
    </row>
    <row r="728" spans="1:12" x14ac:dyDescent="0.25">
      <c r="A728" t="s">
        <v>835</v>
      </c>
      <c r="B728" s="2">
        <v>1579</v>
      </c>
      <c r="C728" s="2">
        <v>602</v>
      </c>
      <c r="D728">
        <v>9</v>
      </c>
      <c r="E728" t="s">
        <v>13</v>
      </c>
      <c r="F728" t="s">
        <v>39</v>
      </c>
      <c r="G728" t="s">
        <v>47</v>
      </c>
      <c r="H728" s="1">
        <v>45704</v>
      </c>
      <c r="I728" t="s">
        <v>837</v>
      </c>
      <c r="J728" s="10" t="s">
        <v>71</v>
      </c>
      <c r="K728" t="s">
        <v>72</v>
      </c>
      <c r="L728" t="s">
        <v>73</v>
      </c>
    </row>
    <row r="729" spans="1:12" x14ac:dyDescent="0.25">
      <c r="A729" t="s">
        <v>835</v>
      </c>
      <c r="B729" s="2">
        <v>1579</v>
      </c>
      <c r="C729" s="2">
        <v>602</v>
      </c>
      <c r="D729">
        <v>9</v>
      </c>
      <c r="E729" t="s">
        <v>13</v>
      </c>
      <c r="F729" t="s">
        <v>39</v>
      </c>
      <c r="G729" t="s">
        <v>47</v>
      </c>
      <c r="H729" s="1">
        <v>44516</v>
      </c>
      <c r="I729" t="s">
        <v>838</v>
      </c>
      <c r="J729" s="10" t="s">
        <v>98</v>
      </c>
      <c r="K729" t="s">
        <v>107</v>
      </c>
      <c r="L729" t="s">
        <v>175</v>
      </c>
    </row>
    <row r="730" spans="1:12" x14ac:dyDescent="0.25">
      <c r="A730" t="s">
        <v>835</v>
      </c>
      <c r="B730" s="2">
        <v>1579</v>
      </c>
      <c r="C730" s="2">
        <v>602</v>
      </c>
      <c r="D730">
        <v>9</v>
      </c>
      <c r="E730" t="s">
        <v>13</v>
      </c>
      <c r="F730" t="s">
        <v>39</v>
      </c>
      <c r="G730" t="s">
        <v>47</v>
      </c>
      <c r="H730" s="1">
        <v>45543</v>
      </c>
      <c r="I730" t="s">
        <v>839</v>
      </c>
      <c r="J730" s="10" t="s">
        <v>25</v>
      </c>
      <c r="K730" t="s">
        <v>68</v>
      </c>
      <c r="L730" t="s">
        <v>159</v>
      </c>
    </row>
    <row r="731" spans="1:12" x14ac:dyDescent="0.25">
      <c r="A731" t="s">
        <v>835</v>
      </c>
      <c r="B731" s="2">
        <v>3760</v>
      </c>
      <c r="C731" s="2">
        <v>1849</v>
      </c>
      <c r="D731">
        <v>19</v>
      </c>
      <c r="E731" t="s">
        <v>45</v>
      </c>
      <c r="F731" t="s">
        <v>49</v>
      </c>
      <c r="G731" t="s">
        <v>40</v>
      </c>
      <c r="H731" s="1">
        <v>43975</v>
      </c>
      <c r="I731" t="s">
        <v>836</v>
      </c>
      <c r="J731" s="10" t="s">
        <v>98</v>
      </c>
      <c r="K731" t="s">
        <v>107</v>
      </c>
      <c r="L731" t="s">
        <v>59</v>
      </c>
    </row>
    <row r="732" spans="1:12" x14ac:dyDescent="0.25">
      <c r="A732" t="s">
        <v>835</v>
      </c>
      <c r="B732" s="2">
        <v>3760</v>
      </c>
      <c r="C732" s="2">
        <v>1849</v>
      </c>
      <c r="D732">
        <v>19</v>
      </c>
      <c r="E732" t="s">
        <v>45</v>
      </c>
      <c r="F732" t="s">
        <v>49</v>
      </c>
      <c r="G732" t="s">
        <v>40</v>
      </c>
      <c r="H732" s="1">
        <v>45704</v>
      </c>
      <c r="I732" t="s">
        <v>837</v>
      </c>
      <c r="J732" s="10" t="s">
        <v>71</v>
      </c>
      <c r="K732" t="s">
        <v>72</v>
      </c>
      <c r="L732" t="s">
        <v>73</v>
      </c>
    </row>
    <row r="733" spans="1:12" x14ac:dyDescent="0.25">
      <c r="A733" t="s">
        <v>835</v>
      </c>
      <c r="B733" s="2">
        <v>3760</v>
      </c>
      <c r="C733" s="2">
        <v>1849</v>
      </c>
      <c r="D733">
        <v>19</v>
      </c>
      <c r="E733" t="s">
        <v>45</v>
      </c>
      <c r="F733" t="s">
        <v>49</v>
      </c>
      <c r="G733" t="s">
        <v>40</v>
      </c>
      <c r="H733" s="1">
        <v>44516</v>
      </c>
      <c r="I733" t="s">
        <v>838</v>
      </c>
      <c r="J733" s="10" t="s">
        <v>98</v>
      </c>
      <c r="K733" t="s">
        <v>107</v>
      </c>
      <c r="L733" t="s">
        <v>175</v>
      </c>
    </row>
    <row r="734" spans="1:12" x14ac:dyDescent="0.25">
      <c r="A734" t="s">
        <v>835</v>
      </c>
      <c r="B734" s="2">
        <v>3760</v>
      </c>
      <c r="C734" s="2">
        <v>1849</v>
      </c>
      <c r="D734">
        <v>19</v>
      </c>
      <c r="E734" t="s">
        <v>45</v>
      </c>
      <c r="F734" t="s">
        <v>49</v>
      </c>
      <c r="G734" t="s">
        <v>40</v>
      </c>
      <c r="H734" s="1">
        <v>45543</v>
      </c>
      <c r="I734" t="s">
        <v>839</v>
      </c>
      <c r="J734" s="10" t="s">
        <v>25</v>
      </c>
      <c r="K734" t="s">
        <v>68</v>
      </c>
      <c r="L734" t="s">
        <v>159</v>
      </c>
    </row>
    <row r="735" spans="1:12" x14ac:dyDescent="0.25">
      <c r="A735" t="s">
        <v>840</v>
      </c>
      <c r="B735" s="2">
        <v>8706</v>
      </c>
      <c r="C735" s="2">
        <v>3099</v>
      </c>
      <c r="D735">
        <v>14</v>
      </c>
      <c r="E735" t="s">
        <v>30</v>
      </c>
      <c r="F735" t="s">
        <v>31</v>
      </c>
      <c r="G735" t="s">
        <v>47</v>
      </c>
      <c r="H735" s="1">
        <v>44741</v>
      </c>
      <c r="I735" t="s">
        <v>841</v>
      </c>
      <c r="J735" s="10" t="s">
        <v>21</v>
      </c>
      <c r="K735" t="s">
        <v>22</v>
      </c>
      <c r="L735" t="s">
        <v>165</v>
      </c>
    </row>
    <row r="736" spans="1:12" x14ac:dyDescent="0.25">
      <c r="A736" t="s">
        <v>840</v>
      </c>
      <c r="B736" s="2">
        <v>4708</v>
      </c>
      <c r="C736" s="2">
        <v>696</v>
      </c>
      <c r="D736">
        <v>14</v>
      </c>
      <c r="E736" t="s">
        <v>13</v>
      </c>
      <c r="F736" t="s">
        <v>14</v>
      </c>
      <c r="G736" t="s">
        <v>47</v>
      </c>
      <c r="H736" s="1">
        <v>44741</v>
      </c>
      <c r="I736" t="s">
        <v>841</v>
      </c>
      <c r="J736" s="10" t="s">
        <v>21</v>
      </c>
      <c r="K736" t="s">
        <v>22</v>
      </c>
      <c r="L736" t="s">
        <v>165</v>
      </c>
    </row>
    <row r="737" spans="1:12" x14ac:dyDescent="0.25">
      <c r="A737" t="s">
        <v>840</v>
      </c>
      <c r="B737" s="2">
        <v>8089</v>
      </c>
      <c r="C737" s="2">
        <v>3132</v>
      </c>
      <c r="D737">
        <v>17</v>
      </c>
      <c r="E737" t="s">
        <v>45</v>
      </c>
      <c r="F737" t="s">
        <v>49</v>
      </c>
      <c r="G737" t="s">
        <v>65</v>
      </c>
      <c r="H737" s="1">
        <v>44741</v>
      </c>
      <c r="I737" t="s">
        <v>841</v>
      </c>
      <c r="J737" s="10" t="s">
        <v>21</v>
      </c>
      <c r="K737" t="s">
        <v>22</v>
      </c>
      <c r="L737" t="s">
        <v>165</v>
      </c>
    </row>
    <row r="738" spans="1:12" x14ac:dyDescent="0.25">
      <c r="A738" t="s">
        <v>842</v>
      </c>
      <c r="B738" s="2">
        <v>5462</v>
      </c>
      <c r="C738" s="2">
        <v>673</v>
      </c>
      <c r="D738">
        <v>12</v>
      </c>
      <c r="E738" t="s">
        <v>13</v>
      </c>
      <c r="F738" t="s">
        <v>28</v>
      </c>
      <c r="G738" t="s">
        <v>32</v>
      </c>
      <c r="H738" s="1">
        <v>44868</v>
      </c>
      <c r="I738" t="s">
        <v>843</v>
      </c>
      <c r="J738" s="10" t="s">
        <v>71</v>
      </c>
      <c r="K738" t="s">
        <v>86</v>
      </c>
      <c r="L738" t="s">
        <v>44</v>
      </c>
    </row>
    <row r="739" spans="1:12" x14ac:dyDescent="0.25">
      <c r="A739" t="s">
        <v>844</v>
      </c>
      <c r="B739" s="2">
        <v>6392</v>
      </c>
      <c r="C739" s="2">
        <v>444</v>
      </c>
      <c r="D739">
        <v>18</v>
      </c>
      <c r="E739" t="s">
        <v>13</v>
      </c>
      <c r="F739" t="s">
        <v>14</v>
      </c>
      <c r="G739" t="s">
        <v>47</v>
      </c>
      <c r="H739" s="1">
        <v>45258</v>
      </c>
      <c r="I739" t="s">
        <v>845</v>
      </c>
      <c r="J739" s="10" t="s">
        <v>17</v>
      </c>
      <c r="K739" t="s">
        <v>150</v>
      </c>
      <c r="L739" t="s">
        <v>52</v>
      </c>
    </row>
    <row r="740" spans="1:12" x14ac:dyDescent="0.25">
      <c r="A740" t="s">
        <v>846</v>
      </c>
      <c r="B740" s="2">
        <v>8706</v>
      </c>
      <c r="C740" s="2">
        <v>1724</v>
      </c>
      <c r="D740">
        <v>3</v>
      </c>
      <c r="E740" t="s">
        <v>13</v>
      </c>
      <c r="F740" t="s">
        <v>14</v>
      </c>
      <c r="G740" t="s">
        <v>32</v>
      </c>
      <c r="H740" s="1">
        <v>43946</v>
      </c>
      <c r="I740" t="s">
        <v>847</v>
      </c>
      <c r="J740" s="10" t="s">
        <v>17</v>
      </c>
      <c r="K740" t="s">
        <v>34</v>
      </c>
      <c r="L740" t="s">
        <v>162</v>
      </c>
    </row>
    <row r="741" spans="1:12" x14ac:dyDescent="0.25">
      <c r="A741" t="s">
        <v>848</v>
      </c>
      <c r="B741" s="2">
        <v>2349</v>
      </c>
      <c r="C741" s="2">
        <v>319</v>
      </c>
      <c r="D741">
        <v>4</v>
      </c>
      <c r="E741" t="s">
        <v>30</v>
      </c>
      <c r="F741" t="s">
        <v>31</v>
      </c>
      <c r="G741" t="s">
        <v>15</v>
      </c>
      <c r="H741" s="1">
        <v>44579</v>
      </c>
      <c r="I741" t="s">
        <v>849</v>
      </c>
      <c r="J741" s="10" t="s">
        <v>17</v>
      </c>
      <c r="K741" t="s">
        <v>18</v>
      </c>
      <c r="L741" t="s">
        <v>87</v>
      </c>
    </row>
    <row r="742" spans="1:12" x14ac:dyDescent="0.25">
      <c r="A742" t="s">
        <v>848</v>
      </c>
      <c r="B742" s="2">
        <v>8220</v>
      </c>
      <c r="C742" s="2">
        <v>3882</v>
      </c>
      <c r="D742">
        <v>14</v>
      </c>
      <c r="E742" t="s">
        <v>45</v>
      </c>
      <c r="F742" t="s">
        <v>49</v>
      </c>
      <c r="G742" t="s">
        <v>15</v>
      </c>
      <c r="H742" s="1">
        <v>44579</v>
      </c>
      <c r="I742" t="s">
        <v>849</v>
      </c>
      <c r="J742" s="10" t="s">
        <v>17</v>
      </c>
      <c r="K742" t="s">
        <v>18</v>
      </c>
      <c r="L742" t="s">
        <v>87</v>
      </c>
    </row>
    <row r="743" spans="1:12" x14ac:dyDescent="0.25">
      <c r="A743" t="s">
        <v>848</v>
      </c>
      <c r="B743" s="2">
        <v>2379</v>
      </c>
      <c r="C743" s="2">
        <v>279</v>
      </c>
      <c r="D743">
        <v>7</v>
      </c>
      <c r="E743" t="s">
        <v>45</v>
      </c>
      <c r="F743" t="s">
        <v>49</v>
      </c>
      <c r="G743" t="s">
        <v>32</v>
      </c>
      <c r="H743" s="1">
        <v>44579</v>
      </c>
      <c r="I743" t="s">
        <v>849</v>
      </c>
      <c r="J743" s="10" t="s">
        <v>17</v>
      </c>
      <c r="K743" t="s">
        <v>18</v>
      </c>
      <c r="L743" t="s">
        <v>87</v>
      </c>
    </row>
    <row r="744" spans="1:12" x14ac:dyDescent="0.25">
      <c r="A744" t="s">
        <v>848</v>
      </c>
      <c r="B744" s="2">
        <v>7377</v>
      </c>
      <c r="C744" s="2">
        <v>2049</v>
      </c>
      <c r="D744">
        <v>4</v>
      </c>
      <c r="E744" t="s">
        <v>30</v>
      </c>
      <c r="F744" t="s">
        <v>57</v>
      </c>
      <c r="G744" t="s">
        <v>15</v>
      </c>
      <c r="H744" s="1">
        <v>44579</v>
      </c>
      <c r="I744" t="s">
        <v>849</v>
      </c>
      <c r="J744" s="10" t="s">
        <v>17</v>
      </c>
      <c r="K744" t="s">
        <v>18</v>
      </c>
      <c r="L744" t="s">
        <v>87</v>
      </c>
    </row>
    <row r="745" spans="1:12" x14ac:dyDescent="0.25">
      <c r="A745" t="s">
        <v>850</v>
      </c>
      <c r="B745" s="2">
        <v>717</v>
      </c>
      <c r="C745" s="2">
        <v>158</v>
      </c>
      <c r="D745">
        <v>16</v>
      </c>
      <c r="E745" t="s">
        <v>45</v>
      </c>
      <c r="F745" t="s">
        <v>46</v>
      </c>
      <c r="G745" t="s">
        <v>47</v>
      </c>
      <c r="H745" s="1">
        <v>44643</v>
      </c>
      <c r="I745" t="s">
        <v>851</v>
      </c>
      <c r="J745" s="10" t="s">
        <v>98</v>
      </c>
      <c r="K745" t="s">
        <v>117</v>
      </c>
      <c r="L745" t="s">
        <v>134</v>
      </c>
    </row>
    <row r="746" spans="1:12" x14ac:dyDescent="0.25">
      <c r="A746" t="s">
        <v>850</v>
      </c>
      <c r="B746" s="2">
        <v>717</v>
      </c>
      <c r="C746" s="2">
        <v>158</v>
      </c>
      <c r="D746">
        <v>16</v>
      </c>
      <c r="E746" t="s">
        <v>45</v>
      </c>
      <c r="F746" t="s">
        <v>46</v>
      </c>
      <c r="G746" t="s">
        <v>47</v>
      </c>
      <c r="H746" s="1">
        <v>44006</v>
      </c>
      <c r="I746" t="s">
        <v>852</v>
      </c>
      <c r="J746" s="10" t="s">
        <v>17</v>
      </c>
      <c r="K746" t="s">
        <v>18</v>
      </c>
      <c r="L746" t="s">
        <v>313</v>
      </c>
    </row>
    <row r="747" spans="1:12" x14ac:dyDescent="0.25">
      <c r="A747" t="s">
        <v>850</v>
      </c>
      <c r="B747" s="2">
        <v>717</v>
      </c>
      <c r="C747" s="2">
        <v>158</v>
      </c>
      <c r="D747">
        <v>16</v>
      </c>
      <c r="E747" t="s">
        <v>45</v>
      </c>
      <c r="F747" t="s">
        <v>46</v>
      </c>
      <c r="G747" t="s">
        <v>47</v>
      </c>
      <c r="H747" s="1">
        <v>44918</v>
      </c>
      <c r="I747" t="s">
        <v>853</v>
      </c>
      <c r="J747" s="10" t="s">
        <v>25</v>
      </c>
      <c r="K747" t="s">
        <v>26</v>
      </c>
      <c r="L747" t="s">
        <v>152</v>
      </c>
    </row>
    <row r="748" spans="1:12" x14ac:dyDescent="0.25">
      <c r="A748" t="s">
        <v>850</v>
      </c>
      <c r="B748" s="2">
        <v>717</v>
      </c>
      <c r="C748" s="2">
        <v>158</v>
      </c>
      <c r="D748">
        <v>16</v>
      </c>
      <c r="E748" t="s">
        <v>45</v>
      </c>
      <c r="F748" t="s">
        <v>46</v>
      </c>
      <c r="G748" t="s">
        <v>47</v>
      </c>
      <c r="H748" s="1">
        <v>45620</v>
      </c>
      <c r="I748" t="s">
        <v>854</v>
      </c>
      <c r="J748" s="10" t="s">
        <v>25</v>
      </c>
      <c r="K748" t="s">
        <v>51</v>
      </c>
      <c r="L748" t="s">
        <v>255</v>
      </c>
    </row>
    <row r="749" spans="1:12" x14ac:dyDescent="0.25">
      <c r="A749" t="s">
        <v>850</v>
      </c>
      <c r="B749" s="2">
        <v>717</v>
      </c>
      <c r="C749" s="2">
        <v>158</v>
      </c>
      <c r="D749">
        <v>16</v>
      </c>
      <c r="E749" t="s">
        <v>45</v>
      </c>
      <c r="F749" t="s">
        <v>46</v>
      </c>
      <c r="G749" t="s">
        <v>47</v>
      </c>
      <c r="H749" s="1">
        <v>44141</v>
      </c>
      <c r="I749" t="s">
        <v>855</v>
      </c>
      <c r="J749" s="10" t="s">
        <v>17</v>
      </c>
      <c r="K749" t="s">
        <v>34</v>
      </c>
      <c r="L749" t="s">
        <v>80</v>
      </c>
    </row>
    <row r="750" spans="1:12" x14ac:dyDescent="0.25">
      <c r="A750" t="s">
        <v>850</v>
      </c>
      <c r="B750" s="2">
        <v>717</v>
      </c>
      <c r="C750" s="2">
        <v>158</v>
      </c>
      <c r="D750">
        <v>16</v>
      </c>
      <c r="E750" t="s">
        <v>45</v>
      </c>
      <c r="F750" t="s">
        <v>46</v>
      </c>
      <c r="G750" t="s">
        <v>47</v>
      </c>
      <c r="H750" s="1">
        <v>45223</v>
      </c>
      <c r="I750" t="s">
        <v>856</v>
      </c>
      <c r="J750" s="10" t="s">
        <v>25</v>
      </c>
      <c r="K750" t="s">
        <v>68</v>
      </c>
      <c r="L750" t="s">
        <v>442</v>
      </c>
    </row>
    <row r="751" spans="1:12" x14ac:dyDescent="0.25">
      <c r="A751" t="s">
        <v>850</v>
      </c>
      <c r="B751" s="2">
        <v>508</v>
      </c>
      <c r="C751" s="2">
        <v>177</v>
      </c>
      <c r="D751">
        <v>17</v>
      </c>
      <c r="E751" t="s">
        <v>45</v>
      </c>
      <c r="F751" t="s">
        <v>60</v>
      </c>
      <c r="G751" t="s">
        <v>15</v>
      </c>
      <c r="H751" s="1">
        <v>44643</v>
      </c>
      <c r="I751" t="s">
        <v>851</v>
      </c>
      <c r="J751" s="10" t="s">
        <v>98</v>
      </c>
      <c r="K751" t="s">
        <v>117</v>
      </c>
      <c r="L751" t="s">
        <v>134</v>
      </c>
    </row>
    <row r="752" spans="1:12" x14ac:dyDescent="0.25">
      <c r="A752" t="s">
        <v>850</v>
      </c>
      <c r="B752" s="2">
        <v>508</v>
      </c>
      <c r="C752" s="2">
        <v>177</v>
      </c>
      <c r="D752">
        <v>17</v>
      </c>
      <c r="E752" t="s">
        <v>45</v>
      </c>
      <c r="F752" t="s">
        <v>60</v>
      </c>
      <c r="G752" t="s">
        <v>15</v>
      </c>
      <c r="H752" s="1">
        <v>44006</v>
      </c>
      <c r="I752" t="s">
        <v>852</v>
      </c>
      <c r="J752" s="10" t="s">
        <v>17</v>
      </c>
      <c r="K752" t="s">
        <v>18</v>
      </c>
      <c r="L752" t="s">
        <v>313</v>
      </c>
    </row>
    <row r="753" spans="1:12" x14ac:dyDescent="0.25">
      <c r="A753" t="s">
        <v>850</v>
      </c>
      <c r="B753" s="2">
        <v>508</v>
      </c>
      <c r="C753" s="2">
        <v>177</v>
      </c>
      <c r="D753">
        <v>17</v>
      </c>
      <c r="E753" t="s">
        <v>45</v>
      </c>
      <c r="F753" t="s">
        <v>60</v>
      </c>
      <c r="G753" t="s">
        <v>15</v>
      </c>
      <c r="H753" s="1">
        <v>44918</v>
      </c>
      <c r="I753" t="s">
        <v>853</v>
      </c>
      <c r="J753" s="10" t="s">
        <v>25</v>
      </c>
      <c r="K753" t="s">
        <v>26</v>
      </c>
      <c r="L753" t="s">
        <v>152</v>
      </c>
    </row>
    <row r="754" spans="1:12" x14ac:dyDescent="0.25">
      <c r="A754" t="s">
        <v>850</v>
      </c>
      <c r="B754" s="2">
        <v>508</v>
      </c>
      <c r="C754" s="2">
        <v>177</v>
      </c>
      <c r="D754">
        <v>17</v>
      </c>
      <c r="E754" t="s">
        <v>45</v>
      </c>
      <c r="F754" t="s">
        <v>60</v>
      </c>
      <c r="G754" t="s">
        <v>15</v>
      </c>
      <c r="H754" s="1">
        <v>45620</v>
      </c>
      <c r="I754" t="s">
        <v>854</v>
      </c>
      <c r="J754" s="10" t="s">
        <v>25</v>
      </c>
      <c r="K754" t="s">
        <v>51</v>
      </c>
      <c r="L754" t="s">
        <v>255</v>
      </c>
    </row>
    <row r="755" spans="1:12" x14ac:dyDescent="0.25">
      <c r="A755" t="s">
        <v>850</v>
      </c>
      <c r="B755" s="2">
        <v>508</v>
      </c>
      <c r="C755" s="2">
        <v>177</v>
      </c>
      <c r="D755">
        <v>17</v>
      </c>
      <c r="E755" t="s">
        <v>45</v>
      </c>
      <c r="F755" t="s">
        <v>60</v>
      </c>
      <c r="G755" t="s">
        <v>15</v>
      </c>
      <c r="H755" s="1">
        <v>44141</v>
      </c>
      <c r="I755" t="s">
        <v>855</v>
      </c>
      <c r="J755" s="10" t="s">
        <v>17</v>
      </c>
      <c r="K755" t="s">
        <v>34</v>
      </c>
      <c r="L755" t="s">
        <v>80</v>
      </c>
    </row>
    <row r="756" spans="1:12" x14ac:dyDescent="0.25">
      <c r="A756" t="s">
        <v>850</v>
      </c>
      <c r="B756" s="2">
        <v>508</v>
      </c>
      <c r="C756" s="2">
        <v>177</v>
      </c>
      <c r="D756">
        <v>17</v>
      </c>
      <c r="E756" t="s">
        <v>45</v>
      </c>
      <c r="F756" t="s">
        <v>60</v>
      </c>
      <c r="G756" t="s">
        <v>15</v>
      </c>
      <c r="H756" s="1">
        <v>45223</v>
      </c>
      <c r="I756" t="s">
        <v>856</v>
      </c>
      <c r="J756" s="10" t="s">
        <v>25</v>
      </c>
      <c r="K756" t="s">
        <v>68</v>
      </c>
      <c r="L756" t="s">
        <v>442</v>
      </c>
    </row>
    <row r="757" spans="1:12" x14ac:dyDescent="0.25">
      <c r="A757" t="s">
        <v>857</v>
      </c>
      <c r="B757" s="2">
        <v>9382</v>
      </c>
      <c r="C757" s="2">
        <v>1085</v>
      </c>
      <c r="D757">
        <v>3</v>
      </c>
      <c r="E757" t="s">
        <v>13</v>
      </c>
      <c r="F757" t="s">
        <v>28</v>
      </c>
      <c r="G757" t="s">
        <v>32</v>
      </c>
      <c r="H757" s="1">
        <v>45125</v>
      </c>
      <c r="I757" t="s">
        <v>858</v>
      </c>
      <c r="J757" s="10" t="s">
        <v>21</v>
      </c>
      <c r="K757" t="s">
        <v>22</v>
      </c>
      <c r="L757" t="s">
        <v>105</v>
      </c>
    </row>
    <row r="758" spans="1:12" x14ac:dyDescent="0.25">
      <c r="A758" t="s">
        <v>857</v>
      </c>
      <c r="B758" s="2">
        <v>9382</v>
      </c>
      <c r="C758" s="2">
        <v>1085</v>
      </c>
      <c r="D758">
        <v>3</v>
      </c>
      <c r="E758" t="s">
        <v>13</v>
      </c>
      <c r="F758" t="s">
        <v>28</v>
      </c>
      <c r="G758" t="s">
        <v>32</v>
      </c>
      <c r="H758" s="1">
        <v>44697</v>
      </c>
      <c r="I758" t="s">
        <v>859</v>
      </c>
      <c r="J758" s="10" t="s">
        <v>25</v>
      </c>
      <c r="K758" t="s">
        <v>68</v>
      </c>
      <c r="L758" t="s">
        <v>180</v>
      </c>
    </row>
    <row r="759" spans="1:12" x14ac:dyDescent="0.25">
      <c r="A759" t="s">
        <v>857</v>
      </c>
      <c r="B759" s="2">
        <v>4936</v>
      </c>
      <c r="C759" s="2">
        <v>576</v>
      </c>
      <c r="D759">
        <v>19</v>
      </c>
      <c r="E759" t="s">
        <v>45</v>
      </c>
      <c r="F759" t="s">
        <v>46</v>
      </c>
      <c r="G759" t="s">
        <v>65</v>
      </c>
      <c r="H759" s="1">
        <v>45125</v>
      </c>
      <c r="I759" t="s">
        <v>858</v>
      </c>
      <c r="J759" s="10" t="s">
        <v>21</v>
      </c>
      <c r="K759" t="s">
        <v>22</v>
      </c>
      <c r="L759" t="s">
        <v>105</v>
      </c>
    </row>
    <row r="760" spans="1:12" x14ac:dyDescent="0.25">
      <c r="A760" t="s">
        <v>857</v>
      </c>
      <c r="B760" s="2">
        <v>4936</v>
      </c>
      <c r="C760" s="2">
        <v>576</v>
      </c>
      <c r="D760">
        <v>19</v>
      </c>
      <c r="E760" t="s">
        <v>45</v>
      </c>
      <c r="F760" t="s">
        <v>46</v>
      </c>
      <c r="G760" t="s">
        <v>65</v>
      </c>
      <c r="H760" s="1">
        <v>44697</v>
      </c>
      <c r="I760" t="s">
        <v>859</v>
      </c>
      <c r="J760" s="10" t="s">
        <v>25</v>
      </c>
      <c r="K760" t="s">
        <v>68</v>
      </c>
      <c r="L760" t="s">
        <v>180</v>
      </c>
    </row>
    <row r="761" spans="1:12" x14ac:dyDescent="0.25">
      <c r="A761" t="s">
        <v>860</v>
      </c>
      <c r="B761" s="2">
        <v>2663</v>
      </c>
      <c r="C761" s="2">
        <v>64</v>
      </c>
      <c r="D761">
        <v>19</v>
      </c>
      <c r="E761" t="s">
        <v>45</v>
      </c>
      <c r="F761" t="s">
        <v>60</v>
      </c>
      <c r="G761" t="s">
        <v>65</v>
      </c>
      <c r="H761" s="1">
        <v>45459</v>
      </c>
      <c r="I761" t="s">
        <v>861</v>
      </c>
      <c r="J761" s="10" t="s">
        <v>42</v>
      </c>
      <c r="K761" t="s">
        <v>92</v>
      </c>
      <c r="L761" t="s">
        <v>262</v>
      </c>
    </row>
    <row r="762" spans="1:12" x14ac:dyDescent="0.25">
      <c r="A762" t="s">
        <v>860</v>
      </c>
      <c r="B762" s="2">
        <v>2663</v>
      </c>
      <c r="C762" s="2">
        <v>64</v>
      </c>
      <c r="D762">
        <v>19</v>
      </c>
      <c r="E762" t="s">
        <v>45</v>
      </c>
      <c r="F762" t="s">
        <v>60</v>
      </c>
      <c r="G762" t="s">
        <v>65</v>
      </c>
      <c r="H762" s="1">
        <v>44492</v>
      </c>
      <c r="I762" t="s">
        <v>862</v>
      </c>
      <c r="J762" s="10" t="s">
        <v>98</v>
      </c>
      <c r="K762" t="s">
        <v>117</v>
      </c>
      <c r="L762" t="s">
        <v>37</v>
      </c>
    </row>
    <row r="763" spans="1:12" x14ac:dyDescent="0.25">
      <c r="A763" t="s">
        <v>863</v>
      </c>
      <c r="B763" s="2">
        <v>5151</v>
      </c>
      <c r="C763" s="2">
        <v>1680</v>
      </c>
      <c r="D763">
        <v>5</v>
      </c>
      <c r="E763" t="s">
        <v>13</v>
      </c>
      <c r="F763" t="s">
        <v>28</v>
      </c>
      <c r="G763" t="s">
        <v>40</v>
      </c>
      <c r="H763" s="1">
        <v>44856</v>
      </c>
      <c r="I763" t="s">
        <v>864</v>
      </c>
      <c r="J763" s="10" t="s">
        <v>71</v>
      </c>
      <c r="K763" t="s">
        <v>138</v>
      </c>
      <c r="L763" t="s">
        <v>96</v>
      </c>
    </row>
    <row r="764" spans="1:12" x14ac:dyDescent="0.25">
      <c r="A764" t="s">
        <v>865</v>
      </c>
      <c r="B764" s="2">
        <v>2514</v>
      </c>
      <c r="C764" s="2">
        <v>95</v>
      </c>
      <c r="D764">
        <v>8</v>
      </c>
      <c r="E764" t="s">
        <v>30</v>
      </c>
      <c r="F764" t="s">
        <v>31</v>
      </c>
      <c r="G764" t="s">
        <v>15</v>
      </c>
      <c r="H764" s="1">
        <v>45124</v>
      </c>
      <c r="I764" t="s">
        <v>866</v>
      </c>
      <c r="J764" s="10" t="s">
        <v>25</v>
      </c>
      <c r="K764" t="s">
        <v>68</v>
      </c>
      <c r="L764" t="s">
        <v>105</v>
      </c>
    </row>
    <row r="765" spans="1:12" x14ac:dyDescent="0.25">
      <c r="A765" t="s">
        <v>867</v>
      </c>
      <c r="B765" s="2">
        <v>6129</v>
      </c>
      <c r="C765" s="2">
        <v>2976</v>
      </c>
      <c r="D765">
        <v>2</v>
      </c>
      <c r="E765" t="s">
        <v>13</v>
      </c>
      <c r="F765" t="s">
        <v>39</v>
      </c>
      <c r="G765" t="s">
        <v>40</v>
      </c>
      <c r="H765" s="1">
        <v>45712</v>
      </c>
      <c r="I765" t="s">
        <v>868</v>
      </c>
      <c r="J765" s="10" t="s">
        <v>25</v>
      </c>
      <c r="K765" t="s">
        <v>51</v>
      </c>
      <c r="L765" t="s">
        <v>73</v>
      </c>
    </row>
    <row r="766" spans="1:12" x14ac:dyDescent="0.25">
      <c r="A766" t="s">
        <v>867</v>
      </c>
      <c r="B766" s="2">
        <v>4395</v>
      </c>
      <c r="C766" s="2">
        <v>1663</v>
      </c>
      <c r="D766">
        <v>3</v>
      </c>
      <c r="E766" t="s">
        <v>45</v>
      </c>
      <c r="F766" t="s">
        <v>109</v>
      </c>
      <c r="G766" t="s">
        <v>65</v>
      </c>
      <c r="H766" s="1">
        <v>45712</v>
      </c>
      <c r="I766" t="s">
        <v>868</v>
      </c>
      <c r="J766" s="10" t="s">
        <v>25</v>
      </c>
      <c r="K766" t="s">
        <v>51</v>
      </c>
      <c r="L766" t="s">
        <v>73</v>
      </c>
    </row>
    <row r="767" spans="1:12" x14ac:dyDescent="0.25">
      <c r="A767" t="s">
        <v>869</v>
      </c>
      <c r="B767" s="2">
        <v>5393</v>
      </c>
      <c r="C767" s="2">
        <v>2642</v>
      </c>
      <c r="D767">
        <v>8</v>
      </c>
      <c r="E767" t="s">
        <v>45</v>
      </c>
      <c r="F767" t="s">
        <v>49</v>
      </c>
      <c r="G767" t="s">
        <v>15</v>
      </c>
      <c r="H767" s="1">
        <v>44262</v>
      </c>
      <c r="I767" t="s">
        <v>870</v>
      </c>
      <c r="J767" s="10" t="s">
        <v>98</v>
      </c>
      <c r="K767" t="s">
        <v>107</v>
      </c>
      <c r="L767" t="s">
        <v>167</v>
      </c>
    </row>
    <row r="768" spans="1:12" x14ac:dyDescent="0.25">
      <c r="A768" t="s">
        <v>871</v>
      </c>
      <c r="B768" s="2">
        <v>2280</v>
      </c>
      <c r="C768" s="2">
        <v>509</v>
      </c>
      <c r="D768">
        <v>8</v>
      </c>
      <c r="E768" t="s">
        <v>13</v>
      </c>
      <c r="F768" t="s">
        <v>82</v>
      </c>
      <c r="G768" t="s">
        <v>47</v>
      </c>
      <c r="H768" s="1">
        <v>44199</v>
      </c>
      <c r="I768" t="s">
        <v>872</v>
      </c>
      <c r="J768" s="10" t="s">
        <v>25</v>
      </c>
      <c r="K768" t="s">
        <v>26</v>
      </c>
      <c r="L768" t="s">
        <v>276</v>
      </c>
    </row>
    <row r="769" spans="1:12" x14ac:dyDescent="0.25">
      <c r="A769" t="s">
        <v>873</v>
      </c>
      <c r="B769" s="2">
        <v>6596</v>
      </c>
      <c r="C769" s="2">
        <v>1439</v>
      </c>
      <c r="D769">
        <v>9</v>
      </c>
      <c r="E769" t="s">
        <v>30</v>
      </c>
      <c r="F769" t="s">
        <v>64</v>
      </c>
      <c r="G769" t="s">
        <v>32</v>
      </c>
      <c r="H769" s="1">
        <v>45049</v>
      </c>
      <c r="I769" t="s">
        <v>874</v>
      </c>
      <c r="J769" s="10" t="s">
        <v>98</v>
      </c>
      <c r="K769" t="s">
        <v>107</v>
      </c>
      <c r="L769" t="s">
        <v>127</v>
      </c>
    </row>
    <row r="770" spans="1:12" x14ac:dyDescent="0.25">
      <c r="A770" t="s">
        <v>875</v>
      </c>
      <c r="B770" s="2">
        <v>4510</v>
      </c>
      <c r="C770" s="2">
        <v>1896</v>
      </c>
      <c r="D770">
        <v>5</v>
      </c>
      <c r="E770" t="s">
        <v>30</v>
      </c>
      <c r="F770" t="s">
        <v>64</v>
      </c>
      <c r="G770" t="s">
        <v>40</v>
      </c>
      <c r="H770" s="1">
        <v>45224</v>
      </c>
      <c r="I770" t="s">
        <v>876</v>
      </c>
      <c r="J770" s="10" t="s">
        <v>42</v>
      </c>
      <c r="K770" t="s">
        <v>43</v>
      </c>
      <c r="L770" t="s">
        <v>442</v>
      </c>
    </row>
    <row r="771" spans="1:12" x14ac:dyDescent="0.25">
      <c r="A771" t="s">
        <v>877</v>
      </c>
      <c r="B771" s="2">
        <v>6077</v>
      </c>
      <c r="C771" s="2">
        <v>2378</v>
      </c>
      <c r="D771">
        <v>18</v>
      </c>
      <c r="E771" t="s">
        <v>13</v>
      </c>
      <c r="F771" t="s">
        <v>82</v>
      </c>
      <c r="G771" t="s">
        <v>65</v>
      </c>
      <c r="H771" s="1">
        <v>44794</v>
      </c>
      <c r="I771" t="s">
        <v>878</v>
      </c>
      <c r="J771" s="10" t="s">
        <v>25</v>
      </c>
      <c r="K771" t="s">
        <v>51</v>
      </c>
      <c r="L771" t="s">
        <v>209</v>
      </c>
    </row>
    <row r="772" spans="1:12" x14ac:dyDescent="0.25">
      <c r="A772" t="s">
        <v>879</v>
      </c>
      <c r="B772" s="2">
        <v>5379</v>
      </c>
      <c r="C772" s="2">
        <v>2510</v>
      </c>
      <c r="D772">
        <v>17</v>
      </c>
      <c r="E772" t="s">
        <v>13</v>
      </c>
      <c r="F772" t="s">
        <v>28</v>
      </c>
      <c r="G772" t="s">
        <v>65</v>
      </c>
      <c r="H772" s="1">
        <v>44667</v>
      </c>
      <c r="I772" t="s">
        <v>880</v>
      </c>
      <c r="J772" s="10" t="s">
        <v>98</v>
      </c>
      <c r="K772" t="s">
        <v>99</v>
      </c>
      <c r="L772" t="s">
        <v>187</v>
      </c>
    </row>
    <row r="773" spans="1:12" x14ac:dyDescent="0.25">
      <c r="A773" t="s">
        <v>881</v>
      </c>
      <c r="B773" s="2">
        <v>4629</v>
      </c>
      <c r="C773" s="2">
        <v>1660</v>
      </c>
      <c r="D773">
        <v>16</v>
      </c>
      <c r="E773" t="s">
        <v>30</v>
      </c>
      <c r="F773" t="s">
        <v>57</v>
      </c>
      <c r="G773" t="s">
        <v>40</v>
      </c>
      <c r="H773" s="1">
        <v>45018</v>
      </c>
      <c r="I773" t="s">
        <v>882</v>
      </c>
      <c r="J773" s="10" t="s">
        <v>42</v>
      </c>
      <c r="K773" t="s">
        <v>75</v>
      </c>
      <c r="L773" t="s">
        <v>145</v>
      </c>
    </row>
    <row r="774" spans="1:12" x14ac:dyDescent="0.25">
      <c r="A774" t="s">
        <v>883</v>
      </c>
      <c r="B774" s="2">
        <v>2710</v>
      </c>
      <c r="C774" s="2">
        <v>555</v>
      </c>
      <c r="D774">
        <v>20</v>
      </c>
      <c r="E774" t="s">
        <v>13</v>
      </c>
      <c r="F774" t="s">
        <v>39</v>
      </c>
      <c r="G774" t="s">
        <v>32</v>
      </c>
      <c r="H774" s="1">
        <v>45586</v>
      </c>
      <c r="I774" t="s">
        <v>884</v>
      </c>
      <c r="J774" s="10" t="s">
        <v>21</v>
      </c>
      <c r="K774" t="s">
        <v>22</v>
      </c>
      <c r="L774" t="s">
        <v>360</v>
      </c>
    </row>
    <row r="775" spans="1:12" x14ac:dyDescent="0.25">
      <c r="A775" t="s">
        <v>883</v>
      </c>
      <c r="B775" s="2">
        <v>3224</v>
      </c>
      <c r="C775" s="2">
        <v>1018</v>
      </c>
      <c r="D775">
        <v>14</v>
      </c>
      <c r="E775" t="s">
        <v>30</v>
      </c>
      <c r="F775" t="s">
        <v>78</v>
      </c>
      <c r="G775" t="s">
        <v>15</v>
      </c>
      <c r="H775" s="1">
        <v>45586</v>
      </c>
      <c r="I775" t="s">
        <v>884</v>
      </c>
      <c r="J775" s="10" t="s">
        <v>21</v>
      </c>
      <c r="K775" t="s">
        <v>22</v>
      </c>
      <c r="L775" t="s">
        <v>360</v>
      </c>
    </row>
    <row r="776" spans="1:12" x14ac:dyDescent="0.25">
      <c r="A776" t="s">
        <v>885</v>
      </c>
      <c r="B776" s="2">
        <v>8042</v>
      </c>
      <c r="C776" s="2">
        <v>936</v>
      </c>
      <c r="D776">
        <v>15</v>
      </c>
      <c r="E776" t="s">
        <v>30</v>
      </c>
      <c r="F776" t="s">
        <v>57</v>
      </c>
      <c r="G776" t="s">
        <v>40</v>
      </c>
      <c r="H776" s="1">
        <v>44386</v>
      </c>
      <c r="I776" t="s">
        <v>886</v>
      </c>
      <c r="J776" s="10" t="s">
        <v>21</v>
      </c>
      <c r="K776" t="s">
        <v>63</v>
      </c>
      <c r="L776" t="s">
        <v>27</v>
      </c>
    </row>
    <row r="777" spans="1:12" x14ac:dyDescent="0.25">
      <c r="A777" t="s">
        <v>885</v>
      </c>
      <c r="B777" s="2">
        <v>8042</v>
      </c>
      <c r="C777" s="2">
        <v>936</v>
      </c>
      <c r="D777">
        <v>15</v>
      </c>
      <c r="E777" t="s">
        <v>30</v>
      </c>
      <c r="F777" t="s">
        <v>57</v>
      </c>
      <c r="G777" t="s">
        <v>40</v>
      </c>
      <c r="H777" s="1">
        <v>44659</v>
      </c>
      <c r="I777" t="s">
        <v>887</v>
      </c>
      <c r="J777" s="10" t="s">
        <v>42</v>
      </c>
      <c r="K777" t="s">
        <v>43</v>
      </c>
      <c r="L777" t="s">
        <v>187</v>
      </c>
    </row>
    <row r="778" spans="1:12" x14ac:dyDescent="0.25">
      <c r="A778" t="s">
        <v>888</v>
      </c>
      <c r="B778" s="2">
        <v>3957</v>
      </c>
      <c r="C778" s="2">
        <v>151</v>
      </c>
      <c r="D778">
        <v>10</v>
      </c>
      <c r="E778" t="s">
        <v>30</v>
      </c>
      <c r="F778" t="s">
        <v>78</v>
      </c>
      <c r="G778" t="s">
        <v>40</v>
      </c>
      <c r="H778" s="1">
        <v>44681</v>
      </c>
      <c r="I778" t="s">
        <v>889</v>
      </c>
      <c r="J778" s="10" t="s">
        <v>71</v>
      </c>
      <c r="K778" t="s">
        <v>86</v>
      </c>
      <c r="L778" t="s">
        <v>187</v>
      </c>
    </row>
    <row r="779" spans="1:12" x14ac:dyDescent="0.25">
      <c r="A779" t="s">
        <v>890</v>
      </c>
      <c r="B779" s="2">
        <v>8769</v>
      </c>
      <c r="C779" s="2">
        <v>3178</v>
      </c>
      <c r="D779">
        <v>16</v>
      </c>
      <c r="E779" t="s">
        <v>30</v>
      </c>
      <c r="F779" t="s">
        <v>57</v>
      </c>
      <c r="G779" t="s">
        <v>32</v>
      </c>
      <c r="H779" s="1">
        <v>44946</v>
      </c>
      <c r="I779" t="s">
        <v>891</v>
      </c>
      <c r="J779" s="10" t="s">
        <v>21</v>
      </c>
      <c r="K779" t="s">
        <v>22</v>
      </c>
      <c r="L779" t="s">
        <v>333</v>
      </c>
    </row>
    <row r="780" spans="1:12" x14ac:dyDescent="0.25">
      <c r="A780" t="s">
        <v>892</v>
      </c>
      <c r="B780" s="2">
        <v>2957</v>
      </c>
      <c r="C780" s="2">
        <v>917</v>
      </c>
      <c r="D780">
        <v>16</v>
      </c>
      <c r="E780" t="s">
        <v>30</v>
      </c>
      <c r="F780" t="s">
        <v>31</v>
      </c>
      <c r="G780" t="s">
        <v>32</v>
      </c>
      <c r="H780" s="1">
        <v>45613</v>
      </c>
      <c r="I780" t="s">
        <v>893</v>
      </c>
      <c r="J780" s="10" t="s">
        <v>21</v>
      </c>
      <c r="K780" t="s">
        <v>22</v>
      </c>
      <c r="L780" t="s">
        <v>255</v>
      </c>
    </row>
    <row r="781" spans="1:12" x14ac:dyDescent="0.25">
      <c r="A781" t="s">
        <v>894</v>
      </c>
      <c r="B781" s="2">
        <v>5344</v>
      </c>
      <c r="C781" s="2">
        <v>2607</v>
      </c>
      <c r="D781">
        <v>6</v>
      </c>
      <c r="E781" t="s">
        <v>30</v>
      </c>
      <c r="F781" t="s">
        <v>64</v>
      </c>
      <c r="G781" t="s">
        <v>32</v>
      </c>
      <c r="H781" s="1">
        <v>44674</v>
      </c>
      <c r="I781" t="s">
        <v>895</v>
      </c>
      <c r="J781" s="10" t="s">
        <v>71</v>
      </c>
      <c r="K781" t="s">
        <v>72</v>
      </c>
      <c r="L781" t="s">
        <v>187</v>
      </c>
    </row>
    <row r="782" spans="1:12" x14ac:dyDescent="0.25">
      <c r="A782" t="s">
        <v>894</v>
      </c>
      <c r="B782" s="2">
        <v>5344</v>
      </c>
      <c r="C782" s="2">
        <v>2607</v>
      </c>
      <c r="D782">
        <v>6</v>
      </c>
      <c r="E782" t="s">
        <v>30</v>
      </c>
      <c r="F782" t="s">
        <v>64</v>
      </c>
      <c r="G782" t="s">
        <v>32</v>
      </c>
      <c r="H782" s="1">
        <v>45706</v>
      </c>
      <c r="I782" t="s">
        <v>896</v>
      </c>
      <c r="J782" s="10" t="s">
        <v>25</v>
      </c>
      <c r="K782" t="s">
        <v>68</v>
      </c>
      <c r="L782" t="s">
        <v>73</v>
      </c>
    </row>
    <row r="783" spans="1:12" x14ac:dyDescent="0.25">
      <c r="A783" t="s">
        <v>897</v>
      </c>
      <c r="B783" s="2">
        <v>6061</v>
      </c>
      <c r="C783" s="2">
        <v>2121</v>
      </c>
      <c r="D783">
        <v>19</v>
      </c>
      <c r="E783" t="s">
        <v>13</v>
      </c>
      <c r="F783" t="s">
        <v>39</v>
      </c>
      <c r="G783" t="s">
        <v>40</v>
      </c>
      <c r="H783" s="1">
        <v>44343</v>
      </c>
      <c r="I783" t="s">
        <v>898</v>
      </c>
      <c r="J783" s="10" t="s">
        <v>98</v>
      </c>
      <c r="K783" t="s">
        <v>117</v>
      </c>
      <c r="L783" t="s">
        <v>108</v>
      </c>
    </row>
    <row r="784" spans="1:12" x14ac:dyDescent="0.25">
      <c r="A784" t="s">
        <v>897</v>
      </c>
      <c r="B784" s="2">
        <v>6061</v>
      </c>
      <c r="C784" s="2">
        <v>2121</v>
      </c>
      <c r="D784">
        <v>19</v>
      </c>
      <c r="E784" t="s">
        <v>13</v>
      </c>
      <c r="F784" t="s">
        <v>39</v>
      </c>
      <c r="G784" t="s">
        <v>40</v>
      </c>
      <c r="H784" s="1">
        <v>44578</v>
      </c>
      <c r="I784" t="s">
        <v>899</v>
      </c>
      <c r="J784" s="10" t="s">
        <v>42</v>
      </c>
      <c r="K784" t="s">
        <v>75</v>
      </c>
      <c r="L784" t="s">
        <v>87</v>
      </c>
    </row>
    <row r="785" spans="1:12" x14ac:dyDescent="0.25">
      <c r="A785" t="s">
        <v>900</v>
      </c>
      <c r="B785" s="2">
        <v>5376</v>
      </c>
      <c r="C785" s="2">
        <v>1928</v>
      </c>
      <c r="D785">
        <v>7</v>
      </c>
      <c r="E785" t="s">
        <v>45</v>
      </c>
      <c r="F785" t="s">
        <v>46</v>
      </c>
      <c r="G785" t="s">
        <v>47</v>
      </c>
      <c r="H785" s="1">
        <v>45672</v>
      </c>
      <c r="I785" t="s">
        <v>901</v>
      </c>
      <c r="J785" s="10" t="s">
        <v>25</v>
      </c>
      <c r="K785" t="s">
        <v>51</v>
      </c>
      <c r="L785" t="s">
        <v>308</v>
      </c>
    </row>
    <row r="786" spans="1:12" x14ac:dyDescent="0.25">
      <c r="A786" t="s">
        <v>902</v>
      </c>
      <c r="B786" s="2">
        <v>2792</v>
      </c>
      <c r="C786" s="2">
        <v>1008</v>
      </c>
      <c r="D786">
        <v>8</v>
      </c>
      <c r="E786" t="s">
        <v>13</v>
      </c>
      <c r="F786" t="s">
        <v>28</v>
      </c>
      <c r="G786" t="s">
        <v>65</v>
      </c>
      <c r="H786" s="1">
        <v>44241</v>
      </c>
      <c r="I786" t="s">
        <v>903</v>
      </c>
      <c r="J786" s="10" t="s">
        <v>17</v>
      </c>
      <c r="K786" t="s">
        <v>18</v>
      </c>
      <c r="L786" t="s">
        <v>292</v>
      </c>
    </row>
    <row r="787" spans="1:12" x14ac:dyDescent="0.25">
      <c r="A787" t="s">
        <v>904</v>
      </c>
      <c r="B787" s="2">
        <v>2944</v>
      </c>
      <c r="C787" s="2">
        <v>249</v>
      </c>
      <c r="D787">
        <v>5</v>
      </c>
      <c r="E787" t="s">
        <v>30</v>
      </c>
      <c r="F787" t="s">
        <v>78</v>
      </c>
      <c r="G787" t="s">
        <v>47</v>
      </c>
      <c r="H787" s="1">
        <v>45535</v>
      </c>
      <c r="I787" t="s">
        <v>905</v>
      </c>
      <c r="J787" s="10" t="s">
        <v>98</v>
      </c>
      <c r="K787" t="s">
        <v>99</v>
      </c>
      <c r="L787" t="s">
        <v>114</v>
      </c>
    </row>
    <row r="788" spans="1:12" x14ac:dyDescent="0.25">
      <c r="A788" t="s">
        <v>904</v>
      </c>
      <c r="B788" s="2">
        <v>2944</v>
      </c>
      <c r="C788" s="2">
        <v>249</v>
      </c>
      <c r="D788">
        <v>5</v>
      </c>
      <c r="E788" t="s">
        <v>30</v>
      </c>
      <c r="F788" t="s">
        <v>78</v>
      </c>
      <c r="G788" t="s">
        <v>47</v>
      </c>
      <c r="H788" s="1">
        <v>44921</v>
      </c>
      <c r="I788" t="s">
        <v>906</v>
      </c>
      <c r="J788" s="10" t="s">
        <v>71</v>
      </c>
      <c r="K788" t="s">
        <v>72</v>
      </c>
      <c r="L788" t="s">
        <v>152</v>
      </c>
    </row>
    <row r="789" spans="1:12" x14ac:dyDescent="0.25">
      <c r="A789" t="s">
        <v>907</v>
      </c>
      <c r="B789" s="2">
        <v>4220</v>
      </c>
      <c r="C789" s="2">
        <v>945</v>
      </c>
      <c r="D789">
        <v>13</v>
      </c>
      <c r="E789" t="s">
        <v>30</v>
      </c>
      <c r="F789" t="s">
        <v>57</v>
      </c>
      <c r="G789" t="s">
        <v>40</v>
      </c>
      <c r="H789" s="1">
        <v>45372</v>
      </c>
      <c r="I789" t="s">
        <v>908</v>
      </c>
      <c r="J789" s="10" t="s">
        <v>21</v>
      </c>
      <c r="K789" t="s">
        <v>63</v>
      </c>
      <c r="L789" t="s">
        <v>338</v>
      </c>
    </row>
    <row r="790" spans="1:12" x14ac:dyDescent="0.25">
      <c r="A790" t="s">
        <v>907</v>
      </c>
      <c r="B790" s="2">
        <v>4220</v>
      </c>
      <c r="C790" s="2">
        <v>945</v>
      </c>
      <c r="D790">
        <v>13</v>
      </c>
      <c r="E790" t="s">
        <v>30</v>
      </c>
      <c r="F790" t="s">
        <v>57</v>
      </c>
      <c r="G790" t="s">
        <v>40</v>
      </c>
      <c r="H790" s="1">
        <v>44180</v>
      </c>
      <c r="I790" t="s">
        <v>909</v>
      </c>
      <c r="J790" s="10" t="s">
        <v>21</v>
      </c>
      <c r="K790" t="s">
        <v>172</v>
      </c>
      <c r="L790" t="s">
        <v>287</v>
      </c>
    </row>
    <row r="791" spans="1:12" x14ac:dyDescent="0.25">
      <c r="A791" t="s">
        <v>910</v>
      </c>
      <c r="B791" s="2">
        <v>8526</v>
      </c>
      <c r="C791" s="2">
        <v>1704</v>
      </c>
      <c r="D791">
        <v>4</v>
      </c>
      <c r="E791" t="s">
        <v>30</v>
      </c>
      <c r="F791" t="s">
        <v>78</v>
      </c>
      <c r="G791" t="s">
        <v>32</v>
      </c>
      <c r="H791" s="1">
        <v>45006</v>
      </c>
      <c r="I791" t="s">
        <v>911</v>
      </c>
      <c r="J791" s="10" t="s">
        <v>71</v>
      </c>
      <c r="K791" t="s">
        <v>86</v>
      </c>
      <c r="L791" t="s">
        <v>245</v>
      </c>
    </row>
    <row r="792" spans="1:12" x14ac:dyDescent="0.25">
      <c r="A792" t="s">
        <v>912</v>
      </c>
      <c r="B792" s="2">
        <v>8218</v>
      </c>
      <c r="C792" s="2">
        <v>1430</v>
      </c>
      <c r="D792">
        <v>19</v>
      </c>
      <c r="E792" t="s">
        <v>45</v>
      </c>
      <c r="F792" t="s">
        <v>109</v>
      </c>
      <c r="G792" t="s">
        <v>47</v>
      </c>
      <c r="H792" s="1">
        <v>45085</v>
      </c>
      <c r="I792" t="s">
        <v>913</v>
      </c>
      <c r="J792" s="10" t="s">
        <v>42</v>
      </c>
      <c r="K792" t="s">
        <v>92</v>
      </c>
      <c r="L792" t="s">
        <v>19</v>
      </c>
    </row>
    <row r="793" spans="1:12" x14ac:dyDescent="0.25">
      <c r="A793" t="s">
        <v>914</v>
      </c>
      <c r="B793" s="2">
        <v>599</v>
      </c>
      <c r="C793" s="2">
        <v>265</v>
      </c>
      <c r="D793">
        <v>4</v>
      </c>
      <c r="E793" t="s">
        <v>13</v>
      </c>
      <c r="F793" t="s">
        <v>82</v>
      </c>
      <c r="G793" t="s">
        <v>47</v>
      </c>
      <c r="H793" s="1">
        <v>44759</v>
      </c>
      <c r="I793" t="s">
        <v>915</v>
      </c>
      <c r="J793" s="10" t="s">
        <v>25</v>
      </c>
      <c r="K793" t="s">
        <v>26</v>
      </c>
      <c r="L793" t="s">
        <v>418</v>
      </c>
    </row>
    <row r="794" spans="1:12" x14ac:dyDescent="0.25">
      <c r="A794" t="s">
        <v>914</v>
      </c>
      <c r="B794" s="2">
        <v>599</v>
      </c>
      <c r="C794" s="2">
        <v>265</v>
      </c>
      <c r="D794">
        <v>4</v>
      </c>
      <c r="E794" t="s">
        <v>13</v>
      </c>
      <c r="F794" t="s">
        <v>82</v>
      </c>
      <c r="G794" t="s">
        <v>47</v>
      </c>
      <c r="H794" s="1">
        <v>45631</v>
      </c>
      <c r="I794" t="s">
        <v>916</v>
      </c>
      <c r="J794" s="10" t="s">
        <v>25</v>
      </c>
      <c r="K794" t="s">
        <v>68</v>
      </c>
      <c r="L794" t="s">
        <v>23</v>
      </c>
    </row>
    <row r="795" spans="1:12" x14ac:dyDescent="0.25">
      <c r="A795" t="s">
        <v>914</v>
      </c>
      <c r="B795" s="2">
        <v>2727</v>
      </c>
      <c r="C795" s="2">
        <v>543</v>
      </c>
      <c r="D795">
        <v>10</v>
      </c>
      <c r="E795" t="s">
        <v>45</v>
      </c>
      <c r="F795" t="s">
        <v>109</v>
      </c>
      <c r="G795" t="s">
        <v>47</v>
      </c>
      <c r="H795" s="1">
        <v>44759</v>
      </c>
      <c r="I795" t="s">
        <v>915</v>
      </c>
      <c r="J795" s="10" t="s">
        <v>25</v>
      </c>
      <c r="K795" t="s">
        <v>26</v>
      </c>
      <c r="L795" t="s">
        <v>418</v>
      </c>
    </row>
    <row r="796" spans="1:12" x14ac:dyDescent="0.25">
      <c r="A796" t="s">
        <v>914</v>
      </c>
      <c r="B796" s="2">
        <v>2727</v>
      </c>
      <c r="C796" s="2">
        <v>543</v>
      </c>
      <c r="D796">
        <v>10</v>
      </c>
      <c r="E796" t="s">
        <v>45</v>
      </c>
      <c r="F796" t="s">
        <v>109</v>
      </c>
      <c r="G796" t="s">
        <v>47</v>
      </c>
      <c r="H796" s="1">
        <v>45631</v>
      </c>
      <c r="I796" t="s">
        <v>916</v>
      </c>
      <c r="J796" s="10" t="s">
        <v>25</v>
      </c>
      <c r="K796" t="s">
        <v>68</v>
      </c>
      <c r="L796" t="s">
        <v>23</v>
      </c>
    </row>
    <row r="797" spans="1:12" x14ac:dyDescent="0.25">
      <c r="A797" t="s">
        <v>917</v>
      </c>
      <c r="B797" s="2">
        <v>2589</v>
      </c>
      <c r="C797" s="2">
        <v>605</v>
      </c>
      <c r="D797">
        <v>11</v>
      </c>
      <c r="E797" t="s">
        <v>30</v>
      </c>
      <c r="F797" t="s">
        <v>31</v>
      </c>
      <c r="G797" t="s">
        <v>40</v>
      </c>
      <c r="H797" s="1">
        <v>45232</v>
      </c>
      <c r="I797" t="s">
        <v>918</v>
      </c>
      <c r="J797" s="10" t="s">
        <v>42</v>
      </c>
      <c r="K797" t="s">
        <v>92</v>
      </c>
      <c r="L797" t="s">
        <v>52</v>
      </c>
    </row>
    <row r="798" spans="1:12" x14ac:dyDescent="0.25">
      <c r="A798" t="s">
        <v>917</v>
      </c>
      <c r="B798" s="2">
        <v>2589</v>
      </c>
      <c r="C798" s="2">
        <v>605</v>
      </c>
      <c r="D798">
        <v>11</v>
      </c>
      <c r="E798" t="s">
        <v>30</v>
      </c>
      <c r="F798" t="s">
        <v>31</v>
      </c>
      <c r="G798" t="s">
        <v>40</v>
      </c>
      <c r="H798" s="1">
        <v>45570</v>
      </c>
      <c r="I798" t="s">
        <v>919</v>
      </c>
      <c r="J798" s="10" t="s">
        <v>98</v>
      </c>
      <c r="K798" t="s">
        <v>117</v>
      </c>
      <c r="L798" t="s">
        <v>360</v>
      </c>
    </row>
    <row r="799" spans="1:12" x14ac:dyDescent="0.25">
      <c r="A799" t="s">
        <v>920</v>
      </c>
      <c r="B799" s="2">
        <v>3776</v>
      </c>
      <c r="C799" s="2">
        <v>1100</v>
      </c>
      <c r="D799">
        <v>9</v>
      </c>
      <c r="E799" t="s">
        <v>13</v>
      </c>
      <c r="F799" t="s">
        <v>14</v>
      </c>
      <c r="G799" t="s">
        <v>40</v>
      </c>
      <c r="H799" s="1">
        <v>44878</v>
      </c>
      <c r="I799" t="s">
        <v>921</v>
      </c>
      <c r="J799" s="10" t="s">
        <v>71</v>
      </c>
      <c r="K799" t="s">
        <v>86</v>
      </c>
      <c r="L799" t="s">
        <v>44</v>
      </c>
    </row>
    <row r="800" spans="1:12" x14ac:dyDescent="0.25">
      <c r="A800" t="s">
        <v>920</v>
      </c>
      <c r="B800" s="2">
        <v>3776</v>
      </c>
      <c r="C800" s="2">
        <v>1100</v>
      </c>
      <c r="D800">
        <v>9</v>
      </c>
      <c r="E800" t="s">
        <v>13</v>
      </c>
      <c r="F800" t="s">
        <v>14</v>
      </c>
      <c r="G800" t="s">
        <v>40</v>
      </c>
      <c r="H800" s="1">
        <v>44923</v>
      </c>
      <c r="I800" t="s">
        <v>922</v>
      </c>
      <c r="J800" s="10" t="s">
        <v>21</v>
      </c>
      <c r="K800" t="s">
        <v>172</v>
      </c>
      <c r="L800" t="s">
        <v>152</v>
      </c>
    </row>
    <row r="801" spans="1:12" x14ac:dyDescent="0.25">
      <c r="A801" t="s">
        <v>923</v>
      </c>
      <c r="B801" s="2">
        <v>5402</v>
      </c>
      <c r="C801" s="2">
        <v>1666</v>
      </c>
      <c r="D801">
        <v>12</v>
      </c>
      <c r="E801" t="s">
        <v>45</v>
      </c>
      <c r="F801" t="s">
        <v>109</v>
      </c>
      <c r="G801" t="s">
        <v>40</v>
      </c>
      <c r="H801" s="1">
        <v>45714</v>
      </c>
      <c r="I801" t="s">
        <v>924</v>
      </c>
      <c r="J801" s="10" t="s">
        <v>98</v>
      </c>
      <c r="K801" t="s">
        <v>117</v>
      </c>
      <c r="L801" t="s">
        <v>73</v>
      </c>
    </row>
    <row r="802" spans="1:12" x14ac:dyDescent="0.25">
      <c r="A802" t="s">
        <v>925</v>
      </c>
      <c r="B802" s="2">
        <v>5165</v>
      </c>
      <c r="C802" s="2">
        <v>885</v>
      </c>
      <c r="D802">
        <v>16</v>
      </c>
      <c r="E802" t="s">
        <v>30</v>
      </c>
      <c r="F802" t="s">
        <v>31</v>
      </c>
      <c r="G802" t="s">
        <v>40</v>
      </c>
      <c r="H802" s="1">
        <v>44877</v>
      </c>
      <c r="I802" t="s">
        <v>926</v>
      </c>
      <c r="J802" s="10" t="s">
        <v>21</v>
      </c>
      <c r="K802" t="s">
        <v>172</v>
      </c>
      <c r="L802" t="s">
        <v>44</v>
      </c>
    </row>
    <row r="803" spans="1:12" x14ac:dyDescent="0.25">
      <c r="A803" t="s">
        <v>925</v>
      </c>
      <c r="B803" s="2">
        <v>4863</v>
      </c>
      <c r="C803" s="2">
        <v>2394</v>
      </c>
      <c r="D803">
        <v>4</v>
      </c>
      <c r="E803" t="s">
        <v>45</v>
      </c>
      <c r="F803" t="s">
        <v>109</v>
      </c>
      <c r="G803" t="s">
        <v>40</v>
      </c>
      <c r="H803" s="1">
        <v>44877</v>
      </c>
      <c r="I803" t="s">
        <v>926</v>
      </c>
      <c r="J803" s="10" t="s">
        <v>21</v>
      </c>
      <c r="K803" t="s">
        <v>172</v>
      </c>
      <c r="L803" t="s">
        <v>44</v>
      </c>
    </row>
    <row r="804" spans="1:12" x14ac:dyDescent="0.25">
      <c r="A804" t="s">
        <v>927</v>
      </c>
      <c r="B804" s="2">
        <v>1626</v>
      </c>
      <c r="C804" s="2">
        <v>258</v>
      </c>
      <c r="D804">
        <v>15</v>
      </c>
      <c r="E804" t="s">
        <v>30</v>
      </c>
      <c r="F804" t="s">
        <v>31</v>
      </c>
      <c r="G804" t="s">
        <v>40</v>
      </c>
      <c r="H804" s="1">
        <v>44354</v>
      </c>
      <c r="I804" t="s">
        <v>928</v>
      </c>
      <c r="J804" s="10" t="s">
        <v>17</v>
      </c>
      <c r="K804" t="s">
        <v>34</v>
      </c>
      <c r="L804" t="s">
        <v>125</v>
      </c>
    </row>
    <row r="805" spans="1:12" x14ac:dyDescent="0.25">
      <c r="A805" t="s">
        <v>929</v>
      </c>
      <c r="B805" s="2">
        <v>8851</v>
      </c>
      <c r="C805" s="2">
        <v>3962</v>
      </c>
      <c r="D805">
        <v>7</v>
      </c>
      <c r="E805" t="s">
        <v>45</v>
      </c>
      <c r="F805" t="s">
        <v>46</v>
      </c>
      <c r="G805" t="s">
        <v>40</v>
      </c>
      <c r="H805" s="1">
        <v>44100</v>
      </c>
      <c r="I805" t="s">
        <v>930</v>
      </c>
      <c r="J805" s="10" t="s">
        <v>17</v>
      </c>
      <c r="K805" t="s">
        <v>18</v>
      </c>
      <c r="L805" t="s">
        <v>389</v>
      </c>
    </row>
    <row r="806" spans="1:12" x14ac:dyDescent="0.25">
      <c r="A806" t="s">
        <v>931</v>
      </c>
      <c r="B806" s="2">
        <v>9680</v>
      </c>
      <c r="C806" s="2">
        <v>3295</v>
      </c>
      <c r="D806">
        <v>9</v>
      </c>
      <c r="E806" t="s">
        <v>45</v>
      </c>
      <c r="F806" t="s">
        <v>46</v>
      </c>
      <c r="G806" t="s">
        <v>65</v>
      </c>
      <c r="H806" s="1">
        <v>45411</v>
      </c>
      <c r="I806" t="s">
        <v>932</v>
      </c>
      <c r="J806" s="10" t="s">
        <v>25</v>
      </c>
      <c r="K806" t="s">
        <v>68</v>
      </c>
      <c r="L806" t="s">
        <v>235</v>
      </c>
    </row>
    <row r="807" spans="1:12" x14ac:dyDescent="0.25">
      <c r="A807" t="s">
        <v>931</v>
      </c>
      <c r="B807" s="2">
        <v>8468</v>
      </c>
      <c r="C807" s="2">
        <v>3666</v>
      </c>
      <c r="D807">
        <v>8</v>
      </c>
      <c r="E807" t="s">
        <v>30</v>
      </c>
      <c r="F807" t="s">
        <v>31</v>
      </c>
      <c r="G807" t="s">
        <v>15</v>
      </c>
      <c r="H807" s="1">
        <v>45411</v>
      </c>
      <c r="I807" t="s">
        <v>932</v>
      </c>
      <c r="J807" s="10" t="s">
        <v>25</v>
      </c>
      <c r="K807" t="s">
        <v>68</v>
      </c>
      <c r="L807" t="s">
        <v>235</v>
      </c>
    </row>
    <row r="808" spans="1:12" x14ac:dyDescent="0.25">
      <c r="A808" t="s">
        <v>931</v>
      </c>
      <c r="B808" s="2">
        <v>4441</v>
      </c>
      <c r="C808" s="2">
        <v>314</v>
      </c>
      <c r="D808">
        <v>14</v>
      </c>
      <c r="E808" t="s">
        <v>45</v>
      </c>
      <c r="F808" t="s">
        <v>49</v>
      </c>
      <c r="G808" t="s">
        <v>32</v>
      </c>
      <c r="H808" s="1">
        <v>45411</v>
      </c>
      <c r="I808" t="s">
        <v>932</v>
      </c>
      <c r="J808" s="10" t="s">
        <v>25</v>
      </c>
      <c r="K808" t="s">
        <v>68</v>
      </c>
      <c r="L808" t="s">
        <v>235</v>
      </c>
    </row>
    <row r="809" spans="1:12" x14ac:dyDescent="0.25">
      <c r="A809" t="s">
        <v>933</v>
      </c>
      <c r="B809" s="2">
        <v>6622</v>
      </c>
      <c r="C809" s="2">
        <v>2673</v>
      </c>
      <c r="D809">
        <v>8</v>
      </c>
      <c r="E809" t="s">
        <v>45</v>
      </c>
      <c r="F809" t="s">
        <v>60</v>
      </c>
      <c r="G809" t="s">
        <v>65</v>
      </c>
      <c r="H809" s="1">
        <v>45392</v>
      </c>
      <c r="I809" t="s">
        <v>934</v>
      </c>
      <c r="J809" s="10" t="s">
        <v>25</v>
      </c>
      <c r="K809" t="s">
        <v>51</v>
      </c>
      <c r="L809" t="s">
        <v>235</v>
      </c>
    </row>
    <row r="810" spans="1:12" x14ac:dyDescent="0.25">
      <c r="A810" t="s">
        <v>935</v>
      </c>
      <c r="B810" s="2">
        <v>3260</v>
      </c>
      <c r="C810" s="2">
        <v>207</v>
      </c>
      <c r="D810">
        <v>17</v>
      </c>
      <c r="E810" t="s">
        <v>45</v>
      </c>
      <c r="F810" t="s">
        <v>46</v>
      </c>
      <c r="G810" t="s">
        <v>15</v>
      </c>
      <c r="H810" s="1">
        <v>45281</v>
      </c>
      <c r="I810" t="s">
        <v>936</v>
      </c>
      <c r="J810" s="10" t="s">
        <v>42</v>
      </c>
      <c r="K810" t="s">
        <v>75</v>
      </c>
      <c r="L810" t="s">
        <v>102</v>
      </c>
    </row>
    <row r="811" spans="1:12" x14ac:dyDescent="0.25">
      <c r="A811" t="s">
        <v>937</v>
      </c>
      <c r="B811" s="2">
        <v>8709</v>
      </c>
      <c r="C811" s="2">
        <v>2322</v>
      </c>
      <c r="D811">
        <v>8</v>
      </c>
      <c r="E811" t="s">
        <v>45</v>
      </c>
      <c r="F811" t="s">
        <v>46</v>
      </c>
      <c r="G811" t="s">
        <v>32</v>
      </c>
      <c r="H811" s="1">
        <v>45414</v>
      </c>
      <c r="I811" t="s">
        <v>938</v>
      </c>
      <c r="J811" s="10" t="s">
        <v>71</v>
      </c>
      <c r="K811" t="s">
        <v>86</v>
      </c>
      <c r="L811" t="s">
        <v>35</v>
      </c>
    </row>
    <row r="812" spans="1:12" x14ac:dyDescent="0.25">
      <c r="A812" t="s">
        <v>937</v>
      </c>
      <c r="B812" s="2">
        <v>8709</v>
      </c>
      <c r="C812" s="2">
        <v>2322</v>
      </c>
      <c r="D812">
        <v>8</v>
      </c>
      <c r="E812" t="s">
        <v>45</v>
      </c>
      <c r="F812" t="s">
        <v>46</v>
      </c>
      <c r="G812" t="s">
        <v>32</v>
      </c>
      <c r="H812" s="1">
        <v>45617</v>
      </c>
      <c r="I812" t="s">
        <v>939</v>
      </c>
      <c r="J812" s="10" t="s">
        <v>42</v>
      </c>
      <c r="K812" t="s">
        <v>92</v>
      </c>
      <c r="L812" t="s">
        <v>255</v>
      </c>
    </row>
    <row r="813" spans="1:12" x14ac:dyDescent="0.25">
      <c r="A813" t="s">
        <v>940</v>
      </c>
      <c r="B813" s="2">
        <v>5250</v>
      </c>
      <c r="C813" s="2">
        <v>187</v>
      </c>
      <c r="D813">
        <v>1</v>
      </c>
      <c r="E813" t="s">
        <v>30</v>
      </c>
      <c r="F813" t="s">
        <v>78</v>
      </c>
      <c r="G813" t="s">
        <v>65</v>
      </c>
      <c r="H813" s="1">
        <v>44637</v>
      </c>
      <c r="I813" t="s">
        <v>941</v>
      </c>
      <c r="J813" s="10" t="s">
        <v>98</v>
      </c>
      <c r="K813" t="s">
        <v>107</v>
      </c>
      <c r="L813" t="s">
        <v>134</v>
      </c>
    </row>
    <row r="814" spans="1:12" x14ac:dyDescent="0.25">
      <c r="A814" t="s">
        <v>940</v>
      </c>
      <c r="B814" s="2">
        <v>5250</v>
      </c>
      <c r="C814" s="2">
        <v>187</v>
      </c>
      <c r="D814">
        <v>1</v>
      </c>
      <c r="E814" t="s">
        <v>30</v>
      </c>
      <c r="F814" t="s">
        <v>78</v>
      </c>
      <c r="G814" t="s">
        <v>65</v>
      </c>
      <c r="H814" s="1">
        <v>45060</v>
      </c>
      <c r="I814" t="s">
        <v>942</v>
      </c>
      <c r="J814" s="10" t="s">
        <v>71</v>
      </c>
      <c r="K814" t="s">
        <v>138</v>
      </c>
      <c r="L814" t="s">
        <v>127</v>
      </c>
    </row>
    <row r="815" spans="1:12" x14ac:dyDescent="0.25">
      <c r="A815" t="s">
        <v>943</v>
      </c>
      <c r="B815" s="2">
        <v>4116</v>
      </c>
      <c r="C815" s="2">
        <v>921</v>
      </c>
      <c r="D815">
        <v>20</v>
      </c>
      <c r="E815" t="s">
        <v>30</v>
      </c>
      <c r="F815" t="s">
        <v>64</v>
      </c>
      <c r="G815" t="s">
        <v>15</v>
      </c>
      <c r="H815" s="1">
        <v>45572</v>
      </c>
      <c r="I815" t="s">
        <v>944</v>
      </c>
      <c r="J815" s="10" t="s">
        <v>42</v>
      </c>
      <c r="K815" t="s">
        <v>43</v>
      </c>
      <c r="L815" t="s">
        <v>360</v>
      </c>
    </row>
    <row r="816" spans="1:12" x14ac:dyDescent="0.25">
      <c r="A816" t="s">
        <v>943</v>
      </c>
      <c r="B816" s="2">
        <v>4116</v>
      </c>
      <c r="C816" s="2">
        <v>921</v>
      </c>
      <c r="D816">
        <v>20</v>
      </c>
      <c r="E816" t="s">
        <v>30</v>
      </c>
      <c r="F816" t="s">
        <v>64</v>
      </c>
      <c r="G816" t="s">
        <v>15</v>
      </c>
      <c r="H816" s="1">
        <v>44082</v>
      </c>
      <c r="I816" t="s">
        <v>945</v>
      </c>
      <c r="J816" s="10" t="s">
        <v>21</v>
      </c>
      <c r="K816" t="s">
        <v>63</v>
      </c>
      <c r="L816" t="s">
        <v>389</v>
      </c>
    </row>
    <row r="817" spans="1:12" x14ac:dyDescent="0.25">
      <c r="A817" t="s">
        <v>946</v>
      </c>
      <c r="B817" s="2">
        <v>1109</v>
      </c>
      <c r="C817" s="2">
        <v>418</v>
      </c>
      <c r="D817">
        <v>15</v>
      </c>
      <c r="E817" t="s">
        <v>30</v>
      </c>
      <c r="F817" t="s">
        <v>64</v>
      </c>
      <c r="G817" t="s">
        <v>15</v>
      </c>
      <c r="H817" s="1">
        <v>44427</v>
      </c>
      <c r="I817" t="s">
        <v>947</v>
      </c>
      <c r="J817" s="10" t="s">
        <v>42</v>
      </c>
      <c r="K817" t="s">
        <v>43</v>
      </c>
      <c r="L817" t="s">
        <v>178</v>
      </c>
    </row>
    <row r="818" spans="1:12" x14ac:dyDescent="0.25">
      <c r="A818" t="s">
        <v>948</v>
      </c>
      <c r="B818" s="2">
        <v>3573</v>
      </c>
      <c r="C818" s="2">
        <v>562</v>
      </c>
      <c r="D818">
        <v>7</v>
      </c>
      <c r="E818" t="s">
        <v>30</v>
      </c>
      <c r="F818" t="s">
        <v>31</v>
      </c>
      <c r="G818" t="s">
        <v>40</v>
      </c>
      <c r="H818" s="1">
        <v>44846</v>
      </c>
      <c r="I818" t="s">
        <v>454</v>
      </c>
      <c r="J818" s="10" t="s">
        <v>25</v>
      </c>
      <c r="K818" t="s">
        <v>68</v>
      </c>
      <c r="L818" t="s">
        <v>96</v>
      </c>
    </row>
    <row r="819" spans="1:12" x14ac:dyDescent="0.25">
      <c r="A819" t="s">
        <v>948</v>
      </c>
      <c r="B819" s="2">
        <v>3573</v>
      </c>
      <c r="C819" s="2">
        <v>562</v>
      </c>
      <c r="D819">
        <v>7</v>
      </c>
      <c r="E819" t="s">
        <v>30</v>
      </c>
      <c r="F819" t="s">
        <v>31</v>
      </c>
      <c r="G819" t="s">
        <v>40</v>
      </c>
      <c r="H819" s="1">
        <v>43974</v>
      </c>
      <c r="I819" t="s">
        <v>949</v>
      </c>
      <c r="J819" s="10" t="s">
        <v>42</v>
      </c>
      <c r="K819" t="s">
        <v>75</v>
      </c>
      <c r="L819" t="s">
        <v>59</v>
      </c>
    </row>
    <row r="820" spans="1:12" x14ac:dyDescent="0.25">
      <c r="A820" t="s">
        <v>948</v>
      </c>
      <c r="B820" s="2">
        <v>3573</v>
      </c>
      <c r="C820" s="2">
        <v>562</v>
      </c>
      <c r="D820">
        <v>7</v>
      </c>
      <c r="E820" t="s">
        <v>30</v>
      </c>
      <c r="F820" t="s">
        <v>31</v>
      </c>
      <c r="G820" t="s">
        <v>40</v>
      </c>
      <c r="H820" s="1">
        <v>43939</v>
      </c>
      <c r="I820" t="s">
        <v>950</v>
      </c>
      <c r="J820" s="10" t="s">
        <v>17</v>
      </c>
      <c r="K820" t="s">
        <v>150</v>
      </c>
      <c r="L820" t="s">
        <v>162</v>
      </c>
    </row>
    <row r="821" spans="1:12" x14ac:dyDescent="0.25">
      <c r="A821" t="s">
        <v>948</v>
      </c>
      <c r="B821" s="2">
        <v>8055</v>
      </c>
      <c r="C821" s="2">
        <v>661</v>
      </c>
      <c r="D821">
        <v>10</v>
      </c>
      <c r="E821" t="s">
        <v>13</v>
      </c>
      <c r="F821" t="s">
        <v>82</v>
      </c>
      <c r="G821" t="s">
        <v>40</v>
      </c>
      <c r="H821" s="1">
        <v>44846</v>
      </c>
      <c r="I821" t="s">
        <v>454</v>
      </c>
      <c r="J821" s="10" t="s">
        <v>25</v>
      </c>
      <c r="K821" t="s">
        <v>68</v>
      </c>
      <c r="L821" t="s">
        <v>96</v>
      </c>
    </row>
    <row r="822" spans="1:12" x14ac:dyDescent="0.25">
      <c r="A822" t="s">
        <v>948</v>
      </c>
      <c r="B822" s="2">
        <v>8055</v>
      </c>
      <c r="C822" s="2">
        <v>661</v>
      </c>
      <c r="D822">
        <v>10</v>
      </c>
      <c r="E822" t="s">
        <v>13</v>
      </c>
      <c r="F822" t="s">
        <v>82</v>
      </c>
      <c r="G822" t="s">
        <v>40</v>
      </c>
      <c r="H822" s="1">
        <v>43974</v>
      </c>
      <c r="I822" t="s">
        <v>949</v>
      </c>
      <c r="J822" s="10" t="s">
        <v>42</v>
      </c>
      <c r="K822" t="s">
        <v>75</v>
      </c>
      <c r="L822" t="s">
        <v>59</v>
      </c>
    </row>
    <row r="823" spans="1:12" x14ac:dyDescent="0.25">
      <c r="A823" t="s">
        <v>948</v>
      </c>
      <c r="B823" s="2">
        <v>8055</v>
      </c>
      <c r="C823" s="2">
        <v>661</v>
      </c>
      <c r="D823">
        <v>10</v>
      </c>
      <c r="E823" t="s">
        <v>13</v>
      </c>
      <c r="F823" t="s">
        <v>82</v>
      </c>
      <c r="G823" t="s">
        <v>40</v>
      </c>
      <c r="H823" s="1">
        <v>43939</v>
      </c>
      <c r="I823" t="s">
        <v>950</v>
      </c>
      <c r="J823" s="10" t="s">
        <v>17</v>
      </c>
      <c r="K823" t="s">
        <v>150</v>
      </c>
      <c r="L823" t="s">
        <v>162</v>
      </c>
    </row>
    <row r="824" spans="1:12" x14ac:dyDescent="0.25">
      <c r="A824" t="s">
        <v>951</v>
      </c>
      <c r="B824" s="2">
        <v>6829</v>
      </c>
      <c r="C824" s="2">
        <v>2609</v>
      </c>
      <c r="D824">
        <v>2</v>
      </c>
      <c r="E824" t="s">
        <v>13</v>
      </c>
      <c r="F824" t="s">
        <v>39</v>
      </c>
      <c r="G824" t="s">
        <v>40</v>
      </c>
      <c r="H824" s="1">
        <v>44716</v>
      </c>
      <c r="I824" t="s">
        <v>952</v>
      </c>
      <c r="J824" s="10" t="s">
        <v>42</v>
      </c>
      <c r="K824" t="s">
        <v>92</v>
      </c>
      <c r="L824" t="s">
        <v>165</v>
      </c>
    </row>
    <row r="825" spans="1:12" x14ac:dyDescent="0.25">
      <c r="A825" t="s">
        <v>951</v>
      </c>
      <c r="B825" s="2">
        <v>6390</v>
      </c>
      <c r="C825" s="2">
        <v>3089</v>
      </c>
      <c r="D825">
        <v>12</v>
      </c>
      <c r="E825" t="s">
        <v>30</v>
      </c>
      <c r="F825" t="s">
        <v>64</v>
      </c>
      <c r="G825" t="s">
        <v>65</v>
      </c>
      <c r="H825" s="1">
        <v>44716</v>
      </c>
      <c r="I825" t="s">
        <v>952</v>
      </c>
      <c r="J825" s="10" t="s">
        <v>42</v>
      </c>
      <c r="K825" t="s">
        <v>92</v>
      </c>
      <c r="L825" t="s">
        <v>165</v>
      </c>
    </row>
    <row r="826" spans="1:12" x14ac:dyDescent="0.25">
      <c r="A826" t="s">
        <v>953</v>
      </c>
      <c r="B826" s="2">
        <v>5831</v>
      </c>
      <c r="C826" s="2">
        <v>1574</v>
      </c>
      <c r="D826">
        <v>17</v>
      </c>
      <c r="E826" t="s">
        <v>30</v>
      </c>
      <c r="F826" t="s">
        <v>31</v>
      </c>
      <c r="G826" t="s">
        <v>32</v>
      </c>
      <c r="H826" s="1">
        <v>44881</v>
      </c>
      <c r="I826" t="s">
        <v>954</v>
      </c>
      <c r="J826" s="10" t="s">
        <v>42</v>
      </c>
      <c r="K826" t="s">
        <v>92</v>
      </c>
      <c r="L826" t="s">
        <v>44</v>
      </c>
    </row>
    <row r="827" spans="1:12" x14ac:dyDescent="0.25">
      <c r="A827" t="s">
        <v>953</v>
      </c>
      <c r="B827" s="2">
        <v>5831</v>
      </c>
      <c r="C827" s="2">
        <v>1574</v>
      </c>
      <c r="D827">
        <v>17</v>
      </c>
      <c r="E827" t="s">
        <v>30</v>
      </c>
      <c r="F827" t="s">
        <v>31</v>
      </c>
      <c r="G827" t="s">
        <v>32</v>
      </c>
      <c r="H827" s="1">
        <v>45491</v>
      </c>
      <c r="I827" t="s">
        <v>955</v>
      </c>
      <c r="J827" s="10" t="s">
        <v>42</v>
      </c>
      <c r="K827" t="s">
        <v>75</v>
      </c>
      <c r="L827" t="s">
        <v>215</v>
      </c>
    </row>
    <row r="828" spans="1:12" x14ac:dyDescent="0.25">
      <c r="A828" t="s">
        <v>953</v>
      </c>
      <c r="B828" s="2">
        <v>5831</v>
      </c>
      <c r="C828" s="2">
        <v>1574</v>
      </c>
      <c r="D828">
        <v>17</v>
      </c>
      <c r="E828" t="s">
        <v>30</v>
      </c>
      <c r="F828" t="s">
        <v>31</v>
      </c>
      <c r="G828" t="s">
        <v>32</v>
      </c>
      <c r="H828" s="1">
        <v>45123</v>
      </c>
      <c r="I828" t="s">
        <v>956</v>
      </c>
      <c r="J828" s="10" t="s">
        <v>17</v>
      </c>
      <c r="K828" t="s">
        <v>18</v>
      </c>
      <c r="L828" t="s">
        <v>105</v>
      </c>
    </row>
    <row r="829" spans="1:12" x14ac:dyDescent="0.25">
      <c r="A829" t="s">
        <v>957</v>
      </c>
      <c r="B829" s="2">
        <v>7952</v>
      </c>
      <c r="C829" s="2">
        <v>3865</v>
      </c>
      <c r="D829">
        <v>8</v>
      </c>
      <c r="E829" t="s">
        <v>45</v>
      </c>
      <c r="F829" t="s">
        <v>60</v>
      </c>
      <c r="G829" t="s">
        <v>32</v>
      </c>
      <c r="H829" s="1">
        <v>44053</v>
      </c>
      <c r="I829" t="s">
        <v>958</v>
      </c>
      <c r="J829" s="10" t="s">
        <v>21</v>
      </c>
      <c r="K829" t="s">
        <v>172</v>
      </c>
      <c r="L829" t="s">
        <v>185</v>
      </c>
    </row>
    <row r="830" spans="1:12" x14ac:dyDescent="0.25">
      <c r="A830" t="s">
        <v>959</v>
      </c>
      <c r="B830" s="2">
        <v>3659</v>
      </c>
      <c r="C830" s="2">
        <v>379</v>
      </c>
      <c r="D830">
        <v>5</v>
      </c>
      <c r="E830" t="s">
        <v>45</v>
      </c>
      <c r="F830" t="s">
        <v>109</v>
      </c>
      <c r="G830" t="s">
        <v>15</v>
      </c>
      <c r="H830" s="1">
        <v>45465</v>
      </c>
      <c r="I830" t="s">
        <v>960</v>
      </c>
      <c r="J830" s="10" t="s">
        <v>42</v>
      </c>
      <c r="K830" t="s">
        <v>43</v>
      </c>
      <c r="L830" t="s">
        <v>262</v>
      </c>
    </row>
    <row r="831" spans="1:12" x14ac:dyDescent="0.25">
      <c r="A831" t="s">
        <v>961</v>
      </c>
      <c r="B831" s="2">
        <v>4183</v>
      </c>
      <c r="C831" s="2">
        <v>1159</v>
      </c>
      <c r="D831">
        <v>4</v>
      </c>
      <c r="E831" t="s">
        <v>30</v>
      </c>
      <c r="F831" t="s">
        <v>31</v>
      </c>
      <c r="G831" t="s">
        <v>32</v>
      </c>
      <c r="H831" s="1">
        <v>44025</v>
      </c>
      <c r="I831" t="s">
        <v>962</v>
      </c>
      <c r="J831" s="10" t="s">
        <v>21</v>
      </c>
      <c r="K831" t="s">
        <v>63</v>
      </c>
      <c r="L831" t="s">
        <v>462</v>
      </c>
    </row>
    <row r="832" spans="1:12" x14ac:dyDescent="0.25">
      <c r="A832" t="s">
        <v>963</v>
      </c>
      <c r="B832" s="2">
        <v>7478</v>
      </c>
      <c r="C832" s="2">
        <v>1381</v>
      </c>
      <c r="D832">
        <v>11</v>
      </c>
      <c r="E832" t="s">
        <v>13</v>
      </c>
      <c r="F832" t="s">
        <v>82</v>
      </c>
      <c r="G832" t="s">
        <v>40</v>
      </c>
      <c r="H832" s="1">
        <v>45398</v>
      </c>
      <c r="I832" t="s">
        <v>964</v>
      </c>
      <c r="J832" s="10" t="s">
        <v>71</v>
      </c>
      <c r="K832" t="s">
        <v>138</v>
      </c>
      <c r="L832" t="s">
        <v>235</v>
      </c>
    </row>
    <row r="833" spans="1:12" x14ac:dyDescent="0.25">
      <c r="A833" t="s">
        <v>965</v>
      </c>
      <c r="B833" s="2">
        <v>702</v>
      </c>
      <c r="C833" s="2">
        <v>238</v>
      </c>
      <c r="D833">
        <v>9</v>
      </c>
      <c r="E833" t="s">
        <v>13</v>
      </c>
      <c r="F833" t="s">
        <v>82</v>
      </c>
      <c r="G833" t="s">
        <v>65</v>
      </c>
      <c r="H833" s="1">
        <v>44268</v>
      </c>
      <c r="I833" t="s">
        <v>966</v>
      </c>
      <c r="J833" s="10" t="s">
        <v>17</v>
      </c>
      <c r="K833" t="s">
        <v>150</v>
      </c>
      <c r="L833" t="s">
        <v>167</v>
      </c>
    </row>
    <row r="834" spans="1:12" x14ac:dyDescent="0.25">
      <c r="A834" t="s">
        <v>967</v>
      </c>
      <c r="B834" s="2">
        <v>4037</v>
      </c>
      <c r="C834" s="2">
        <v>1494</v>
      </c>
      <c r="D834">
        <v>15</v>
      </c>
      <c r="E834" t="s">
        <v>45</v>
      </c>
      <c r="F834" t="s">
        <v>49</v>
      </c>
      <c r="G834" t="s">
        <v>40</v>
      </c>
      <c r="H834" s="1">
        <v>45017</v>
      </c>
      <c r="I834" t="s">
        <v>968</v>
      </c>
      <c r="J834" s="10" t="s">
        <v>42</v>
      </c>
      <c r="K834" t="s">
        <v>92</v>
      </c>
      <c r="L834" t="s">
        <v>145</v>
      </c>
    </row>
    <row r="835" spans="1:12" x14ac:dyDescent="0.25">
      <c r="A835" t="s">
        <v>969</v>
      </c>
      <c r="B835" s="2">
        <v>5014</v>
      </c>
      <c r="C835" s="2">
        <v>2332</v>
      </c>
      <c r="D835">
        <v>2</v>
      </c>
      <c r="E835" t="s">
        <v>45</v>
      </c>
      <c r="F835" t="s">
        <v>49</v>
      </c>
      <c r="G835" t="s">
        <v>65</v>
      </c>
      <c r="H835" s="1">
        <v>44145</v>
      </c>
      <c r="I835" t="s">
        <v>970</v>
      </c>
      <c r="J835" s="10" t="s">
        <v>21</v>
      </c>
      <c r="K835" t="s">
        <v>22</v>
      </c>
      <c r="L835" t="s">
        <v>80</v>
      </c>
    </row>
    <row r="836" spans="1:12" x14ac:dyDescent="0.25">
      <c r="A836" t="s">
        <v>971</v>
      </c>
      <c r="B836" s="2">
        <v>9879</v>
      </c>
      <c r="C836" s="2">
        <v>4930</v>
      </c>
      <c r="D836">
        <v>15</v>
      </c>
      <c r="E836" t="s">
        <v>13</v>
      </c>
      <c r="F836" t="s">
        <v>39</v>
      </c>
      <c r="G836" t="s">
        <v>32</v>
      </c>
      <c r="H836" s="1">
        <v>45085</v>
      </c>
      <c r="I836" t="s">
        <v>972</v>
      </c>
      <c r="J836" s="10" t="s">
        <v>25</v>
      </c>
      <c r="K836" t="s">
        <v>68</v>
      </c>
      <c r="L836" t="s">
        <v>19</v>
      </c>
    </row>
    <row r="837" spans="1:12" x14ac:dyDescent="0.25">
      <c r="A837" t="s">
        <v>973</v>
      </c>
      <c r="B837" s="2">
        <v>8762</v>
      </c>
      <c r="C837" s="2">
        <v>3502</v>
      </c>
      <c r="D837">
        <v>1</v>
      </c>
      <c r="E837" t="s">
        <v>13</v>
      </c>
      <c r="F837" t="s">
        <v>82</v>
      </c>
      <c r="G837" t="s">
        <v>32</v>
      </c>
      <c r="H837" s="1">
        <v>44425</v>
      </c>
      <c r="I837" t="s">
        <v>974</v>
      </c>
      <c r="J837" s="10" t="s">
        <v>17</v>
      </c>
      <c r="K837" t="s">
        <v>150</v>
      </c>
      <c r="L837" t="s">
        <v>178</v>
      </c>
    </row>
    <row r="838" spans="1:12" x14ac:dyDescent="0.25">
      <c r="A838" t="s">
        <v>975</v>
      </c>
      <c r="B838" s="2">
        <v>8490</v>
      </c>
      <c r="C838" s="2">
        <v>800</v>
      </c>
      <c r="D838">
        <v>1</v>
      </c>
      <c r="E838" t="s">
        <v>30</v>
      </c>
      <c r="F838" t="s">
        <v>31</v>
      </c>
      <c r="G838" t="s">
        <v>40</v>
      </c>
      <c r="H838" s="1">
        <v>43975</v>
      </c>
      <c r="I838" t="s">
        <v>976</v>
      </c>
      <c r="J838" s="10" t="s">
        <v>25</v>
      </c>
      <c r="K838" t="s">
        <v>51</v>
      </c>
      <c r="L838" t="s">
        <v>59</v>
      </c>
    </row>
    <row r="839" spans="1:12" x14ac:dyDescent="0.25">
      <c r="A839" t="s">
        <v>977</v>
      </c>
      <c r="B839" s="2">
        <v>6951</v>
      </c>
      <c r="C839" s="2">
        <v>164</v>
      </c>
      <c r="D839">
        <v>10</v>
      </c>
      <c r="E839" t="s">
        <v>45</v>
      </c>
      <c r="F839" t="s">
        <v>60</v>
      </c>
      <c r="G839" t="s">
        <v>15</v>
      </c>
      <c r="H839" s="1">
        <v>44420</v>
      </c>
      <c r="I839" t="s">
        <v>978</v>
      </c>
      <c r="J839" s="10" t="s">
        <v>25</v>
      </c>
      <c r="K839" t="s">
        <v>26</v>
      </c>
      <c r="L839" t="s">
        <v>178</v>
      </c>
    </row>
    <row r="840" spans="1:12" x14ac:dyDescent="0.25">
      <c r="A840" t="s">
        <v>979</v>
      </c>
      <c r="B840" s="2">
        <v>1078</v>
      </c>
      <c r="C840" s="2">
        <v>309</v>
      </c>
      <c r="D840">
        <v>3</v>
      </c>
      <c r="E840" t="s">
        <v>13</v>
      </c>
      <c r="F840" t="s">
        <v>82</v>
      </c>
      <c r="G840" t="s">
        <v>47</v>
      </c>
      <c r="H840" s="1">
        <v>44807</v>
      </c>
      <c r="I840" t="s">
        <v>980</v>
      </c>
      <c r="J840" s="10" t="s">
        <v>98</v>
      </c>
      <c r="K840" t="s">
        <v>117</v>
      </c>
      <c r="L840" t="s">
        <v>131</v>
      </c>
    </row>
    <row r="841" spans="1:12" x14ac:dyDescent="0.25">
      <c r="A841" t="s">
        <v>979</v>
      </c>
      <c r="B841" s="2">
        <v>1078</v>
      </c>
      <c r="C841" s="2">
        <v>309</v>
      </c>
      <c r="D841">
        <v>3</v>
      </c>
      <c r="E841" t="s">
        <v>13</v>
      </c>
      <c r="F841" t="s">
        <v>82</v>
      </c>
      <c r="G841" t="s">
        <v>47</v>
      </c>
      <c r="H841" s="1">
        <v>44105</v>
      </c>
      <c r="I841" t="s">
        <v>981</v>
      </c>
      <c r="J841" s="10" t="s">
        <v>21</v>
      </c>
      <c r="K841" t="s">
        <v>22</v>
      </c>
      <c r="L841" t="s">
        <v>119</v>
      </c>
    </row>
    <row r="842" spans="1:12" x14ac:dyDescent="0.25">
      <c r="A842" t="s">
        <v>982</v>
      </c>
      <c r="B842" s="2">
        <v>8560</v>
      </c>
      <c r="C842" s="2">
        <v>2166</v>
      </c>
      <c r="D842">
        <v>19</v>
      </c>
      <c r="E842" t="s">
        <v>30</v>
      </c>
      <c r="F842" t="s">
        <v>78</v>
      </c>
      <c r="G842" t="s">
        <v>40</v>
      </c>
      <c r="H842" s="1">
        <v>44708</v>
      </c>
      <c r="I842" t="s">
        <v>983</v>
      </c>
      <c r="J842" s="10" t="s">
        <v>17</v>
      </c>
      <c r="K842" t="s">
        <v>150</v>
      </c>
      <c r="L842" t="s">
        <v>180</v>
      </c>
    </row>
    <row r="843" spans="1:12" x14ac:dyDescent="0.25">
      <c r="A843" t="s">
        <v>982</v>
      </c>
      <c r="B843" s="2">
        <v>1031</v>
      </c>
      <c r="C843" s="2">
        <v>318</v>
      </c>
      <c r="D843">
        <v>20</v>
      </c>
      <c r="E843" t="s">
        <v>13</v>
      </c>
      <c r="F843" t="s">
        <v>14</v>
      </c>
      <c r="G843" t="s">
        <v>15</v>
      </c>
      <c r="H843" s="1">
        <v>44708</v>
      </c>
      <c r="I843" t="s">
        <v>983</v>
      </c>
      <c r="J843" s="10" t="s">
        <v>17</v>
      </c>
      <c r="K843" t="s">
        <v>150</v>
      </c>
      <c r="L843" t="s">
        <v>180</v>
      </c>
    </row>
    <row r="844" spans="1:12" x14ac:dyDescent="0.25">
      <c r="A844" t="s">
        <v>984</v>
      </c>
      <c r="B844" s="2">
        <v>6402</v>
      </c>
      <c r="C844" s="2">
        <v>2770</v>
      </c>
      <c r="D844">
        <v>19</v>
      </c>
      <c r="E844" t="s">
        <v>30</v>
      </c>
      <c r="F844" t="s">
        <v>57</v>
      </c>
      <c r="G844" t="s">
        <v>32</v>
      </c>
      <c r="H844" s="1">
        <v>45361</v>
      </c>
      <c r="I844" t="s">
        <v>985</v>
      </c>
      <c r="J844" s="10" t="s">
        <v>17</v>
      </c>
      <c r="K844" t="s">
        <v>34</v>
      </c>
      <c r="L844" t="s">
        <v>338</v>
      </c>
    </row>
    <row r="845" spans="1:12" x14ac:dyDescent="0.25">
      <c r="A845" t="s">
        <v>984</v>
      </c>
      <c r="B845" s="2">
        <v>6402</v>
      </c>
      <c r="C845" s="2">
        <v>2770</v>
      </c>
      <c r="D845">
        <v>19</v>
      </c>
      <c r="E845" t="s">
        <v>30</v>
      </c>
      <c r="F845" t="s">
        <v>57</v>
      </c>
      <c r="G845" t="s">
        <v>32</v>
      </c>
      <c r="H845" s="1">
        <v>45204</v>
      </c>
      <c r="I845" t="s">
        <v>986</v>
      </c>
      <c r="J845" s="10" t="s">
        <v>17</v>
      </c>
      <c r="K845" t="s">
        <v>34</v>
      </c>
      <c r="L845" t="s">
        <v>442</v>
      </c>
    </row>
    <row r="846" spans="1:12" x14ac:dyDescent="0.25">
      <c r="A846" t="s">
        <v>984</v>
      </c>
      <c r="B846" s="2">
        <v>5916</v>
      </c>
      <c r="C846" s="2">
        <v>1594</v>
      </c>
      <c r="D846">
        <v>19</v>
      </c>
      <c r="E846" t="s">
        <v>13</v>
      </c>
      <c r="F846" t="s">
        <v>28</v>
      </c>
      <c r="G846" t="s">
        <v>32</v>
      </c>
      <c r="H846" s="1">
        <v>45361</v>
      </c>
      <c r="I846" t="s">
        <v>985</v>
      </c>
      <c r="J846" s="10" t="s">
        <v>17</v>
      </c>
      <c r="K846" t="s">
        <v>34</v>
      </c>
      <c r="L846" t="s">
        <v>338</v>
      </c>
    </row>
    <row r="847" spans="1:12" x14ac:dyDescent="0.25">
      <c r="A847" t="s">
        <v>984</v>
      </c>
      <c r="B847" s="2">
        <v>5916</v>
      </c>
      <c r="C847" s="2">
        <v>1594</v>
      </c>
      <c r="D847">
        <v>19</v>
      </c>
      <c r="E847" t="s">
        <v>13</v>
      </c>
      <c r="F847" t="s">
        <v>28</v>
      </c>
      <c r="G847" t="s">
        <v>32</v>
      </c>
      <c r="H847" s="1">
        <v>45204</v>
      </c>
      <c r="I847" t="s">
        <v>986</v>
      </c>
      <c r="J847" s="10" t="s">
        <v>17</v>
      </c>
      <c r="K847" t="s">
        <v>34</v>
      </c>
      <c r="L847" t="s">
        <v>442</v>
      </c>
    </row>
    <row r="848" spans="1:12" x14ac:dyDescent="0.25">
      <c r="A848" t="s">
        <v>987</v>
      </c>
      <c r="B848" s="2">
        <v>4015</v>
      </c>
      <c r="C848" s="2">
        <v>1751</v>
      </c>
      <c r="D848">
        <v>15</v>
      </c>
      <c r="E848" t="s">
        <v>45</v>
      </c>
      <c r="F848" t="s">
        <v>49</v>
      </c>
      <c r="G848" t="s">
        <v>32</v>
      </c>
      <c r="H848" s="1">
        <v>44801</v>
      </c>
      <c r="I848" t="s">
        <v>988</v>
      </c>
      <c r="J848" s="10" t="s">
        <v>42</v>
      </c>
      <c r="K848" t="s">
        <v>92</v>
      </c>
      <c r="L848" t="s">
        <v>209</v>
      </c>
    </row>
    <row r="849" spans="1:12" x14ac:dyDescent="0.25">
      <c r="A849" t="s">
        <v>987</v>
      </c>
      <c r="B849" s="2">
        <v>4015</v>
      </c>
      <c r="C849" s="2">
        <v>1751</v>
      </c>
      <c r="D849">
        <v>15</v>
      </c>
      <c r="E849" t="s">
        <v>45</v>
      </c>
      <c r="F849" t="s">
        <v>49</v>
      </c>
      <c r="G849" t="s">
        <v>32</v>
      </c>
      <c r="H849" s="1">
        <v>44082</v>
      </c>
      <c r="I849" t="s">
        <v>989</v>
      </c>
      <c r="J849" s="10" t="s">
        <v>25</v>
      </c>
      <c r="K849" t="s">
        <v>51</v>
      </c>
      <c r="L849" t="s">
        <v>389</v>
      </c>
    </row>
    <row r="850" spans="1:12" x14ac:dyDescent="0.25">
      <c r="A850" t="s">
        <v>990</v>
      </c>
      <c r="B850" s="2">
        <v>9335</v>
      </c>
      <c r="C850" s="2">
        <v>557</v>
      </c>
      <c r="D850">
        <v>11</v>
      </c>
      <c r="E850" t="s">
        <v>13</v>
      </c>
      <c r="F850" t="s">
        <v>14</v>
      </c>
      <c r="G850" t="s">
        <v>65</v>
      </c>
      <c r="H850" s="1">
        <v>44313</v>
      </c>
      <c r="I850" t="s">
        <v>991</v>
      </c>
      <c r="J850" s="10" t="s">
        <v>42</v>
      </c>
      <c r="K850" t="s">
        <v>43</v>
      </c>
      <c r="L850" t="s">
        <v>139</v>
      </c>
    </row>
    <row r="851" spans="1:12" x14ac:dyDescent="0.25">
      <c r="A851" t="s">
        <v>992</v>
      </c>
      <c r="B851" s="2">
        <v>4706</v>
      </c>
      <c r="C851" s="2">
        <v>594</v>
      </c>
      <c r="D851">
        <v>11</v>
      </c>
      <c r="E851" t="s">
        <v>30</v>
      </c>
      <c r="F851" t="s">
        <v>78</v>
      </c>
      <c r="G851" t="s">
        <v>65</v>
      </c>
      <c r="H851" s="1">
        <v>44429</v>
      </c>
      <c r="I851" t="s">
        <v>993</v>
      </c>
      <c r="J851" s="10" t="s">
        <v>98</v>
      </c>
      <c r="K851" t="s">
        <v>117</v>
      </c>
      <c r="L851" t="s">
        <v>178</v>
      </c>
    </row>
    <row r="852" spans="1:12" x14ac:dyDescent="0.25">
      <c r="A852" t="s">
        <v>992</v>
      </c>
      <c r="B852" s="2">
        <v>4706</v>
      </c>
      <c r="C852" s="2">
        <v>594</v>
      </c>
      <c r="D852">
        <v>11</v>
      </c>
      <c r="E852" t="s">
        <v>30</v>
      </c>
      <c r="F852" t="s">
        <v>78</v>
      </c>
      <c r="G852" t="s">
        <v>65</v>
      </c>
      <c r="H852" s="1">
        <v>44332</v>
      </c>
      <c r="I852" t="s">
        <v>994</v>
      </c>
      <c r="J852" s="10" t="s">
        <v>98</v>
      </c>
      <c r="K852" t="s">
        <v>99</v>
      </c>
      <c r="L852" t="s">
        <v>108</v>
      </c>
    </row>
    <row r="853" spans="1:12" x14ac:dyDescent="0.25">
      <c r="A853" t="s">
        <v>992</v>
      </c>
      <c r="B853" s="2">
        <v>6584</v>
      </c>
      <c r="C853" s="2">
        <v>371</v>
      </c>
      <c r="D853">
        <v>6</v>
      </c>
      <c r="E853" t="s">
        <v>30</v>
      </c>
      <c r="F853" t="s">
        <v>57</v>
      </c>
      <c r="G853" t="s">
        <v>15</v>
      </c>
      <c r="H853" s="1">
        <v>44429</v>
      </c>
      <c r="I853" t="s">
        <v>993</v>
      </c>
      <c r="J853" s="10" t="s">
        <v>98</v>
      </c>
      <c r="K853" t="s">
        <v>117</v>
      </c>
      <c r="L853" t="s">
        <v>178</v>
      </c>
    </row>
    <row r="854" spans="1:12" x14ac:dyDescent="0.25">
      <c r="A854" t="s">
        <v>992</v>
      </c>
      <c r="B854" s="2">
        <v>6584</v>
      </c>
      <c r="C854" s="2">
        <v>371</v>
      </c>
      <c r="D854">
        <v>6</v>
      </c>
      <c r="E854" t="s">
        <v>30</v>
      </c>
      <c r="F854" t="s">
        <v>57</v>
      </c>
      <c r="G854" t="s">
        <v>15</v>
      </c>
      <c r="H854" s="1">
        <v>44332</v>
      </c>
      <c r="I854" t="s">
        <v>994</v>
      </c>
      <c r="J854" s="10" t="s">
        <v>98</v>
      </c>
      <c r="K854" t="s">
        <v>99</v>
      </c>
      <c r="L854" t="s">
        <v>108</v>
      </c>
    </row>
    <row r="855" spans="1:12" x14ac:dyDescent="0.25">
      <c r="A855" t="s">
        <v>995</v>
      </c>
      <c r="B855" s="2">
        <v>6389</v>
      </c>
      <c r="C855" s="2">
        <v>734</v>
      </c>
      <c r="D855">
        <v>1</v>
      </c>
      <c r="E855" t="s">
        <v>45</v>
      </c>
      <c r="F855" t="s">
        <v>60</v>
      </c>
      <c r="G855" t="s">
        <v>40</v>
      </c>
      <c r="H855" s="1">
        <v>44576</v>
      </c>
      <c r="I855" t="s">
        <v>996</v>
      </c>
      <c r="J855" s="10" t="s">
        <v>71</v>
      </c>
      <c r="K855" t="s">
        <v>72</v>
      </c>
      <c r="L855" t="s">
        <v>87</v>
      </c>
    </row>
    <row r="856" spans="1:12" x14ac:dyDescent="0.25">
      <c r="A856" t="s">
        <v>997</v>
      </c>
      <c r="B856" s="2">
        <v>9869</v>
      </c>
      <c r="C856" s="2">
        <v>4299</v>
      </c>
      <c r="D856">
        <v>12</v>
      </c>
      <c r="E856" t="s">
        <v>13</v>
      </c>
      <c r="F856" t="s">
        <v>28</v>
      </c>
      <c r="G856" t="s">
        <v>32</v>
      </c>
      <c r="H856" s="1">
        <v>45006</v>
      </c>
      <c r="I856" t="s">
        <v>998</v>
      </c>
      <c r="J856" s="10" t="s">
        <v>42</v>
      </c>
      <c r="K856" t="s">
        <v>75</v>
      </c>
      <c r="L856" t="s">
        <v>245</v>
      </c>
    </row>
    <row r="857" spans="1:12" x14ac:dyDescent="0.25">
      <c r="A857" t="s">
        <v>997</v>
      </c>
      <c r="B857" s="2">
        <v>9869</v>
      </c>
      <c r="C857" s="2">
        <v>4299</v>
      </c>
      <c r="D857">
        <v>12</v>
      </c>
      <c r="E857" t="s">
        <v>13</v>
      </c>
      <c r="F857" t="s">
        <v>28</v>
      </c>
      <c r="G857" t="s">
        <v>32</v>
      </c>
      <c r="H857" s="1">
        <v>45288</v>
      </c>
      <c r="I857" t="s">
        <v>999</v>
      </c>
      <c r="J857" s="10" t="s">
        <v>25</v>
      </c>
      <c r="K857" t="s">
        <v>26</v>
      </c>
      <c r="L857" t="s">
        <v>102</v>
      </c>
    </row>
    <row r="858" spans="1:12" x14ac:dyDescent="0.25">
      <c r="A858" t="s">
        <v>1000</v>
      </c>
      <c r="B858" s="2">
        <v>655</v>
      </c>
      <c r="C858" s="2">
        <v>297</v>
      </c>
      <c r="D858">
        <v>4</v>
      </c>
      <c r="E858" t="s">
        <v>30</v>
      </c>
      <c r="F858" t="s">
        <v>57</v>
      </c>
      <c r="G858" t="s">
        <v>32</v>
      </c>
      <c r="H858" s="1">
        <v>44607</v>
      </c>
      <c r="I858" t="s">
        <v>1001</v>
      </c>
      <c r="J858" s="10" t="s">
        <v>25</v>
      </c>
      <c r="K858" t="s">
        <v>26</v>
      </c>
      <c r="L858" t="s">
        <v>137</v>
      </c>
    </row>
    <row r="859" spans="1:12" x14ac:dyDescent="0.25">
      <c r="A859" t="s">
        <v>1000</v>
      </c>
      <c r="B859" s="2">
        <v>655</v>
      </c>
      <c r="C859" s="2">
        <v>297</v>
      </c>
      <c r="D859">
        <v>4</v>
      </c>
      <c r="E859" t="s">
        <v>30</v>
      </c>
      <c r="F859" t="s">
        <v>57</v>
      </c>
      <c r="G859" t="s">
        <v>32</v>
      </c>
      <c r="H859" s="1">
        <v>45260</v>
      </c>
      <c r="I859" t="s">
        <v>1002</v>
      </c>
      <c r="J859" s="10" t="s">
        <v>17</v>
      </c>
      <c r="K859" t="s">
        <v>34</v>
      </c>
      <c r="L859" t="s">
        <v>52</v>
      </c>
    </row>
    <row r="860" spans="1:12" x14ac:dyDescent="0.25">
      <c r="A860" t="s">
        <v>1003</v>
      </c>
      <c r="B860" s="2">
        <v>798</v>
      </c>
      <c r="C860" s="2">
        <v>308</v>
      </c>
      <c r="D860">
        <v>10</v>
      </c>
      <c r="E860" t="s">
        <v>13</v>
      </c>
      <c r="F860" t="s">
        <v>82</v>
      </c>
      <c r="G860" t="s">
        <v>32</v>
      </c>
      <c r="H860" s="1">
        <v>44938</v>
      </c>
      <c r="I860" t="s">
        <v>1004</v>
      </c>
      <c r="J860" s="10" t="s">
        <v>25</v>
      </c>
      <c r="K860" t="s">
        <v>26</v>
      </c>
      <c r="L860" t="s">
        <v>333</v>
      </c>
    </row>
    <row r="861" spans="1:12" x14ac:dyDescent="0.25">
      <c r="A861" t="s">
        <v>1003</v>
      </c>
      <c r="B861" s="2">
        <v>798</v>
      </c>
      <c r="C861" s="2">
        <v>308</v>
      </c>
      <c r="D861">
        <v>10</v>
      </c>
      <c r="E861" t="s">
        <v>13</v>
      </c>
      <c r="F861" t="s">
        <v>82</v>
      </c>
      <c r="G861" t="s">
        <v>32</v>
      </c>
      <c r="H861" s="1">
        <v>45065</v>
      </c>
      <c r="I861" t="s">
        <v>1005</v>
      </c>
      <c r="J861" s="10" t="s">
        <v>98</v>
      </c>
      <c r="K861" t="s">
        <v>117</v>
      </c>
      <c r="L861" t="s">
        <v>127</v>
      </c>
    </row>
    <row r="862" spans="1:12" x14ac:dyDescent="0.25">
      <c r="A862" t="s">
        <v>1003</v>
      </c>
      <c r="B862" s="2">
        <v>7967</v>
      </c>
      <c r="C862" s="2">
        <v>2504</v>
      </c>
      <c r="D862">
        <v>13</v>
      </c>
      <c r="E862" t="s">
        <v>13</v>
      </c>
      <c r="F862" t="s">
        <v>28</v>
      </c>
      <c r="G862" t="s">
        <v>40</v>
      </c>
      <c r="H862" s="1">
        <v>44938</v>
      </c>
      <c r="I862" t="s">
        <v>1004</v>
      </c>
      <c r="J862" s="10" t="s">
        <v>25</v>
      </c>
      <c r="K862" t="s">
        <v>26</v>
      </c>
      <c r="L862" t="s">
        <v>333</v>
      </c>
    </row>
    <row r="863" spans="1:12" x14ac:dyDescent="0.25">
      <c r="A863" t="s">
        <v>1003</v>
      </c>
      <c r="B863" s="2">
        <v>7967</v>
      </c>
      <c r="C863" s="2">
        <v>2504</v>
      </c>
      <c r="D863">
        <v>13</v>
      </c>
      <c r="E863" t="s">
        <v>13</v>
      </c>
      <c r="F863" t="s">
        <v>28</v>
      </c>
      <c r="G863" t="s">
        <v>40</v>
      </c>
      <c r="H863" s="1">
        <v>45065</v>
      </c>
      <c r="I863" t="s">
        <v>1005</v>
      </c>
      <c r="J863" s="10" t="s">
        <v>98</v>
      </c>
      <c r="K863" t="s">
        <v>117</v>
      </c>
      <c r="L863" t="s">
        <v>127</v>
      </c>
    </row>
    <row r="864" spans="1:12" x14ac:dyDescent="0.25">
      <c r="A864" t="s">
        <v>1006</v>
      </c>
      <c r="B864" s="2">
        <v>3756</v>
      </c>
      <c r="C864" s="2">
        <v>1318</v>
      </c>
      <c r="D864">
        <v>5</v>
      </c>
      <c r="E864" t="s">
        <v>45</v>
      </c>
      <c r="F864" t="s">
        <v>46</v>
      </c>
      <c r="G864" t="s">
        <v>15</v>
      </c>
      <c r="H864" s="1">
        <v>45341</v>
      </c>
      <c r="I864" t="s">
        <v>1007</v>
      </c>
      <c r="J864" s="10" t="s">
        <v>17</v>
      </c>
      <c r="K864" t="s">
        <v>18</v>
      </c>
      <c r="L864" t="s">
        <v>218</v>
      </c>
    </row>
    <row r="865" spans="1:12" x14ac:dyDescent="0.25">
      <c r="A865" t="s">
        <v>1008</v>
      </c>
      <c r="B865" s="2">
        <v>5196</v>
      </c>
      <c r="C865" s="2">
        <v>2477</v>
      </c>
      <c r="D865">
        <v>1</v>
      </c>
      <c r="E865" t="s">
        <v>30</v>
      </c>
      <c r="F865" t="s">
        <v>57</v>
      </c>
      <c r="G865" t="s">
        <v>15</v>
      </c>
      <c r="H865" s="1">
        <v>44531</v>
      </c>
      <c r="I865" t="s">
        <v>1009</v>
      </c>
      <c r="J865" s="10" t="s">
        <v>71</v>
      </c>
      <c r="K865" t="s">
        <v>86</v>
      </c>
      <c r="L865" t="s">
        <v>90</v>
      </c>
    </row>
    <row r="866" spans="1:12" x14ac:dyDescent="0.25">
      <c r="A866" t="s">
        <v>1008</v>
      </c>
      <c r="B866" s="2">
        <v>6586</v>
      </c>
      <c r="C866" s="2">
        <v>1794</v>
      </c>
      <c r="D866">
        <v>19</v>
      </c>
      <c r="E866" t="s">
        <v>45</v>
      </c>
      <c r="F866" t="s">
        <v>109</v>
      </c>
      <c r="G866" t="s">
        <v>32</v>
      </c>
      <c r="H866" s="1">
        <v>44531</v>
      </c>
      <c r="I866" t="s">
        <v>1009</v>
      </c>
      <c r="J866" s="10" t="s">
        <v>71</v>
      </c>
      <c r="K866" t="s">
        <v>86</v>
      </c>
      <c r="L866" t="s">
        <v>90</v>
      </c>
    </row>
    <row r="867" spans="1:12" x14ac:dyDescent="0.25">
      <c r="A867" t="s">
        <v>1010</v>
      </c>
      <c r="B867" s="2">
        <v>6673</v>
      </c>
      <c r="C867" s="2">
        <v>950</v>
      </c>
      <c r="D867">
        <v>19</v>
      </c>
      <c r="E867" t="s">
        <v>30</v>
      </c>
      <c r="F867" t="s">
        <v>57</v>
      </c>
      <c r="G867" t="s">
        <v>40</v>
      </c>
      <c r="H867" s="1">
        <v>45645</v>
      </c>
      <c r="I867" t="s">
        <v>1011</v>
      </c>
      <c r="J867" s="10" t="s">
        <v>25</v>
      </c>
      <c r="K867" t="s">
        <v>26</v>
      </c>
      <c r="L867" t="s">
        <v>23</v>
      </c>
    </row>
    <row r="868" spans="1:12" x14ac:dyDescent="0.25">
      <c r="A868" t="s">
        <v>1012</v>
      </c>
      <c r="B868" s="2">
        <v>714</v>
      </c>
      <c r="C868" s="2">
        <v>232</v>
      </c>
      <c r="D868">
        <v>14</v>
      </c>
      <c r="E868" t="s">
        <v>45</v>
      </c>
      <c r="F868" t="s">
        <v>46</v>
      </c>
      <c r="G868" t="s">
        <v>15</v>
      </c>
      <c r="H868" s="1">
        <v>44944</v>
      </c>
      <c r="I868" t="s">
        <v>1013</v>
      </c>
      <c r="J868" s="10" t="s">
        <v>98</v>
      </c>
      <c r="K868" t="s">
        <v>99</v>
      </c>
      <c r="L868" t="s">
        <v>333</v>
      </c>
    </row>
    <row r="869" spans="1:12" x14ac:dyDescent="0.25">
      <c r="A869" t="s">
        <v>1012</v>
      </c>
      <c r="B869" s="2">
        <v>714</v>
      </c>
      <c r="C869" s="2">
        <v>232</v>
      </c>
      <c r="D869">
        <v>14</v>
      </c>
      <c r="E869" t="s">
        <v>45</v>
      </c>
      <c r="F869" t="s">
        <v>46</v>
      </c>
      <c r="G869" t="s">
        <v>15</v>
      </c>
      <c r="H869" s="1">
        <v>44188</v>
      </c>
      <c r="I869" t="s">
        <v>1014</v>
      </c>
      <c r="J869" s="10" t="s">
        <v>71</v>
      </c>
      <c r="K869" t="s">
        <v>86</v>
      </c>
      <c r="L869" t="s">
        <v>287</v>
      </c>
    </row>
    <row r="870" spans="1:12" x14ac:dyDescent="0.25">
      <c r="A870" t="s">
        <v>1015</v>
      </c>
      <c r="B870" s="2">
        <v>1083</v>
      </c>
      <c r="C870" s="2">
        <v>501</v>
      </c>
      <c r="D870">
        <v>6</v>
      </c>
      <c r="E870" t="s">
        <v>30</v>
      </c>
      <c r="F870" t="s">
        <v>31</v>
      </c>
      <c r="G870" t="s">
        <v>65</v>
      </c>
      <c r="H870" s="1">
        <v>44255</v>
      </c>
      <c r="I870" t="s">
        <v>1016</v>
      </c>
      <c r="J870" s="10" t="s">
        <v>71</v>
      </c>
      <c r="K870" t="s">
        <v>86</v>
      </c>
      <c r="L870" t="s">
        <v>292</v>
      </c>
    </row>
    <row r="871" spans="1:12" x14ac:dyDescent="0.25">
      <c r="A871" t="s">
        <v>1017</v>
      </c>
      <c r="B871" s="2">
        <v>2401</v>
      </c>
      <c r="C871" s="2">
        <v>1163</v>
      </c>
      <c r="D871">
        <v>10</v>
      </c>
      <c r="E871" t="s">
        <v>45</v>
      </c>
      <c r="F871" t="s">
        <v>109</v>
      </c>
      <c r="G871" t="s">
        <v>15</v>
      </c>
      <c r="H871" s="1">
        <v>45050</v>
      </c>
      <c r="I871" t="s">
        <v>1018</v>
      </c>
      <c r="J871" s="10" t="s">
        <v>98</v>
      </c>
      <c r="K871" t="s">
        <v>117</v>
      </c>
      <c r="L871" t="s">
        <v>127</v>
      </c>
    </row>
    <row r="872" spans="1:12" x14ac:dyDescent="0.25">
      <c r="A872" t="s">
        <v>1017</v>
      </c>
      <c r="B872" s="2">
        <v>2401</v>
      </c>
      <c r="C872" s="2">
        <v>1163</v>
      </c>
      <c r="D872">
        <v>10</v>
      </c>
      <c r="E872" t="s">
        <v>45</v>
      </c>
      <c r="F872" t="s">
        <v>109</v>
      </c>
      <c r="G872" t="s">
        <v>15</v>
      </c>
      <c r="H872" s="1">
        <v>43943</v>
      </c>
      <c r="I872" t="s">
        <v>1019</v>
      </c>
      <c r="J872" s="10" t="s">
        <v>42</v>
      </c>
      <c r="K872" t="s">
        <v>43</v>
      </c>
      <c r="L872" t="s">
        <v>162</v>
      </c>
    </row>
    <row r="873" spans="1:12" x14ac:dyDescent="0.25">
      <c r="A873" t="s">
        <v>1017</v>
      </c>
      <c r="B873" s="2">
        <v>2401</v>
      </c>
      <c r="C873" s="2">
        <v>1163</v>
      </c>
      <c r="D873">
        <v>10</v>
      </c>
      <c r="E873" t="s">
        <v>45</v>
      </c>
      <c r="F873" t="s">
        <v>109</v>
      </c>
      <c r="G873" t="s">
        <v>15</v>
      </c>
      <c r="H873" s="1">
        <v>44421</v>
      </c>
      <c r="I873" t="s">
        <v>1020</v>
      </c>
      <c r="J873" s="10" t="s">
        <v>25</v>
      </c>
      <c r="K873" t="s">
        <v>68</v>
      </c>
      <c r="L873" t="s">
        <v>178</v>
      </c>
    </row>
    <row r="874" spans="1:12" x14ac:dyDescent="0.25">
      <c r="A874" t="s">
        <v>1017</v>
      </c>
      <c r="B874" s="2">
        <v>1045</v>
      </c>
      <c r="C874" s="2">
        <v>267</v>
      </c>
      <c r="D874">
        <v>11</v>
      </c>
      <c r="E874" t="s">
        <v>13</v>
      </c>
      <c r="F874" t="s">
        <v>82</v>
      </c>
      <c r="G874" t="s">
        <v>32</v>
      </c>
      <c r="H874" s="1">
        <v>45050</v>
      </c>
      <c r="I874" t="s">
        <v>1018</v>
      </c>
      <c r="J874" s="10" t="s">
        <v>98</v>
      </c>
      <c r="K874" t="s">
        <v>117</v>
      </c>
      <c r="L874" t="s">
        <v>127</v>
      </c>
    </row>
    <row r="875" spans="1:12" x14ac:dyDescent="0.25">
      <c r="A875" t="s">
        <v>1017</v>
      </c>
      <c r="B875" s="2">
        <v>1045</v>
      </c>
      <c r="C875" s="2">
        <v>267</v>
      </c>
      <c r="D875">
        <v>11</v>
      </c>
      <c r="E875" t="s">
        <v>13</v>
      </c>
      <c r="F875" t="s">
        <v>82</v>
      </c>
      <c r="G875" t="s">
        <v>32</v>
      </c>
      <c r="H875" s="1">
        <v>43943</v>
      </c>
      <c r="I875" t="s">
        <v>1019</v>
      </c>
      <c r="J875" s="10" t="s">
        <v>42</v>
      </c>
      <c r="K875" t="s">
        <v>43</v>
      </c>
      <c r="L875" t="s">
        <v>162</v>
      </c>
    </row>
    <row r="876" spans="1:12" x14ac:dyDescent="0.25">
      <c r="A876" t="s">
        <v>1017</v>
      </c>
      <c r="B876" s="2">
        <v>1045</v>
      </c>
      <c r="C876" s="2">
        <v>267</v>
      </c>
      <c r="D876">
        <v>11</v>
      </c>
      <c r="E876" t="s">
        <v>13</v>
      </c>
      <c r="F876" t="s">
        <v>82</v>
      </c>
      <c r="G876" t="s">
        <v>32</v>
      </c>
      <c r="H876" s="1">
        <v>44421</v>
      </c>
      <c r="I876" t="s">
        <v>1020</v>
      </c>
      <c r="J876" s="10" t="s">
        <v>25</v>
      </c>
      <c r="K876" t="s">
        <v>68</v>
      </c>
      <c r="L876" t="s">
        <v>178</v>
      </c>
    </row>
    <row r="877" spans="1:12" x14ac:dyDescent="0.25">
      <c r="A877" t="s">
        <v>1021</v>
      </c>
      <c r="B877" s="2">
        <v>7806</v>
      </c>
      <c r="C877" s="2">
        <v>1127</v>
      </c>
      <c r="D877">
        <v>1</v>
      </c>
      <c r="E877" t="s">
        <v>30</v>
      </c>
      <c r="F877" t="s">
        <v>57</v>
      </c>
      <c r="G877" t="s">
        <v>47</v>
      </c>
      <c r="H877" s="1">
        <v>45127</v>
      </c>
      <c r="I877" t="s">
        <v>1022</v>
      </c>
      <c r="J877" s="10" t="s">
        <v>71</v>
      </c>
      <c r="K877" t="s">
        <v>72</v>
      </c>
      <c r="L877" t="s">
        <v>105</v>
      </c>
    </row>
    <row r="878" spans="1:12" x14ac:dyDescent="0.25">
      <c r="A878" t="s">
        <v>1023</v>
      </c>
      <c r="B878" s="2">
        <v>5263</v>
      </c>
      <c r="C878" s="2">
        <v>1743</v>
      </c>
      <c r="D878">
        <v>19</v>
      </c>
      <c r="E878" t="s">
        <v>45</v>
      </c>
      <c r="F878" t="s">
        <v>60</v>
      </c>
      <c r="G878" t="s">
        <v>47</v>
      </c>
      <c r="H878" s="1">
        <v>44801</v>
      </c>
      <c r="I878" t="s">
        <v>1024</v>
      </c>
      <c r="J878" s="10" t="s">
        <v>17</v>
      </c>
      <c r="K878" t="s">
        <v>18</v>
      </c>
      <c r="L878" t="s">
        <v>209</v>
      </c>
    </row>
    <row r="879" spans="1:12" x14ac:dyDescent="0.25">
      <c r="A879" t="s">
        <v>1025</v>
      </c>
      <c r="B879" s="2">
        <v>6147</v>
      </c>
      <c r="C879" s="2">
        <v>2526</v>
      </c>
      <c r="D879">
        <v>6</v>
      </c>
      <c r="E879" t="s">
        <v>30</v>
      </c>
      <c r="F879" t="s">
        <v>31</v>
      </c>
      <c r="G879" t="s">
        <v>32</v>
      </c>
      <c r="H879" s="1">
        <v>44999</v>
      </c>
      <c r="I879" t="s">
        <v>1026</v>
      </c>
      <c r="J879" s="10" t="s">
        <v>71</v>
      </c>
      <c r="K879" t="s">
        <v>72</v>
      </c>
      <c r="L879" t="s">
        <v>245</v>
      </c>
    </row>
    <row r="880" spans="1:12" x14ac:dyDescent="0.25">
      <c r="A880" t="s">
        <v>1027</v>
      </c>
      <c r="B880" s="2">
        <v>7484</v>
      </c>
      <c r="C880" s="2">
        <v>2871</v>
      </c>
      <c r="D880">
        <v>15</v>
      </c>
      <c r="E880" t="s">
        <v>13</v>
      </c>
      <c r="F880" t="s">
        <v>82</v>
      </c>
      <c r="G880" t="s">
        <v>15</v>
      </c>
      <c r="H880" s="1">
        <v>45237</v>
      </c>
      <c r="I880" t="s">
        <v>1028</v>
      </c>
      <c r="J880" s="10" t="s">
        <v>17</v>
      </c>
      <c r="K880" t="s">
        <v>34</v>
      </c>
      <c r="L880" t="s">
        <v>52</v>
      </c>
    </row>
    <row r="881" spans="1:12" x14ac:dyDescent="0.25">
      <c r="A881" t="s">
        <v>1027</v>
      </c>
      <c r="B881" s="2">
        <v>7484</v>
      </c>
      <c r="C881" s="2">
        <v>2871</v>
      </c>
      <c r="D881">
        <v>15</v>
      </c>
      <c r="E881" t="s">
        <v>13</v>
      </c>
      <c r="F881" t="s">
        <v>82</v>
      </c>
      <c r="G881" t="s">
        <v>15</v>
      </c>
      <c r="H881" s="1">
        <v>45398</v>
      </c>
      <c r="I881" t="s">
        <v>1029</v>
      </c>
      <c r="J881" s="10" t="s">
        <v>21</v>
      </c>
      <c r="K881" t="s">
        <v>22</v>
      </c>
      <c r="L881" t="s">
        <v>235</v>
      </c>
    </row>
    <row r="882" spans="1:12" x14ac:dyDescent="0.25">
      <c r="A882" t="s">
        <v>1027</v>
      </c>
      <c r="B882" s="2">
        <v>7700</v>
      </c>
      <c r="C882" s="2">
        <v>2712</v>
      </c>
      <c r="D882">
        <v>1</v>
      </c>
      <c r="E882" t="s">
        <v>45</v>
      </c>
      <c r="F882" t="s">
        <v>60</v>
      </c>
      <c r="G882" t="s">
        <v>47</v>
      </c>
      <c r="H882" s="1">
        <v>45237</v>
      </c>
      <c r="I882" t="s">
        <v>1028</v>
      </c>
      <c r="J882" s="10" t="s">
        <v>17</v>
      </c>
      <c r="K882" t="s">
        <v>34</v>
      </c>
      <c r="L882" t="s">
        <v>52</v>
      </c>
    </row>
    <row r="883" spans="1:12" x14ac:dyDescent="0.25">
      <c r="A883" t="s">
        <v>1027</v>
      </c>
      <c r="B883" s="2">
        <v>7700</v>
      </c>
      <c r="C883" s="2">
        <v>2712</v>
      </c>
      <c r="D883">
        <v>1</v>
      </c>
      <c r="E883" t="s">
        <v>45</v>
      </c>
      <c r="F883" t="s">
        <v>60</v>
      </c>
      <c r="G883" t="s">
        <v>47</v>
      </c>
      <c r="H883" s="1">
        <v>45398</v>
      </c>
      <c r="I883" t="s">
        <v>1029</v>
      </c>
      <c r="J883" s="10" t="s">
        <v>21</v>
      </c>
      <c r="K883" t="s">
        <v>22</v>
      </c>
      <c r="L883" t="s">
        <v>235</v>
      </c>
    </row>
    <row r="884" spans="1:12" x14ac:dyDescent="0.25">
      <c r="A884" t="s">
        <v>1030</v>
      </c>
      <c r="B884" s="2">
        <v>8537</v>
      </c>
      <c r="C884" s="2">
        <v>3586</v>
      </c>
      <c r="D884">
        <v>13</v>
      </c>
      <c r="E884" t="s">
        <v>30</v>
      </c>
      <c r="F884" t="s">
        <v>57</v>
      </c>
      <c r="G884" t="s">
        <v>15</v>
      </c>
      <c r="H884" s="1">
        <v>44820</v>
      </c>
      <c r="I884" t="s">
        <v>1031</v>
      </c>
      <c r="J884" s="10" t="s">
        <v>25</v>
      </c>
      <c r="K884" t="s">
        <v>68</v>
      </c>
      <c r="L884" t="s">
        <v>131</v>
      </c>
    </row>
    <row r="885" spans="1:12" x14ac:dyDescent="0.25">
      <c r="A885" t="s">
        <v>1032</v>
      </c>
      <c r="B885" s="2">
        <v>8858</v>
      </c>
      <c r="C885" s="2">
        <v>3394</v>
      </c>
      <c r="D885">
        <v>6</v>
      </c>
      <c r="E885" t="s">
        <v>45</v>
      </c>
      <c r="F885" t="s">
        <v>49</v>
      </c>
      <c r="G885" t="s">
        <v>65</v>
      </c>
      <c r="H885" s="1">
        <v>45596</v>
      </c>
      <c r="I885" t="s">
        <v>1033</v>
      </c>
      <c r="J885" s="10" t="s">
        <v>42</v>
      </c>
      <c r="K885" t="s">
        <v>75</v>
      </c>
      <c r="L885" t="s">
        <v>360</v>
      </c>
    </row>
    <row r="886" spans="1:12" x14ac:dyDescent="0.25">
      <c r="A886" t="s">
        <v>1034</v>
      </c>
      <c r="B886" s="2">
        <v>5313</v>
      </c>
      <c r="C886" s="2">
        <v>2037</v>
      </c>
      <c r="D886">
        <v>7</v>
      </c>
      <c r="E886" t="s">
        <v>13</v>
      </c>
      <c r="F886" t="s">
        <v>28</v>
      </c>
      <c r="G886" t="s">
        <v>32</v>
      </c>
      <c r="H886" s="1">
        <v>45621</v>
      </c>
      <c r="I886" t="s">
        <v>1035</v>
      </c>
      <c r="J886" s="10" t="s">
        <v>42</v>
      </c>
      <c r="K886" t="s">
        <v>92</v>
      </c>
      <c r="L886" t="s">
        <v>255</v>
      </c>
    </row>
    <row r="887" spans="1:12" x14ac:dyDescent="0.25">
      <c r="A887" t="s">
        <v>1034</v>
      </c>
      <c r="B887" s="2">
        <v>5313</v>
      </c>
      <c r="C887" s="2">
        <v>2037</v>
      </c>
      <c r="D887">
        <v>7</v>
      </c>
      <c r="E887" t="s">
        <v>13</v>
      </c>
      <c r="F887" t="s">
        <v>28</v>
      </c>
      <c r="G887" t="s">
        <v>32</v>
      </c>
      <c r="H887" s="1">
        <v>44498</v>
      </c>
      <c r="I887" t="s">
        <v>1036</v>
      </c>
      <c r="J887" s="10" t="s">
        <v>71</v>
      </c>
      <c r="K887" t="s">
        <v>138</v>
      </c>
      <c r="L887" t="s">
        <v>37</v>
      </c>
    </row>
    <row r="888" spans="1:12" x14ac:dyDescent="0.25">
      <c r="A888" t="s">
        <v>1037</v>
      </c>
      <c r="B888" s="2">
        <v>3281</v>
      </c>
      <c r="C888" s="2">
        <v>471</v>
      </c>
      <c r="D888">
        <v>7</v>
      </c>
      <c r="E888" t="s">
        <v>45</v>
      </c>
      <c r="F888" t="s">
        <v>60</v>
      </c>
      <c r="G888" t="s">
        <v>40</v>
      </c>
      <c r="H888" s="1">
        <v>45287</v>
      </c>
      <c r="I888" t="s">
        <v>1038</v>
      </c>
      <c r="J888" s="10" t="s">
        <v>42</v>
      </c>
      <c r="K888" t="s">
        <v>43</v>
      </c>
      <c r="L888" t="s">
        <v>102</v>
      </c>
    </row>
    <row r="889" spans="1:12" x14ac:dyDescent="0.25">
      <c r="A889" t="s">
        <v>1037</v>
      </c>
      <c r="B889" s="2">
        <v>3281</v>
      </c>
      <c r="C889" s="2">
        <v>471</v>
      </c>
      <c r="D889">
        <v>7</v>
      </c>
      <c r="E889" t="s">
        <v>45</v>
      </c>
      <c r="F889" t="s">
        <v>60</v>
      </c>
      <c r="G889" t="s">
        <v>40</v>
      </c>
      <c r="H889" s="1">
        <v>45102</v>
      </c>
      <c r="I889" t="s">
        <v>1039</v>
      </c>
      <c r="J889" s="10" t="s">
        <v>21</v>
      </c>
      <c r="K889" t="s">
        <v>172</v>
      </c>
      <c r="L889" t="s">
        <v>19</v>
      </c>
    </row>
    <row r="890" spans="1:12" x14ac:dyDescent="0.25">
      <c r="A890" t="s">
        <v>1040</v>
      </c>
      <c r="B890" s="2">
        <v>8681</v>
      </c>
      <c r="C890" s="2">
        <v>2458</v>
      </c>
      <c r="D890">
        <v>9</v>
      </c>
      <c r="E890" t="s">
        <v>30</v>
      </c>
      <c r="F890" t="s">
        <v>31</v>
      </c>
      <c r="G890" t="s">
        <v>47</v>
      </c>
      <c r="H890" s="1">
        <v>44075</v>
      </c>
      <c r="I890" t="s">
        <v>1041</v>
      </c>
      <c r="J890" s="10" t="s">
        <v>25</v>
      </c>
      <c r="K890" t="s">
        <v>51</v>
      </c>
      <c r="L890" t="s">
        <v>389</v>
      </c>
    </row>
    <row r="891" spans="1:12" x14ac:dyDescent="0.25">
      <c r="A891" t="s">
        <v>1042</v>
      </c>
      <c r="B891" s="2">
        <v>6195</v>
      </c>
      <c r="C891" s="2">
        <v>1556</v>
      </c>
      <c r="D891">
        <v>18</v>
      </c>
      <c r="E891" t="s">
        <v>45</v>
      </c>
      <c r="F891" t="s">
        <v>60</v>
      </c>
      <c r="G891" t="s">
        <v>40</v>
      </c>
      <c r="H891" s="1">
        <v>45689</v>
      </c>
      <c r="I891" t="s">
        <v>1043</v>
      </c>
      <c r="J891" s="10" t="s">
        <v>21</v>
      </c>
      <c r="K891" t="s">
        <v>63</v>
      </c>
      <c r="L891" t="s">
        <v>73</v>
      </c>
    </row>
    <row r="892" spans="1:12" x14ac:dyDescent="0.25">
      <c r="A892" t="s">
        <v>1044</v>
      </c>
      <c r="B892" s="2">
        <v>3877</v>
      </c>
      <c r="C892" s="2">
        <v>481</v>
      </c>
      <c r="D892">
        <v>16</v>
      </c>
      <c r="E892" t="s">
        <v>45</v>
      </c>
      <c r="F892" t="s">
        <v>49</v>
      </c>
      <c r="G892" t="s">
        <v>32</v>
      </c>
      <c r="H892" s="1">
        <v>45129</v>
      </c>
      <c r="I892" t="s">
        <v>1045</v>
      </c>
      <c r="J892" s="10" t="s">
        <v>25</v>
      </c>
      <c r="K892" t="s">
        <v>68</v>
      </c>
      <c r="L892" t="s">
        <v>105</v>
      </c>
    </row>
    <row r="893" spans="1:12" x14ac:dyDescent="0.25">
      <c r="A893" t="s">
        <v>1044</v>
      </c>
      <c r="B893" s="2">
        <v>3877</v>
      </c>
      <c r="C893" s="2">
        <v>481</v>
      </c>
      <c r="D893">
        <v>16</v>
      </c>
      <c r="E893" t="s">
        <v>45</v>
      </c>
      <c r="F893" t="s">
        <v>49</v>
      </c>
      <c r="G893" t="s">
        <v>32</v>
      </c>
      <c r="H893" s="1">
        <v>44596</v>
      </c>
      <c r="I893" t="s">
        <v>1046</v>
      </c>
      <c r="J893" s="10" t="s">
        <v>25</v>
      </c>
      <c r="K893" t="s">
        <v>51</v>
      </c>
      <c r="L893" t="s">
        <v>137</v>
      </c>
    </row>
    <row r="894" spans="1:12" x14ac:dyDescent="0.25">
      <c r="A894" t="s">
        <v>1047</v>
      </c>
      <c r="B894" s="2">
        <v>9369</v>
      </c>
      <c r="C894" s="2">
        <v>3297</v>
      </c>
      <c r="D894">
        <v>6</v>
      </c>
      <c r="E894" t="s">
        <v>13</v>
      </c>
      <c r="F894" t="s">
        <v>28</v>
      </c>
      <c r="G894" t="s">
        <v>32</v>
      </c>
      <c r="H894" s="1">
        <v>45196</v>
      </c>
      <c r="I894" t="s">
        <v>1048</v>
      </c>
      <c r="J894" s="10" t="s">
        <v>17</v>
      </c>
      <c r="K894" t="s">
        <v>34</v>
      </c>
      <c r="L894" t="s">
        <v>273</v>
      </c>
    </row>
    <row r="895" spans="1:12" x14ac:dyDescent="0.25">
      <c r="A895" t="s">
        <v>1047</v>
      </c>
      <c r="B895" s="2">
        <v>9369</v>
      </c>
      <c r="C895" s="2">
        <v>3297</v>
      </c>
      <c r="D895">
        <v>6</v>
      </c>
      <c r="E895" t="s">
        <v>13</v>
      </c>
      <c r="F895" t="s">
        <v>28</v>
      </c>
      <c r="G895" t="s">
        <v>32</v>
      </c>
      <c r="H895" s="1">
        <v>45687</v>
      </c>
      <c r="I895" t="s">
        <v>1049</v>
      </c>
      <c r="J895" s="10" t="s">
        <v>25</v>
      </c>
      <c r="K895" t="s">
        <v>51</v>
      </c>
      <c r="L895" t="s">
        <v>308</v>
      </c>
    </row>
    <row r="896" spans="1:12" x14ac:dyDescent="0.25">
      <c r="A896" t="s">
        <v>1047</v>
      </c>
      <c r="B896" s="2">
        <v>8680</v>
      </c>
      <c r="C896" s="2">
        <v>4068</v>
      </c>
      <c r="D896">
        <v>20</v>
      </c>
      <c r="E896" t="s">
        <v>13</v>
      </c>
      <c r="F896" t="s">
        <v>28</v>
      </c>
      <c r="G896" t="s">
        <v>47</v>
      </c>
      <c r="H896" s="1">
        <v>45196</v>
      </c>
      <c r="I896" t="s">
        <v>1048</v>
      </c>
      <c r="J896" s="10" t="s">
        <v>17</v>
      </c>
      <c r="K896" t="s">
        <v>34</v>
      </c>
      <c r="L896" t="s">
        <v>273</v>
      </c>
    </row>
    <row r="897" spans="1:12" x14ac:dyDescent="0.25">
      <c r="A897" t="s">
        <v>1047</v>
      </c>
      <c r="B897" s="2">
        <v>8680</v>
      </c>
      <c r="C897" s="2">
        <v>4068</v>
      </c>
      <c r="D897">
        <v>20</v>
      </c>
      <c r="E897" t="s">
        <v>13</v>
      </c>
      <c r="F897" t="s">
        <v>28</v>
      </c>
      <c r="G897" t="s">
        <v>47</v>
      </c>
      <c r="H897" s="1">
        <v>45687</v>
      </c>
      <c r="I897" t="s">
        <v>1049</v>
      </c>
      <c r="J897" s="10" t="s">
        <v>25</v>
      </c>
      <c r="K897" t="s">
        <v>51</v>
      </c>
      <c r="L897" t="s">
        <v>308</v>
      </c>
    </row>
    <row r="898" spans="1:12" x14ac:dyDescent="0.25">
      <c r="A898" t="s">
        <v>1047</v>
      </c>
      <c r="B898" s="2">
        <v>3067</v>
      </c>
      <c r="C898" s="2">
        <v>1475</v>
      </c>
      <c r="D898">
        <v>8</v>
      </c>
      <c r="E898" t="s">
        <v>13</v>
      </c>
      <c r="F898" t="s">
        <v>39</v>
      </c>
      <c r="G898" t="s">
        <v>15</v>
      </c>
      <c r="H898" s="1">
        <v>45196</v>
      </c>
      <c r="I898" t="s">
        <v>1048</v>
      </c>
      <c r="J898" s="10" t="s">
        <v>17</v>
      </c>
      <c r="K898" t="s">
        <v>34</v>
      </c>
      <c r="L898" t="s">
        <v>273</v>
      </c>
    </row>
    <row r="899" spans="1:12" x14ac:dyDescent="0.25">
      <c r="A899" t="s">
        <v>1047</v>
      </c>
      <c r="B899" s="2">
        <v>3067</v>
      </c>
      <c r="C899" s="2">
        <v>1475</v>
      </c>
      <c r="D899">
        <v>8</v>
      </c>
      <c r="E899" t="s">
        <v>13</v>
      </c>
      <c r="F899" t="s">
        <v>39</v>
      </c>
      <c r="G899" t="s">
        <v>15</v>
      </c>
      <c r="H899" s="1">
        <v>45687</v>
      </c>
      <c r="I899" t="s">
        <v>1049</v>
      </c>
      <c r="J899" s="10" t="s">
        <v>25</v>
      </c>
      <c r="K899" t="s">
        <v>51</v>
      </c>
      <c r="L899" t="s">
        <v>308</v>
      </c>
    </row>
    <row r="900" spans="1:12" x14ac:dyDescent="0.25">
      <c r="A900" t="s">
        <v>1050</v>
      </c>
      <c r="B900" s="2">
        <v>9002</v>
      </c>
      <c r="C900" s="2">
        <v>4197</v>
      </c>
      <c r="D900">
        <v>2</v>
      </c>
      <c r="E900" t="s">
        <v>30</v>
      </c>
      <c r="F900" t="s">
        <v>57</v>
      </c>
      <c r="G900" t="s">
        <v>40</v>
      </c>
      <c r="H900" s="1">
        <v>45672</v>
      </c>
      <c r="I900" t="s">
        <v>1051</v>
      </c>
      <c r="J900" s="10" t="s">
        <v>98</v>
      </c>
      <c r="K900" t="s">
        <v>107</v>
      </c>
      <c r="L900" t="s">
        <v>308</v>
      </c>
    </row>
    <row r="901" spans="1:12" x14ac:dyDescent="0.25">
      <c r="A901" t="s">
        <v>1050</v>
      </c>
      <c r="B901" s="2">
        <v>9002</v>
      </c>
      <c r="C901" s="2">
        <v>4197</v>
      </c>
      <c r="D901">
        <v>2</v>
      </c>
      <c r="E901" t="s">
        <v>30</v>
      </c>
      <c r="F901" t="s">
        <v>57</v>
      </c>
      <c r="G901" t="s">
        <v>40</v>
      </c>
      <c r="H901" s="1">
        <v>44283</v>
      </c>
      <c r="I901" t="s">
        <v>1052</v>
      </c>
      <c r="J901" s="10" t="s">
        <v>98</v>
      </c>
      <c r="K901" t="s">
        <v>99</v>
      </c>
      <c r="L901" t="s">
        <v>167</v>
      </c>
    </row>
    <row r="902" spans="1:12" x14ac:dyDescent="0.25">
      <c r="A902" t="s">
        <v>1053</v>
      </c>
      <c r="B902" s="2">
        <v>7105</v>
      </c>
      <c r="C902" s="2">
        <v>2782</v>
      </c>
      <c r="D902">
        <v>19</v>
      </c>
      <c r="E902" t="s">
        <v>30</v>
      </c>
      <c r="F902" t="s">
        <v>31</v>
      </c>
      <c r="G902" t="s">
        <v>65</v>
      </c>
      <c r="H902" s="1">
        <v>44555</v>
      </c>
      <c r="I902" t="s">
        <v>1054</v>
      </c>
      <c r="J902" s="10" t="s">
        <v>98</v>
      </c>
      <c r="K902" t="s">
        <v>99</v>
      </c>
      <c r="L902" t="s">
        <v>90</v>
      </c>
    </row>
    <row r="903" spans="1:12" x14ac:dyDescent="0.25">
      <c r="A903" t="s">
        <v>1055</v>
      </c>
      <c r="B903" s="2">
        <v>5317</v>
      </c>
      <c r="C903" s="2">
        <v>1345</v>
      </c>
      <c r="D903">
        <v>18</v>
      </c>
      <c r="E903" t="s">
        <v>45</v>
      </c>
      <c r="F903" t="s">
        <v>49</v>
      </c>
      <c r="G903" t="s">
        <v>32</v>
      </c>
      <c r="H903" s="1">
        <v>44960</v>
      </c>
      <c r="I903" t="s">
        <v>1056</v>
      </c>
      <c r="J903" s="10" t="s">
        <v>98</v>
      </c>
      <c r="K903" t="s">
        <v>99</v>
      </c>
      <c r="L903" t="s">
        <v>93</v>
      </c>
    </row>
    <row r="904" spans="1:12" x14ac:dyDescent="0.25">
      <c r="A904" t="s">
        <v>1055</v>
      </c>
      <c r="B904" s="2">
        <v>5317</v>
      </c>
      <c r="C904" s="2">
        <v>1345</v>
      </c>
      <c r="D904">
        <v>18</v>
      </c>
      <c r="E904" t="s">
        <v>45</v>
      </c>
      <c r="F904" t="s">
        <v>49</v>
      </c>
      <c r="G904" t="s">
        <v>32</v>
      </c>
      <c r="H904" s="1">
        <v>45044</v>
      </c>
      <c r="I904" t="s">
        <v>1057</v>
      </c>
      <c r="J904" s="10" t="s">
        <v>17</v>
      </c>
      <c r="K904" t="s">
        <v>34</v>
      </c>
      <c r="L904" t="s">
        <v>145</v>
      </c>
    </row>
    <row r="905" spans="1:12" x14ac:dyDescent="0.25">
      <c r="A905" t="s">
        <v>1055</v>
      </c>
      <c r="B905" s="2">
        <v>5317</v>
      </c>
      <c r="C905" s="2">
        <v>1345</v>
      </c>
      <c r="D905">
        <v>18</v>
      </c>
      <c r="E905" t="s">
        <v>45</v>
      </c>
      <c r="F905" t="s">
        <v>49</v>
      </c>
      <c r="G905" t="s">
        <v>32</v>
      </c>
      <c r="H905" s="1">
        <v>45618</v>
      </c>
      <c r="I905" t="s">
        <v>1058</v>
      </c>
      <c r="J905" s="10" t="s">
        <v>42</v>
      </c>
      <c r="K905" t="s">
        <v>92</v>
      </c>
      <c r="L905" t="s">
        <v>255</v>
      </c>
    </row>
    <row r="906" spans="1:12" x14ac:dyDescent="0.25">
      <c r="A906" t="s">
        <v>1055</v>
      </c>
      <c r="B906" s="2">
        <v>6304</v>
      </c>
      <c r="C906" s="2">
        <v>766</v>
      </c>
      <c r="D906">
        <v>14</v>
      </c>
      <c r="E906" t="s">
        <v>45</v>
      </c>
      <c r="F906" t="s">
        <v>46</v>
      </c>
      <c r="G906" t="s">
        <v>40</v>
      </c>
      <c r="H906" s="1">
        <v>44960</v>
      </c>
      <c r="I906" t="s">
        <v>1056</v>
      </c>
      <c r="J906" s="10" t="s">
        <v>98</v>
      </c>
      <c r="K906" t="s">
        <v>99</v>
      </c>
      <c r="L906" t="s">
        <v>93</v>
      </c>
    </row>
    <row r="907" spans="1:12" x14ac:dyDescent="0.25">
      <c r="A907" t="s">
        <v>1055</v>
      </c>
      <c r="B907" s="2">
        <v>6304</v>
      </c>
      <c r="C907" s="2">
        <v>766</v>
      </c>
      <c r="D907">
        <v>14</v>
      </c>
      <c r="E907" t="s">
        <v>45</v>
      </c>
      <c r="F907" t="s">
        <v>46</v>
      </c>
      <c r="G907" t="s">
        <v>40</v>
      </c>
      <c r="H907" s="1">
        <v>45044</v>
      </c>
      <c r="I907" t="s">
        <v>1057</v>
      </c>
      <c r="J907" s="10" t="s">
        <v>17</v>
      </c>
      <c r="K907" t="s">
        <v>34</v>
      </c>
      <c r="L907" t="s">
        <v>145</v>
      </c>
    </row>
    <row r="908" spans="1:12" x14ac:dyDescent="0.25">
      <c r="A908" t="s">
        <v>1055</v>
      </c>
      <c r="B908" s="2">
        <v>6304</v>
      </c>
      <c r="C908" s="2">
        <v>766</v>
      </c>
      <c r="D908">
        <v>14</v>
      </c>
      <c r="E908" t="s">
        <v>45</v>
      </c>
      <c r="F908" t="s">
        <v>46</v>
      </c>
      <c r="G908" t="s">
        <v>40</v>
      </c>
      <c r="H908" s="1">
        <v>45618</v>
      </c>
      <c r="I908" t="s">
        <v>1058</v>
      </c>
      <c r="J908" s="10" t="s">
        <v>42</v>
      </c>
      <c r="K908" t="s">
        <v>92</v>
      </c>
      <c r="L908" t="s">
        <v>255</v>
      </c>
    </row>
    <row r="909" spans="1:12" x14ac:dyDescent="0.25">
      <c r="A909" t="s">
        <v>1059</v>
      </c>
      <c r="B909" s="2">
        <v>9565</v>
      </c>
      <c r="C909" s="2">
        <v>1691</v>
      </c>
      <c r="D909">
        <v>3</v>
      </c>
      <c r="E909" t="s">
        <v>30</v>
      </c>
      <c r="F909" t="s">
        <v>64</v>
      </c>
      <c r="G909" t="s">
        <v>32</v>
      </c>
      <c r="H909" s="1">
        <v>45475</v>
      </c>
      <c r="I909" t="s">
        <v>1060</v>
      </c>
      <c r="J909" s="10" t="s">
        <v>21</v>
      </c>
      <c r="K909" t="s">
        <v>63</v>
      </c>
      <c r="L909" t="s">
        <v>215</v>
      </c>
    </row>
    <row r="910" spans="1:12" x14ac:dyDescent="0.25">
      <c r="A910" t="s">
        <v>1059</v>
      </c>
      <c r="B910" s="2">
        <v>8245</v>
      </c>
      <c r="C910" s="2">
        <v>324</v>
      </c>
      <c r="D910">
        <v>11</v>
      </c>
      <c r="E910" t="s">
        <v>30</v>
      </c>
      <c r="F910" t="s">
        <v>64</v>
      </c>
      <c r="G910" t="s">
        <v>40</v>
      </c>
      <c r="H910" s="1">
        <v>45475</v>
      </c>
      <c r="I910" t="s">
        <v>1060</v>
      </c>
      <c r="J910" s="10" t="s">
        <v>21</v>
      </c>
      <c r="K910" t="s">
        <v>63</v>
      </c>
      <c r="L910" t="s">
        <v>215</v>
      </c>
    </row>
    <row r="911" spans="1:12" x14ac:dyDescent="0.25">
      <c r="A911" t="s">
        <v>1061</v>
      </c>
      <c r="B911" s="2">
        <v>1592</v>
      </c>
      <c r="C911" s="2">
        <v>480</v>
      </c>
      <c r="D911">
        <v>13</v>
      </c>
      <c r="E911" t="s">
        <v>13</v>
      </c>
      <c r="F911" t="s">
        <v>39</v>
      </c>
      <c r="G911" t="s">
        <v>32</v>
      </c>
      <c r="H911" s="1">
        <v>44579</v>
      </c>
      <c r="I911" t="s">
        <v>1062</v>
      </c>
      <c r="J911" s="10" t="s">
        <v>98</v>
      </c>
      <c r="K911" t="s">
        <v>117</v>
      </c>
      <c r="L911" t="s">
        <v>87</v>
      </c>
    </row>
    <row r="912" spans="1:12" x14ac:dyDescent="0.25">
      <c r="A912" t="s">
        <v>1063</v>
      </c>
      <c r="B912" s="2">
        <v>8400</v>
      </c>
      <c r="C912" s="2">
        <v>267</v>
      </c>
      <c r="D912">
        <v>5</v>
      </c>
      <c r="E912" t="s">
        <v>13</v>
      </c>
      <c r="F912" t="s">
        <v>82</v>
      </c>
      <c r="G912" t="s">
        <v>32</v>
      </c>
      <c r="H912" s="1">
        <v>45573</v>
      </c>
      <c r="I912" t="s">
        <v>1064</v>
      </c>
      <c r="J912" s="10" t="s">
        <v>98</v>
      </c>
      <c r="K912" t="s">
        <v>99</v>
      </c>
      <c r="L912" t="s">
        <v>360</v>
      </c>
    </row>
    <row r="913" spans="1:12" x14ac:dyDescent="0.25">
      <c r="A913" t="s">
        <v>1063</v>
      </c>
      <c r="B913" s="2">
        <v>4963</v>
      </c>
      <c r="C913" s="2">
        <v>1254</v>
      </c>
      <c r="D913">
        <v>15</v>
      </c>
      <c r="E913" t="s">
        <v>30</v>
      </c>
      <c r="F913" t="s">
        <v>64</v>
      </c>
      <c r="G913" t="s">
        <v>40</v>
      </c>
      <c r="H913" s="1">
        <v>45573</v>
      </c>
      <c r="I913" t="s">
        <v>1064</v>
      </c>
      <c r="J913" s="10" t="s">
        <v>98</v>
      </c>
      <c r="K913" t="s">
        <v>99</v>
      </c>
      <c r="L913" t="s">
        <v>360</v>
      </c>
    </row>
    <row r="914" spans="1:12" x14ac:dyDescent="0.25">
      <c r="A914" t="s">
        <v>1065</v>
      </c>
      <c r="B914" s="2">
        <v>2472</v>
      </c>
      <c r="C914" s="2">
        <v>211</v>
      </c>
      <c r="D914">
        <v>5</v>
      </c>
      <c r="E914" t="s">
        <v>13</v>
      </c>
      <c r="F914" t="s">
        <v>28</v>
      </c>
      <c r="G914" t="s">
        <v>65</v>
      </c>
      <c r="H914" s="1">
        <v>44003</v>
      </c>
      <c r="I914" t="s">
        <v>1066</v>
      </c>
      <c r="J914" s="10" t="s">
        <v>42</v>
      </c>
      <c r="K914" t="s">
        <v>75</v>
      </c>
      <c r="L914" t="s">
        <v>313</v>
      </c>
    </row>
    <row r="915" spans="1:12" x14ac:dyDescent="0.25">
      <c r="A915" t="s">
        <v>1067</v>
      </c>
      <c r="B915" s="2">
        <v>9132</v>
      </c>
      <c r="C915" s="2">
        <v>3096</v>
      </c>
      <c r="D915">
        <v>14</v>
      </c>
      <c r="E915" t="s">
        <v>45</v>
      </c>
      <c r="F915" t="s">
        <v>49</v>
      </c>
      <c r="G915" t="s">
        <v>32</v>
      </c>
      <c r="H915" s="1">
        <v>45274</v>
      </c>
      <c r="I915" t="s">
        <v>1068</v>
      </c>
      <c r="J915" s="10" t="s">
        <v>17</v>
      </c>
      <c r="K915" t="s">
        <v>150</v>
      </c>
      <c r="L915" t="s">
        <v>102</v>
      </c>
    </row>
    <row r="916" spans="1:12" x14ac:dyDescent="0.25">
      <c r="A916" t="s">
        <v>1069</v>
      </c>
      <c r="B916" s="2">
        <v>8305</v>
      </c>
      <c r="C916" s="2">
        <v>1577</v>
      </c>
      <c r="D916">
        <v>6</v>
      </c>
      <c r="E916" t="s">
        <v>30</v>
      </c>
      <c r="F916" t="s">
        <v>78</v>
      </c>
      <c r="G916" t="s">
        <v>32</v>
      </c>
      <c r="H916" s="1">
        <v>44181</v>
      </c>
      <c r="I916" t="s">
        <v>1070</v>
      </c>
      <c r="J916" s="10" t="s">
        <v>25</v>
      </c>
      <c r="K916" t="s">
        <v>68</v>
      </c>
      <c r="L916" t="s">
        <v>287</v>
      </c>
    </row>
    <row r="917" spans="1:12" x14ac:dyDescent="0.25">
      <c r="A917" t="s">
        <v>1071</v>
      </c>
      <c r="B917" s="2">
        <v>1010</v>
      </c>
      <c r="C917" s="2">
        <v>58</v>
      </c>
      <c r="D917">
        <v>19</v>
      </c>
      <c r="E917" t="s">
        <v>13</v>
      </c>
      <c r="F917" t="s">
        <v>14</v>
      </c>
      <c r="G917" t="s">
        <v>65</v>
      </c>
      <c r="H917" s="1">
        <v>45731</v>
      </c>
      <c r="I917" t="s">
        <v>1072</v>
      </c>
      <c r="J917" s="10" t="s">
        <v>17</v>
      </c>
      <c r="K917" t="s">
        <v>150</v>
      </c>
      <c r="L917" t="s">
        <v>157</v>
      </c>
    </row>
    <row r="918" spans="1:12" x14ac:dyDescent="0.25">
      <c r="A918" t="s">
        <v>1073</v>
      </c>
      <c r="B918" s="2">
        <v>4544</v>
      </c>
      <c r="C918" s="2">
        <v>1726</v>
      </c>
      <c r="D918">
        <v>9</v>
      </c>
      <c r="E918" t="s">
        <v>13</v>
      </c>
      <c r="F918" t="s">
        <v>82</v>
      </c>
      <c r="G918" t="s">
        <v>40</v>
      </c>
      <c r="H918" s="1">
        <v>45525</v>
      </c>
      <c r="I918" t="s">
        <v>1074</v>
      </c>
      <c r="J918" s="10" t="s">
        <v>71</v>
      </c>
      <c r="K918" t="s">
        <v>72</v>
      </c>
      <c r="L918" t="s">
        <v>114</v>
      </c>
    </row>
    <row r="919" spans="1:12" x14ac:dyDescent="0.25">
      <c r="A919" t="s">
        <v>1073</v>
      </c>
      <c r="B919" s="2">
        <v>5900</v>
      </c>
      <c r="C919" s="2">
        <v>1738</v>
      </c>
      <c r="D919">
        <v>20</v>
      </c>
      <c r="E919" t="s">
        <v>13</v>
      </c>
      <c r="F919" t="s">
        <v>82</v>
      </c>
      <c r="G919" t="s">
        <v>15</v>
      </c>
      <c r="H919" s="1">
        <v>45525</v>
      </c>
      <c r="I919" t="s">
        <v>1074</v>
      </c>
      <c r="J919" s="10" t="s">
        <v>71</v>
      </c>
      <c r="K919" t="s">
        <v>72</v>
      </c>
      <c r="L919" t="s">
        <v>114</v>
      </c>
    </row>
    <row r="920" spans="1:12" x14ac:dyDescent="0.25">
      <c r="A920" t="s">
        <v>1075</v>
      </c>
      <c r="B920" s="2">
        <v>8861</v>
      </c>
      <c r="C920" s="2">
        <v>3381</v>
      </c>
      <c r="D920">
        <v>19</v>
      </c>
      <c r="E920" t="s">
        <v>30</v>
      </c>
      <c r="F920" t="s">
        <v>57</v>
      </c>
      <c r="G920" t="s">
        <v>47</v>
      </c>
      <c r="H920" s="1">
        <v>44343</v>
      </c>
      <c r="I920" t="s">
        <v>1076</v>
      </c>
      <c r="J920" s="10" t="s">
        <v>42</v>
      </c>
      <c r="K920" t="s">
        <v>75</v>
      </c>
      <c r="L920" t="s">
        <v>108</v>
      </c>
    </row>
    <row r="921" spans="1:12" x14ac:dyDescent="0.25">
      <c r="A921" t="s">
        <v>1077</v>
      </c>
      <c r="B921" s="2">
        <v>8158</v>
      </c>
      <c r="C921" s="2">
        <v>2052</v>
      </c>
      <c r="D921">
        <v>13</v>
      </c>
      <c r="E921" t="s">
        <v>13</v>
      </c>
      <c r="F921" t="s">
        <v>82</v>
      </c>
      <c r="G921" t="s">
        <v>32</v>
      </c>
      <c r="H921" s="1">
        <v>44095</v>
      </c>
      <c r="I921" t="s">
        <v>1078</v>
      </c>
      <c r="J921" s="10" t="s">
        <v>98</v>
      </c>
      <c r="K921" t="s">
        <v>107</v>
      </c>
      <c r="L921" t="s">
        <v>389</v>
      </c>
    </row>
    <row r="922" spans="1:12" x14ac:dyDescent="0.25">
      <c r="A922" t="s">
        <v>1079</v>
      </c>
      <c r="B922" s="2">
        <v>3411</v>
      </c>
      <c r="C922" s="2">
        <v>1704</v>
      </c>
      <c r="D922">
        <v>14</v>
      </c>
      <c r="E922" t="s">
        <v>30</v>
      </c>
      <c r="F922" t="s">
        <v>31</v>
      </c>
      <c r="G922" t="s">
        <v>15</v>
      </c>
      <c r="H922" s="1">
        <v>45668</v>
      </c>
      <c r="I922" t="s">
        <v>1080</v>
      </c>
      <c r="J922" s="10" t="s">
        <v>42</v>
      </c>
      <c r="K922" t="s">
        <v>43</v>
      </c>
      <c r="L922" t="s">
        <v>308</v>
      </c>
    </row>
    <row r="923" spans="1:12" x14ac:dyDescent="0.25">
      <c r="A923" t="s">
        <v>1081</v>
      </c>
      <c r="B923" s="2">
        <v>9406</v>
      </c>
      <c r="C923" s="2">
        <v>1137</v>
      </c>
      <c r="D923">
        <v>16</v>
      </c>
      <c r="E923" t="s">
        <v>30</v>
      </c>
      <c r="F923" t="s">
        <v>57</v>
      </c>
      <c r="G923" t="s">
        <v>15</v>
      </c>
      <c r="H923" s="1">
        <v>44489</v>
      </c>
      <c r="I923" t="s">
        <v>1082</v>
      </c>
      <c r="J923" s="10" t="s">
        <v>71</v>
      </c>
      <c r="K923" t="s">
        <v>138</v>
      </c>
      <c r="L923" t="s">
        <v>37</v>
      </c>
    </row>
    <row r="924" spans="1:12" x14ac:dyDescent="0.25">
      <c r="A924" t="s">
        <v>1081</v>
      </c>
      <c r="B924" s="2">
        <v>1156</v>
      </c>
      <c r="C924" s="2">
        <v>74</v>
      </c>
      <c r="D924">
        <v>15</v>
      </c>
      <c r="E924" t="s">
        <v>13</v>
      </c>
      <c r="F924" t="s">
        <v>28</v>
      </c>
      <c r="G924" t="s">
        <v>40</v>
      </c>
      <c r="H924" s="1">
        <v>44489</v>
      </c>
      <c r="I924" t="s">
        <v>1082</v>
      </c>
      <c r="J924" s="10" t="s">
        <v>71</v>
      </c>
      <c r="K924" t="s">
        <v>138</v>
      </c>
      <c r="L924" t="s">
        <v>37</v>
      </c>
    </row>
    <row r="925" spans="1:12" x14ac:dyDescent="0.25">
      <c r="A925" t="s">
        <v>1083</v>
      </c>
      <c r="B925" s="2">
        <v>5354</v>
      </c>
      <c r="C925" s="2">
        <v>743</v>
      </c>
      <c r="D925">
        <v>10</v>
      </c>
      <c r="E925" t="s">
        <v>45</v>
      </c>
      <c r="F925" t="s">
        <v>109</v>
      </c>
      <c r="G925" t="s">
        <v>15</v>
      </c>
      <c r="H925" s="1">
        <v>44488</v>
      </c>
      <c r="I925" t="s">
        <v>1084</v>
      </c>
      <c r="J925" s="10" t="s">
        <v>21</v>
      </c>
      <c r="K925" t="s">
        <v>63</v>
      </c>
      <c r="L925" t="s">
        <v>37</v>
      </c>
    </row>
    <row r="926" spans="1:12" x14ac:dyDescent="0.25">
      <c r="A926" t="s">
        <v>1085</v>
      </c>
      <c r="B926" s="2">
        <v>8780</v>
      </c>
      <c r="C926" s="2">
        <v>3430</v>
      </c>
      <c r="D926">
        <v>4</v>
      </c>
      <c r="E926" t="s">
        <v>13</v>
      </c>
      <c r="F926" t="s">
        <v>14</v>
      </c>
      <c r="G926" t="s">
        <v>47</v>
      </c>
      <c r="H926" s="1">
        <v>45480</v>
      </c>
      <c r="I926" t="s">
        <v>1086</v>
      </c>
      <c r="J926" s="10" t="s">
        <v>71</v>
      </c>
      <c r="K926" t="s">
        <v>86</v>
      </c>
      <c r="L926" t="s">
        <v>215</v>
      </c>
    </row>
    <row r="927" spans="1:12" x14ac:dyDescent="0.25">
      <c r="A927" t="s">
        <v>1085</v>
      </c>
      <c r="B927" s="2">
        <v>8780</v>
      </c>
      <c r="C927" s="2">
        <v>3430</v>
      </c>
      <c r="D927">
        <v>4</v>
      </c>
      <c r="E927" t="s">
        <v>13</v>
      </c>
      <c r="F927" t="s">
        <v>14</v>
      </c>
      <c r="G927" t="s">
        <v>47</v>
      </c>
      <c r="H927" s="1">
        <v>45132</v>
      </c>
      <c r="I927" t="s">
        <v>1087</v>
      </c>
      <c r="J927" s="10" t="s">
        <v>71</v>
      </c>
      <c r="K927" t="s">
        <v>86</v>
      </c>
      <c r="L927" t="s">
        <v>105</v>
      </c>
    </row>
    <row r="928" spans="1:12" x14ac:dyDescent="0.25">
      <c r="A928" t="s">
        <v>1088</v>
      </c>
      <c r="B928" s="2">
        <v>6783</v>
      </c>
      <c r="C928" s="2">
        <v>3306</v>
      </c>
      <c r="D928">
        <v>8</v>
      </c>
      <c r="E928" t="s">
        <v>45</v>
      </c>
      <c r="F928" t="s">
        <v>60</v>
      </c>
      <c r="G928" t="s">
        <v>32</v>
      </c>
      <c r="H928" s="1">
        <v>43937</v>
      </c>
      <c r="I928" t="s">
        <v>1089</v>
      </c>
      <c r="J928" s="10" t="s">
        <v>98</v>
      </c>
      <c r="K928" t="s">
        <v>99</v>
      </c>
      <c r="L928" t="s">
        <v>162</v>
      </c>
    </row>
    <row r="929" spans="1:12" x14ac:dyDescent="0.25">
      <c r="A929" t="s">
        <v>1090</v>
      </c>
      <c r="B929" s="2">
        <v>1778</v>
      </c>
      <c r="C929" s="2">
        <v>285</v>
      </c>
      <c r="D929">
        <v>4</v>
      </c>
      <c r="E929" t="s">
        <v>30</v>
      </c>
      <c r="F929" t="s">
        <v>31</v>
      </c>
      <c r="G929" t="s">
        <v>47</v>
      </c>
      <c r="H929" s="1">
        <v>44016</v>
      </c>
      <c r="I929" t="s">
        <v>1091</v>
      </c>
      <c r="J929" s="10" t="s">
        <v>25</v>
      </c>
      <c r="K929" t="s">
        <v>51</v>
      </c>
      <c r="L929" t="s">
        <v>462</v>
      </c>
    </row>
    <row r="930" spans="1:12" x14ac:dyDescent="0.25">
      <c r="A930" t="s">
        <v>1092</v>
      </c>
      <c r="B930" s="2">
        <v>9399</v>
      </c>
      <c r="C930" s="2">
        <v>1949</v>
      </c>
      <c r="D930">
        <v>12</v>
      </c>
      <c r="E930" t="s">
        <v>13</v>
      </c>
      <c r="F930" t="s">
        <v>28</v>
      </c>
      <c r="G930" t="s">
        <v>15</v>
      </c>
      <c r="H930" s="1">
        <v>44697</v>
      </c>
      <c r="I930" t="s">
        <v>1093</v>
      </c>
      <c r="J930" s="10" t="s">
        <v>25</v>
      </c>
      <c r="K930" t="s">
        <v>68</v>
      </c>
      <c r="L930" t="s">
        <v>180</v>
      </c>
    </row>
    <row r="931" spans="1:12" x14ac:dyDescent="0.25">
      <c r="A931" t="s">
        <v>1092</v>
      </c>
      <c r="B931" s="2">
        <v>7957</v>
      </c>
      <c r="C931" s="2">
        <v>965</v>
      </c>
      <c r="D931">
        <v>4</v>
      </c>
      <c r="E931" t="s">
        <v>45</v>
      </c>
      <c r="F931" t="s">
        <v>60</v>
      </c>
      <c r="G931" t="s">
        <v>47</v>
      </c>
      <c r="H931" s="1">
        <v>44697</v>
      </c>
      <c r="I931" t="s">
        <v>1093</v>
      </c>
      <c r="J931" s="10" t="s">
        <v>25</v>
      </c>
      <c r="K931" t="s">
        <v>68</v>
      </c>
      <c r="L931" t="s">
        <v>180</v>
      </c>
    </row>
    <row r="932" spans="1:12" x14ac:dyDescent="0.25">
      <c r="A932" t="s">
        <v>1094</v>
      </c>
      <c r="B932" s="2">
        <v>1638</v>
      </c>
      <c r="C932" s="2">
        <v>661</v>
      </c>
      <c r="D932">
        <v>13</v>
      </c>
      <c r="E932" t="s">
        <v>45</v>
      </c>
      <c r="F932" t="s">
        <v>49</v>
      </c>
      <c r="G932" t="s">
        <v>40</v>
      </c>
      <c r="H932" s="1">
        <v>45255</v>
      </c>
      <c r="I932" t="s">
        <v>1095</v>
      </c>
      <c r="J932" s="10" t="s">
        <v>21</v>
      </c>
      <c r="K932" t="s">
        <v>63</v>
      </c>
      <c r="L932" t="s">
        <v>52</v>
      </c>
    </row>
    <row r="933" spans="1:12" x14ac:dyDescent="0.25">
      <c r="A933" t="s">
        <v>1096</v>
      </c>
      <c r="B933" s="2">
        <v>1786</v>
      </c>
      <c r="C933" s="2">
        <v>224</v>
      </c>
      <c r="D933">
        <v>4</v>
      </c>
      <c r="E933" t="s">
        <v>45</v>
      </c>
      <c r="F933" t="s">
        <v>46</v>
      </c>
      <c r="G933" t="s">
        <v>65</v>
      </c>
      <c r="H933" s="1">
        <v>44425</v>
      </c>
      <c r="I933" t="s">
        <v>1097</v>
      </c>
      <c r="J933" s="10" t="s">
        <v>71</v>
      </c>
      <c r="K933" t="s">
        <v>72</v>
      </c>
      <c r="L933" t="s">
        <v>178</v>
      </c>
    </row>
    <row r="934" spans="1:12" x14ac:dyDescent="0.25">
      <c r="A934" t="s">
        <v>1098</v>
      </c>
      <c r="B934" s="2">
        <v>4751</v>
      </c>
      <c r="C934" s="2">
        <v>781</v>
      </c>
      <c r="D934">
        <v>9</v>
      </c>
      <c r="E934" t="s">
        <v>30</v>
      </c>
      <c r="F934" t="s">
        <v>64</v>
      </c>
      <c r="G934" t="s">
        <v>40</v>
      </c>
      <c r="H934" s="1">
        <v>45109</v>
      </c>
      <c r="I934" t="s">
        <v>1099</v>
      </c>
      <c r="J934" s="10" t="s">
        <v>25</v>
      </c>
      <c r="K934" t="s">
        <v>26</v>
      </c>
      <c r="L934" t="s">
        <v>105</v>
      </c>
    </row>
    <row r="935" spans="1:12" x14ac:dyDescent="0.25">
      <c r="A935" t="s">
        <v>1100</v>
      </c>
      <c r="B935" s="2">
        <v>8979</v>
      </c>
      <c r="C935" s="2">
        <v>4477</v>
      </c>
      <c r="D935">
        <v>4</v>
      </c>
      <c r="E935" t="s">
        <v>30</v>
      </c>
      <c r="F935" t="s">
        <v>64</v>
      </c>
      <c r="G935" t="s">
        <v>47</v>
      </c>
      <c r="H935" s="1">
        <v>44067</v>
      </c>
      <c r="I935" t="s">
        <v>1101</v>
      </c>
      <c r="J935" s="10" t="s">
        <v>21</v>
      </c>
      <c r="K935" t="s">
        <v>22</v>
      </c>
      <c r="L935" t="s">
        <v>185</v>
      </c>
    </row>
    <row r="936" spans="1:12" x14ac:dyDescent="0.25">
      <c r="A936" t="s">
        <v>1102</v>
      </c>
      <c r="B936" s="2">
        <v>2727</v>
      </c>
      <c r="C936" s="2">
        <v>663</v>
      </c>
      <c r="D936">
        <v>8</v>
      </c>
      <c r="E936" t="s">
        <v>13</v>
      </c>
      <c r="F936" t="s">
        <v>82</v>
      </c>
      <c r="G936" t="s">
        <v>47</v>
      </c>
      <c r="H936" s="1">
        <v>44872</v>
      </c>
      <c r="I936" t="s">
        <v>1103</v>
      </c>
      <c r="J936" s="10" t="s">
        <v>17</v>
      </c>
      <c r="K936" t="s">
        <v>18</v>
      </c>
      <c r="L936" t="s">
        <v>44</v>
      </c>
    </row>
    <row r="937" spans="1:12" x14ac:dyDescent="0.25">
      <c r="A937" t="s">
        <v>1104</v>
      </c>
      <c r="B937" s="2">
        <v>1093</v>
      </c>
      <c r="C937" s="2">
        <v>397</v>
      </c>
      <c r="D937">
        <v>17</v>
      </c>
      <c r="E937" t="s">
        <v>13</v>
      </c>
      <c r="F937" t="s">
        <v>28</v>
      </c>
      <c r="G937" t="s">
        <v>47</v>
      </c>
      <c r="H937" s="1">
        <v>45378</v>
      </c>
      <c r="I937" t="s">
        <v>1105</v>
      </c>
      <c r="J937" s="10" t="s">
        <v>21</v>
      </c>
      <c r="K937" t="s">
        <v>172</v>
      </c>
      <c r="L937" t="s">
        <v>338</v>
      </c>
    </row>
    <row r="938" spans="1:12" x14ac:dyDescent="0.25">
      <c r="A938" t="s">
        <v>1104</v>
      </c>
      <c r="B938" s="2">
        <v>1093</v>
      </c>
      <c r="C938" s="2">
        <v>397</v>
      </c>
      <c r="D938">
        <v>17</v>
      </c>
      <c r="E938" t="s">
        <v>13</v>
      </c>
      <c r="F938" t="s">
        <v>28</v>
      </c>
      <c r="G938" t="s">
        <v>47</v>
      </c>
      <c r="H938" s="1">
        <v>45536</v>
      </c>
      <c r="I938" t="s">
        <v>1106</v>
      </c>
      <c r="J938" s="10" t="s">
        <v>25</v>
      </c>
      <c r="K938" t="s">
        <v>26</v>
      </c>
      <c r="L938" t="s">
        <v>159</v>
      </c>
    </row>
    <row r="939" spans="1:12" x14ac:dyDescent="0.25">
      <c r="A939" t="s">
        <v>1104</v>
      </c>
      <c r="B939" s="2">
        <v>1093</v>
      </c>
      <c r="C939" s="2">
        <v>397</v>
      </c>
      <c r="D939">
        <v>17</v>
      </c>
      <c r="E939" t="s">
        <v>13</v>
      </c>
      <c r="F939" t="s">
        <v>28</v>
      </c>
      <c r="G939" t="s">
        <v>47</v>
      </c>
      <c r="H939" s="1">
        <v>44614</v>
      </c>
      <c r="I939" t="s">
        <v>1107</v>
      </c>
      <c r="J939" s="10" t="s">
        <v>98</v>
      </c>
      <c r="K939" t="s">
        <v>99</v>
      </c>
      <c r="L939" t="s">
        <v>137</v>
      </c>
    </row>
    <row r="940" spans="1:12" x14ac:dyDescent="0.25">
      <c r="A940" t="s">
        <v>1104</v>
      </c>
      <c r="B940" s="2">
        <v>2636</v>
      </c>
      <c r="C940" s="2">
        <v>88</v>
      </c>
      <c r="D940">
        <v>11</v>
      </c>
      <c r="E940" t="s">
        <v>30</v>
      </c>
      <c r="F940" t="s">
        <v>64</v>
      </c>
      <c r="G940" t="s">
        <v>32</v>
      </c>
      <c r="H940" s="1">
        <v>45378</v>
      </c>
      <c r="I940" t="s">
        <v>1105</v>
      </c>
      <c r="J940" s="10" t="s">
        <v>21</v>
      </c>
      <c r="K940" t="s">
        <v>172</v>
      </c>
      <c r="L940" t="s">
        <v>338</v>
      </c>
    </row>
    <row r="941" spans="1:12" x14ac:dyDescent="0.25">
      <c r="A941" t="s">
        <v>1104</v>
      </c>
      <c r="B941" s="2">
        <v>2636</v>
      </c>
      <c r="C941" s="2">
        <v>88</v>
      </c>
      <c r="D941">
        <v>11</v>
      </c>
      <c r="E941" t="s">
        <v>30</v>
      </c>
      <c r="F941" t="s">
        <v>64</v>
      </c>
      <c r="G941" t="s">
        <v>32</v>
      </c>
      <c r="H941" s="1">
        <v>45536</v>
      </c>
      <c r="I941" t="s">
        <v>1106</v>
      </c>
      <c r="J941" s="10" t="s">
        <v>25</v>
      </c>
      <c r="K941" t="s">
        <v>26</v>
      </c>
      <c r="L941" t="s">
        <v>159</v>
      </c>
    </row>
    <row r="942" spans="1:12" x14ac:dyDescent="0.25">
      <c r="A942" t="s">
        <v>1104</v>
      </c>
      <c r="B942" s="2">
        <v>2636</v>
      </c>
      <c r="C942" s="2">
        <v>88</v>
      </c>
      <c r="D942">
        <v>11</v>
      </c>
      <c r="E942" t="s">
        <v>30</v>
      </c>
      <c r="F942" t="s">
        <v>64</v>
      </c>
      <c r="G942" t="s">
        <v>32</v>
      </c>
      <c r="H942" s="1">
        <v>44614</v>
      </c>
      <c r="I942" t="s">
        <v>1107</v>
      </c>
      <c r="J942" s="10" t="s">
        <v>98</v>
      </c>
      <c r="K942" t="s">
        <v>99</v>
      </c>
      <c r="L942" t="s">
        <v>137</v>
      </c>
    </row>
    <row r="943" spans="1:12" x14ac:dyDescent="0.25">
      <c r="A943" t="s">
        <v>1108</v>
      </c>
      <c r="B943" s="2">
        <v>7344</v>
      </c>
      <c r="C943" s="2">
        <v>2251</v>
      </c>
      <c r="D943">
        <v>7</v>
      </c>
      <c r="E943" t="s">
        <v>13</v>
      </c>
      <c r="F943" t="s">
        <v>14</v>
      </c>
      <c r="G943" t="s">
        <v>32</v>
      </c>
      <c r="H943" s="1">
        <v>44603</v>
      </c>
      <c r="I943" t="s">
        <v>1109</v>
      </c>
      <c r="J943" s="10" t="s">
        <v>17</v>
      </c>
      <c r="K943" t="s">
        <v>18</v>
      </c>
      <c r="L943" t="s">
        <v>137</v>
      </c>
    </row>
    <row r="944" spans="1:12" x14ac:dyDescent="0.25">
      <c r="A944" t="s">
        <v>1108</v>
      </c>
      <c r="B944" s="2">
        <v>7306</v>
      </c>
      <c r="C944" s="2">
        <v>1547</v>
      </c>
      <c r="D944">
        <v>3</v>
      </c>
      <c r="E944" t="s">
        <v>30</v>
      </c>
      <c r="F944" t="s">
        <v>64</v>
      </c>
      <c r="G944" t="s">
        <v>65</v>
      </c>
      <c r="H944" s="1">
        <v>44603</v>
      </c>
      <c r="I944" t="s">
        <v>1109</v>
      </c>
      <c r="J944" s="10" t="s">
        <v>17</v>
      </c>
      <c r="K944" t="s">
        <v>18</v>
      </c>
      <c r="L944" t="s">
        <v>137</v>
      </c>
    </row>
    <row r="945" spans="1:12" x14ac:dyDescent="0.25">
      <c r="A945" t="s">
        <v>1108</v>
      </c>
      <c r="B945" s="2">
        <v>5832</v>
      </c>
      <c r="C945" s="2">
        <v>2588</v>
      </c>
      <c r="D945">
        <v>10</v>
      </c>
      <c r="E945" t="s">
        <v>13</v>
      </c>
      <c r="F945" t="s">
        <v>28</v>
      </c>
      <c r="G945" t="s">
        <v>65</v>
      </c>
      <c r="H945" s="1">
        <v>44603</v>
      </c>
      <c r="I945" t="s">
        <v>1109</v>
      </c>
      <c r="J945" s="10" t="s">
        <v>17</v>
      </c>
      <c r="K945" t="s">
        <v>18</v>
      </c>
      <c r="L945" t="s">
        <v>137</v>
      </c>
    </row>
    <row r="946" spans="1:12" x14ac:dyDescent="0.25">
      <c r="A946" t="s">
        <v>1110</v>
      </c>
      <c r="B946" s="2">
        <v>8572</v>
      </c>
      <c r="C946" s="2">
        <v>2041</v>
      </c>
      <c r="D946">
        <v>8</v>
      </c>
      <c r="E946" t="s">
        <v>45</v>
      </c>
      <c r="F946" t="s">
        <v>46</v>
      </c>
      <c r="G946" t="s">
        <v>40</v>
      </c>
      <c r="H946" s="1">
        <v>44343</v>
      </c>
      <c r="I946" t="s">
        <v>1111</v>
      </c>
      <c r="J946" s="10" t="s">
        <v>21</v>
      </c>
      <c r="K946" t="s">
        <v>63</v>
      </c>
      <c r="L946" t="s">
        <v>108</v>
      </c>
    </row>
    <row r="947" spans="1:12" x14ac:dyDescent="0.25">
      <c r="A947" t="s">
        <v>1110</v>
      </c>
      <c r="B947" s="2">
        <v>8572</v>
      </c>
      <c r="C947" s="2">
        <v>2041</v>
      </c>
      <c r="D947">
        <v>8</v>
      </c>
      <c r="E947" t="s">
        <v>45</v>
      </c>
      <c r="F947" t="s">
        <v>46</v>
      </c>
      <c r="G947" t="s">
        <v>40</v>
      </c>
      <c r="H947" s="1">
        <v>45112</v>
      </c>
      <c r="I947" t="s">
        <v>1112</v>
      </c>
      <c r="J947" s="10" t="s">
        <v>21</v>
      </c>
      <c r="K947" t="s">
        <v>63</v>
      </c>
      <c r="L947" t="s">
        <v>105</v>
      </c>
    </row>
    <row r="948" spans="1:12" x14ac:dyDescent="0.25">
      <c r="A948" t="s">
        <v>1110</v>
      </c>
      <c r="B948" s="2">
        <v>8572</v>
      </c>
      <c r="C948" s="2">
        <v>2041</v>
      </c>
      <c r="D948">
        <v>8</v>
      </c>
      <c r="E948" t="s">
        <v>45</v>
      </c>
      <c r="F948" t="s">
        <v>46</v>
      </c>
      <c r="G948" t="s">
        <v>40</v>
      </c>
      <c r="H948" s="1">
        <v>44131</v>
      </c>
      <c r="I948" t="s">
        <v>1113</v>
      </c>
      <c r="J948" s="10" t="s">
        <v>42</v>
      </c>
      <c r="K948" t="s">
        <v>75</v>
      </c>
      <c r="L948" t="s">
        <v>119</v>
      </c>
    </row>
    <row r="949" spans="1:12" x14ac:dyDescent="0.25">
      <c r="A949" t="s">
        <v>1110</v>
      </c>
      <c r="B949" s="2">
        <v>8059</v>
      </c>
      <c r="C949" s="2">
        <v>1834</v>
      </c>
      <c r="D949">
        <v>10</v>
      </c>
      <c r="E949" t="s">
        <v>13</v>
      </c>
      <c r="F949" t="s">
        <v>28</v>
      </c>
      <c r="G949" t="s">
        <v>47</v>
      </c>
      <c r="H949" s="1">
        <v>44343</v>
      </c>
      <c r="I949" t="s">
        <v>1111</v>
      </c>
      <c r="J949" s="10" t="s">
        <v>21</v>
      </c>
      <c r="K949" t="s">
        <v>63</v>
      </c>
      <c r="L949" t="s">
        <v>108</v>
      </c>
    </row>
    <row r="950" spans="1:12" x14ac:dyDescent="0.25">
      <c r="A950" t="s">
        <v>1110</v>
      </c>
      <c r="B950" s="2">
        <v>8059</v>
      </c>
      <c r="C950" s="2">
        <v>1834</v>
      </c>
      <c r="D950">
        <v>10</v>
      </c>
      <c r="E950" t="s">
        <v>13</v>
      </c>
      <c r="F950" t="s">
        <v>28</v>
      </c>
      <c r="G950" t="s">
        <v>47</v>
      </c>
      <c r="H950" s="1">
        <v>45112</v>
      </c>
      <c r="I950" t="s">
        <v>1112</v>
      </c>
      <c r="J950" s="10" t="s">
        <v>21</v>
      </c>
      <c r="K950" t="s">
        <v>63</v>
      </c>
      <c r="L950" t="s">
        <v>105</v>
      </c>
    </row>
    <row r="951" spans="1:12" x14ac:dyDescent="0.25">
      <c r="A951" t="s">
        <v>1110</v>
      </c>
      <c r="B951" s="2">
        <v>8059</v>
      </c>
      <c r="C951" s="2">
        <v>1834</v>
      </c>
      <c r="D951">
        <v>10</v>
      </c>
      <c r="E951" t="s">
        <v>13</v>
      </c>
      <c r="F951" t="s">
        <v>28</v>
      </c>
      <c r="G951" t="s">
        <v>47</v>
      </c>
      <c r="H951" s="1">
        <v>44131</v>
      </c>
      <c r="I951" t="s">
        <v>1113</v>
      </c>
      <c r="J951" s="10" t="s">
        <v>42</v>
      </c>
      <c r="K951" t="s">
        <v>75</v>
      </c>
      <c r="L951" t="s">
        <v>119</v>
      </c>
    </row>
    <row r="952" spans="1:12" x14ac:dyDescent="0.25">
      <c r="A952" t="s">
        <v>1114</v>
      </c>
      <c r="B952" s="2">
        <v>3661</v>
      </c>
      <c r="C952" s="2">
        <v>436</v>
      </c>
      <c r="D952">
        <v>13</v>
      </c>
      <c r="E952" t="s">
        <v>45</v>
      </c>
      <c r="F952" t="s">
        <v>60</v>
      </c>
      <c r="G952" t="s">
        <v>40</v>
      </c>
      <c r="H952" s="1">
        <v>44952</v>
      </c>
      <c r="I952" t="s">
        <v>1115</v>
      </c>
      <c r="J952" s="10" t="s">
        <v>71</v>
      </c>
      <c r="K952" t="s">
        <v>86</v>
      </c>
      <c r="L952" t="s">
        <v>333</v>
      </c>
    </row>
    <row r="953" spans="1:12" x14ac:dyDescent="0.25">
      <c r="A953" t="s">
        <v>1116</v>
      </c>
      <c r="B953" s="2">
        <v>2451</v>
      </c>
      <c r="C953" s="2">
        <v>342</v>
      </c>
      <c r="D953">
        <v>8</v>
      </c>
      <c r="E953" t="s">
        <v>30</v>
      </c>
      <c r="F953" t="s">
        <v>64</v>
      </c>
      <c r="G953" t="s">
        <v>40</v>
      </c>
      <c r="H953" s="1">
        <v>44445</v>
      </c>
      <c r="I953" t="s">
        <v>1117</v>
      </c>
      <c r="J953" s="10" t="s">
        <v>42</v>
      </c>
      <c r="K953" t="s">
        <v>43</v>
      </c>
      <c r="L953" t="s">
        <v>224</v>
      </c>
    </row>
    <row r="954" spans="1:12" x14ac:dyDescent="0.25">
      <c r="A954" t="s">
        <v>1116</v>
      </c>
      <c r="B954" s="2">
        <v>2451</v>
      </c>
      <c r="C954" s="2">
        <v>342</v>
      </c>
      <c r="D954">
        <v>8</v>
      </c>
      <c r="E954" t="s">
        <v>30</v>
      </c>
      <c r="F954" t="s">
        <v>64</v>
      </c>
      <c r="G954" t="s">
        <v>40</v>
      </c>
      <c r="H954" s="1">
        <v>44512</v>
      </c>
      <c r="I954" t="s">
        <v>1118</v>
      </c>
      <c r="J954" s="10" t="s">
        <v>98</v>
      </c>
      <c r="K954" t="s">
        <v>107</v>
      </c>
      <c r="L954" t="s">
        <v>175</v>
      </c>
    </row>
    <row r="955" spans="1:12" x14ac:dyDescent="0.25">
      <c r="A955" t="s">
        <v>1116</v>
      </c>
      <c r="B955" s="2">
        <v>2451</v>
      </c>
      <c r="C955" s="2">
        <v>342</v>
      </c>
      <c r="D955">
        <v>8</v>
      </c>
      <c r="E955" t="s">
        <v>30</v>
      </c>
      <c r="F955" t="s">
        <v>64</v>
      </c>
      <c r="G955" t="s">
        <v>40</v>
      </c>
      <c r="H955" s="1">
        <v>45503</v>
      </c>
      <c r="I955" t="s">
        <v>1119</v>
      </c>
      <c r="J955" s="10" t="s">
        <v>71</v>
      </c>
      <c r="K955" t="s">
        <v>138</v>
      </c>
      <c r="L955" t="s">
        <v>215</v>
      </c>
    </row>
    <row r="956" spans="1:12" x14ac:dyDescent="0.25">
      <c r="A956" t="s">
        <v>1120</v>
      </c>
      <c r="B956" s="2">
        <v>7067</v>
      </c>
      <c r="C956" s="2">
        <v>1943</v>
      </c>
      <c r="D956">
        <v>16</v>
      </c>
      <c r="E956" t="s">
        <v>45</v>
      </c>
      <c r="F956" t="s">
        <v>46</v>
      </c>
      <c r="G956" t="s">
        <v>47</v>
      </c>
      <c r="H956" s="1">
        <v>44635</v>
      </c>
      <c r="I956" t="s">
        <v>1121</v>
      </c>
      <c r="J956" s="10" t="s">
        <v>42</v>
      </c>
      <c r="K956" t="s">
        <v>92</v>
      </c>
      <c r="L956" t="s">
        <v>134</v>
      </c>
    </row>
    <row r="957" spans="1:12" x14ac:dyDescent="0.25">
      <c r="A957" t="s">
        <v>1122</v>
      </c>
      <c r="B957" s="2">
        <v>4307</v>
      </c>
      <c r="C957" s="2">
        <v>615</v>
      </c>
      <c r="D957">
        <v>3</v>
      </c>
      <c r="E957" t="s">
        <v>13</v>
      </c>
      <c r="F957" t="s">
        <v>14</v>
      </c>
      <c r="G957" t="s">
        <v>15</v>
      </c>
      <c r="H957" s="1">
        <v>45366</v>
      </c>
      <c r="I957" t="s">
        <v>1123</v>
      </c>
      <c r="J957" s="10" t="s">
        <v>25</v>
      </c>
      <c r="K957" t="s">
        <v>51</v>
      </c>
      <c r="L957" t="s">
        <v>338</v>
      </c>
    </row>
    <row r="958" spans="1:12" x14ac:dyDescent="0.25">
      <c r="A958" t="s">
        <v>1122</v>
      </c>
      <c r="B958" s="2">
        <v>4307</v>
      </c>
      <c r="C958" s="2">
        <v>615</v>
      </c>
      <c r="D958">
        <v>3</v>
      </c>
      <c r="E958" t="s">
        <v>13</v>
      </c>
      <c r="F958" t="s">
        <v>14</v>
      </c>
      <c r="G958" t="s">
        <v>15</v>
      </c>
      <c r="H958" s="1">
        <v>44145</v>
      </c>
      <c r="I958" t="s">
        <v>1124</v>
      </c>
      <c r="J958" s="10" t="s">
        <v>21</v>
      </c>
      <c r="K958" t="s">
        <v>63</v>
      </c>
      <c r="L958" t="s">
        <v>80</v>
      </c>
    </row>
    <row r="959" spans="1:12" x14ac:dyDescent="0.25">
      <c r="A959" t="s">
        <v>1122</v>
      </c>
      <c r="B959" s="2">
        <v>5694</v>
      </c>
      <c r="C959" s="2">
        <v>1134</v>
      </c>
      <c r="D959">
        <v>5</v>
      </c>
      <c r="E959" t="s">
        <v>45</v>
      </c>
      <c r="F959" t="s">
        <v>49</v>
      </c>
      <c r="G959" t="s">
        <v>40</v>
      </c>
      <c r="H959" s="1">
        <v>45366</v>
      </c>
      <c r="I959" t="s">
        <v>1123</v>
      </c>
      <c r="J959" s="10" t="s">
        <v>25</v>
      </c>
      <c r="K959" t="s">
        <v>51</v>
      </c>
      <c r="L959" t="s">
        <v>338</v>
      </c>
    </row>
    <row r="960" spans="1:12" x14ac:dyDescent="0.25">
      <c r="A960" t="s">
        <v>1122</v>
      </c>
      <c r="B960" s="2">
        <v>5694</v>
      </c>
      <c r="C960" s="2">
        <v>1134</v>
      </c>
      <c r="D960">
        <v>5</v>
      </c>
      <c r="E960" t="s">
        <v>45</v>
      </c>
      <c r="F960" t="s">
        <v>49</v>
      </c>
      <c r="G960" t="s">
        <v>40</v>
      </c>
      <c r="H960" s="1">
        <v>44145</v>
      </c>
      <c r="I960" t="s">
        <v>1124</v>
      </c>
      <c r="J960" s="10" t="s">
        <v>21</v>
      </c>
      <c r="K960" t="s">
        <v>63</v>
      </c>
      <c r="L960" t="s">
        <v>80</v>
      </c>
    </row>
    <row r="961" spans="1:12" x14ac:dyDescent="0.25">
      <c r="A961" t="s">
        <v>1125</v>
      </c>
      <c r="B961" s="2">
        <v>962</v>
      </c>
      <c r="C961" s="2">
        <v>298</v>
      </c>
      <c r="D961">
        <v>18</v>
      </c>
      <c r="E961" t="s">
        <v>30</v>
      </c>
      <c r="F961" t="s">
        <v>78</v>
      </c>
      <c r="G961" t="s">
        <v>47</v>
      </c>
      <c r="H961" s="1">
        <v>44765</v>
      </c>
      <c r="I961" t="s">
        <v>1126</v>
      </c>
      <c r="J961" s="10" t="s">
        <v>21</v>
      </c>
      <c r="K961" t="s">
        <v>63</v>
      </c>
      <c r="L961" t="s">
        <v>418</v>
      </c>
    </row>
    <row r="962" spans="1:12" x14ac:dyDescent="0.25">
      <c r="A962" t="s">
        <v>1127</v>
      </c>
      <c r="B962" s="2">
        <v>2995</v>
      </c>
      <c r="C962" s="2">
        <v>220</v>
      </c>
      <c r="D962">
        <v>14</v>
      </c>
      <c r="E962" t="s">
        <v>45</v>
      </c>
      <c r="F962" t="s">
        <v>109</v>
      </c>
      <c r="G962" t="s">
        <v>47</v>
      </c>
      <c r="H962" s="1">
        <v>45548</v>
      </c>
      <c r="I962" t="s">
        <v>1128</v>
      </c>
      <c r="J962" s="10" t="s">
        <v>25</v>
      </c>
      <c r="K962" t="s">
        <v>26</v>
      </c>
      <c r="L962" t="s">
        <v>159</v>
      </c>
    </row>
    <row r="963" spans="1:12" x14ac:dyDescent="0.25">
      <c r="A963" t="s">
        <v>1127</v>
      </c>
      <c r="B963" s="2">
        <v>2047</v>
      </c>
      <c r="C963" s="2">
        <v>914</v>
      </c>
      <c r="D963">
        <v>5</v>
      </c>
      <c r="E963" t="s">
        <v>30</v>
      </c>
      <c r="F963" t="s">
        <v>57</v>
      </c>
      <c r="G963" t="s">
        <v>32</v>
      </c>
      <c r="H963" s="1">
        <v>45548</v>
      </c>
      <c r="I963" t="s">
        <v>1128</v>
      </c>
      <c r="J963" s="10" t="s">
        <v>25</v>
      </c>
      <c r="K963" t="s">
        <v>26</v>
      </c>
      <c r="L963" t="s">
        <v>159</v>
      </c>
    </row>
    <row r="964" spans="1:12" x14ac:dyDescent="0.25">
      <c r="A964" t="s">
        <v>1129</v>
      </c>
      <c r="B964" s="2">
        <v>2078</v>
      </c>
      <c r="C964" s="2">
        <v>612</v>
      </c>
      <c r="D964">
        <v>6</v>
      </c>
      <c r="E964" t="s">
        <v>13</v>
      </c>
      <c r="F964" t="s">
        <v>39</v>
      </c>
      <c r="G964" t="s">
        <v>65</v>
      </c>
      <c r="H964" s="1">
        <v>44586</v>
      </c>
      <c r="I964" t="s">
        <v>1130</v>
      </c>
      <c r="J964" s="10" t="s">
        <v>71</v>
      </c>
      <c r="K964" t="s">
        <v>86</v>
      </c>
      <c r="L964" t="s">
        <v>87</v>
      </c>
    </row>
    <row r="965" spans="1:12" x14ac:dyDescent="0.25">
      <c r="A965" t="s">
        <v>1131</v>
      </c>
      <c r="B965" s="2">
        <v>2737</v>
      </c>
      <c r="C965" s="2">
        <v>1253</v>
      </c>
      <c r="D965">
        <v>3</v>
      </c>
      <c r="E965" t="s">
        <v>13</v>
      </c>
      <c r="F965" t="s">
        <v>28</v>
      </c>
      <c r="G965" t="s">
        <v>40</v>
      </c>
      <c r="H965" s="1">
        <v>44305</v>
      </c>
      <c r="I965" t="s">
        <v>1132</v>
      </c>
      <c r="J965" s="10" t="s">
        <v>25</v>
      </c>
      <c r="K965" t="s">
        <v>51</v>
      </c>
      <c r="L965" t="s">
        <v>139</v>
      </c>
    </row>
    <row r="966" spans="1:12" x14ac:dyDescent="0.25">
      <c r="A966" t="s">
        <v>1133</v>
      </c>
      <c r="B966" s="2">
        <v>8194</v>
      </c>
      <c r="C966" s="2">
        <v>2881</v>
      </c>
      <c r="D966">
        <v>6</v>
      </c>
      <c r="E966" t="s">
        <v>30</v>
      </c>
      <c r="F966" t="s">
        <v>64</v>
      </c>
      <c r="G966" t="s">
        <v>32</v>
      </c>
      <c r="H966" s="1">
        <v>44395</v>
      </c>
      <c r="I966" t="s">
        <v>1134</v>
      </c>
      <c r="J966" s="10" t="s">
        <v>71</v>
      </c>
      <c r="K966" t="s">
        <v>138</v>
      </c>
      <c r="L966" t="s">
        <v>27</v>
      </c>
    </row>
    <row r="967" spans="1:12" x14ac:dyDescent="0.25">
      <c r="A967" t="s">
        <v>1135</v>
      </c>
      <c r="B967" s="2">
        <v>9914</v>
      </c>
      <c r="C967" s="2">
        <v>3858</v>
      </c>
      <c r="D967">
        <v>16</v>
      </c>
      <c r="E967" t="s">
        <v>45</v>
      </c>
      <c r="F967" t="s">
        <v>60</v>
      </c>
      <c r="G967" t="s">
        <v>47</v>
      </c>
      <c r="H967" s="1">
        <v>44736</v>
      </c>
      <c r="I967" t="s">
        <v>1136</v>
      </c>
      <c r="J967" s="10" t="s">
        <v>25</v>
      </c>
      <c r="K967" t="s">
        <v>26</v>
      </c>
      <c r="L967" t="s">
        <v>165</v>
      </c>
    </row>
    <row r="968" spans="1:12" x14ac:dyDescent="0.25">
      <c r="A968" t="s">
        <v>1135</v>
      </c>
      <c r="B968" s="2">
        <v>9914</v>
      </c>
      <c r="C968" s="2">
        <v>3858</v>
      </c>
      <c r="D968">
        <v>16</v>
      </c>
      <c r="E968" t="s">
        <v>45</v>
      </c>
      <c r="F968" t="s">
        <v>60</v>
      </c>
      <c r="G968" t="s">
        <v>47</v>
      </c>
      <c r="H968" s="1">
        <v>45451</v>
      </c>
      <c r="I968" t="s">
        <v>1137</v>
      </c>
      <c r="J968" s="10" t="s">
        <v>25</v>
      </c>
      <c r="K968" t="s">
        <v>68</v>
      </c>
      <c r="L968" t="s">
        <v>262</v>
      </c>
    </row>
    <row r="969" spans="1:12" x14ac:dyDescent="0.25">
      <c r="A969" t="s">
        <v>1135</v>
      </c>
      <c r="B969" s="2">
        <v>5470</v>
      </c>
      <c r="C969" s="2">
        <v>292</v>
      </c>
      <c r="D969">
        <v>7</v>
      </c>
      <c r="E969" t="s">
        <v>30</v>
      </c>
      <c r="F969" t="s">
        <v>31</v>
      </c>
      <c r="G969" t="s">
        <v>32</v>
      </c>
      <c r="H969" s="1">
        <v>44736</v>
      </c>
      <c r="I969" t="s">
        <v>1136</v>
      </c>
      <c r="J969" s="10" t="s">
        <v>25</v>
      </c>
      <c r="K969" t="s">
        <v>26</v>
      </c>
      <c r="L969" t="s">
        <v>165</v>
      </c>
    </row>
    <row r="970" spans="1:12" x14ac:dyDescent="0.25">
      <c r="A970" t="s">
        <v>1135</v>
      </c>
      <c r="B970" s="2">
        <v>5470</v>
      </c>
      <c r="C970" s="2">
        <v>292</v>
      </c>
      <c r="D970">
        <v>7</v>
      </c>
      <c r="E970" t="s">
        <v>30</v>
      </c>
      <c r="F970" t="s">
        <v>31</v>
      </c>
      <c r="G970" t="s">
        <v>32</v>
      </c>
      <c r="H970" s="1">
        <v>45451</v>
      </c>
      <c r="I970" t="s">
        <v>1137</v>
      </c>
      <c r="J970" s="10" t="s">
        <v>25</v>
      </c>
      <c r="K970" t="s">
        <v>68</v>
      </c>
      <c r="L970" t="s">
        <v>262</v>
      </c>
    </row>
    <row r="971" spans="1:12" x14ac:dyDescent="0.25">
      <c r="A971" t="s">
        <v>1135</v>
      </c>
      <c r="B971" s="2">
        <v>1496</v>
      </c>
      <c r="C971" s="2">
        <v>662</v>
      </c>
      <c r="D971">
        <v>17</v>
      </c>
      <c r="E971" t="s">
        <v>45</v>
      </c>
      <c r="F971" t="s">
        <v>109</v>
      </c>
      <c r="G971" t="s">
        <v>15</v>
      </c>
      <c r="H971" s="1">
        <v>44736</v>
      </c>
      <c r="I971" t="s">
        <v>1136</v>
      </c>
      <c r="J971" s="10" t="s">
        <v>25</v>
      </c>
      <c r="K971" t="s">
        <v>26</v>
      </c>
      <c r="L971" t="s">
        <v>165</v>
      </c>
    </row>
    <row r="972" spans="1:12" x14ac:dyDescent="0.25">
      <c r="A972" t="s">
        <v>1135</v>
      </c>
      <c r="B972" s="2">
        <v>1496</v>
      </c>
      <c r="C972" s="2">
        <v>662</v>
      </c>
      <c r="D972">
        <v>17</v>
      </c>
      <c r="E972" t="s">
        <v>45</v>
      </c>
      <c r="F972" t="s">
        <v>109</v>
      </c>
      <c r="G972" t="s">
        <v>15</v>
      </c>
      <c r="H972" s="1">
        <v>45451</v>
      </c>
      <c r="I972" t="s">
        <v>1137</v>
      </c>
      <c r="J972" s="10" t="s">
        <v>25</v>
      </c>
      <c r="K972" t="s">
        <v>68</v>
      </c>
      <c r="L972" t="s">
        <v>262</v>
      </c>
    </row>
    <row r="973" spans="1:12" x14ac:dyDescent="0.25">
      <c r="A973" t="s">
        <v>1138</v>
      </c>
      <c r="B973" s="2">
        <v>3228</v>
      </c>
      <c r="C973" s="2">
        <v>476</v>
      </c>
      <c r="D973">
        <v>9</v>
      </c>
      <c r="E973" t="s">
        <v>30</v>
      </c>
      <c r="F973" t="s">
        <v>64</v>
      </c>
      <c r="G973" t="s">
        <v>65</v>
      </c>
      <c r="H973" s="1">
        <v>44833</v>
      </c>
      <c r="I973" t="s">
        <v>1139</v>
      </c>
      <c r="J973" s="10" t="s">
        <v>25</v>
      </c>
      <c r="K973" t="s">
        <v>51</v>
      </c>
      <c r="L973" t="s">
        <v>131</v>
      </c>
    </row>
    <row r="974" spans="1:12" x14ac:dyDescent="0.25">
      <c r="A974" t="s">
        <v>1140</v>
      </c>
      <c r="B974" s="2">
        <v>3918</v>
      </c>
      <c r="C974" s="2">
        <v>749</v>
      </c>
      <c r="D974">
        <v>8</v>
      </c>
      <c r="E974" t="s">
        <v>13</v>
      </c>
      <c r="F974" t="s">
        <v>39</v>
      </c>
      <c r="G974" t="s">
        <v>47</v>
      </c>
      <c r="H974" s="1">
        <v>45056</v>
      </c>
      <c r="I974" t="s">
        <v>1141</v>
      </c>
      <c r="J974" s="10" t="s">
        <v>42</v>
      </c>
      <c r="K974" t="s">
        <v>75</v>
      </c>
      <c r="L974" t="s">
        <v>127</v>
      </c>
    </row>
    <row r="975" spans="1:12" x14ac:dyDescent="0.25">
      <c r="A975" t="s">
        <v>1140</v>
      </c>
      <c r="B975" s="2">
        <v>3918</v>
      </c>
      <c r="C975" s="2">
        <v>749</v>
      </c>
      <c r="D975">
        <v>8</v>
      </c>
      <c r="E975" t="s">
        <v>13</v>
      </c>
      <c r="F975" t="s">
        <v>39</v>
      </c>
      <c r="G975" t="s">
        <v>47</v>
      </c>
      <c r="H975" s="1">
        <v>43953</v>
      </c>
      <c r="I975" t="s">
        <v>1142</v>
      </c>
      <c r="J975" s="10" t="s">
        <v>71</v>
      </c>
      <c r="K975" t="s">
        <v>138</v>
      </c>
      <c r="L975" t="s">
        <v>59</v>
      </c>
    </row>
    <row r="976" spans="1:12" x14ac:dyDescent="0.25">
      <c r="A976" t="s">
        <v>1143</v>
      </c>
      <c r="B976" s="2">
        <v>9921</v>
      </c>
      <c r="C976" s="2">
        <v>1451</v>
      </c>
      <c r="D976">
        <v>15</v>
      </c>
      <c r="E976" t="s">
        <v>45</v>
      </c>
      <c r="F976" t="s">
        <v>60</v>
      </c>
      <c r="G976" t="s">
        <v>40</v>
      </c>
      <c r="H976" s="1">
        <v>44298</v>
      </c>
      <c r="I976" t="s">
        <v>1144</v>
      </c>
      <c r="J976" s="10" t="s">
        <v>21</v>
      </c>
      <c r="K976" t="s">
        <v>22</v>
      </c>
      <c r="L976" t="s">
        <v>139</v>
      </c>
    </row>
    <row r="977" spans="1:12" x14ac:dyDescent="0.25">
      <c r="A977" t="s">
        <v>1145</v>
      </c>
      <c r="B977" s="2">
        <v>9694</v>
      </c>
      <c r="C977" s="2">
        <v>4361</v>
      </c>
      <c r="D977">
        <v>1</v>
      </c>
      <c r="E977" t="s">
        <v>45</v>
      </c>
      <c r="F977" t="s">
        <v>49</v>
      </c>
      <c r="G977" t="s">
        <v>40</v>
      </c>
      <c r="H977" s="1">
        <v>45234</v>
      </c>
      <c r="I977" t="s">
        <v>1146</v>
      </c>
      <c r="J977" s="10" t="s">
        <v>21</v>
      </c>
      <c r="K977" t="s">
        <v>63</v>
      </c>
      <c r="L977" t="s">
        <v>52</v>
      </c>
    </row>
    <row r="978" spans="1:12" x14ac:dyDescent="0.25">
      <c r="A978" t="s">
        <v>1147</v>
      </c>
      <c r="B978" s="2">
        <v>5028</v>
      </c>
      <c r="C978" s="2">
        <v>1553</v>
      </c>
      <c r="D978">
        <v>13</v>
      </c>
      <c r="E978" t="s">
        <v>30</v>
      </c>
      <c r="F978" t="s">
        <v>64</v>
      </c>
      <c r="G978" t="s">
        <v>40</v>
      </c>
      <c r="H978" s="1">
        <v>43955</v>
      </c>
      <c r="I978" t="s">
        <v>1148</v>
      </c>
      <c r="J978" s="10" t="s">
        <v>17</v>
      </c>
      <c r="K978" t="s">
        <v>150</v>
      </c>
      <c r="L978" t="s">
        <v>59</v>
      </c>
    </row>
    <row r="979" spans="1:12" x14ac:dyDescent="0.25">
      <c r="A979" t="s">
        <v>1149</v>
      </c>
      <c r="B979" s="2">
        <v>594</v>
      </c>
      <c r="C979" s="2">
        <v>67</v>
      </c>
      <c r="D979">
        <v>19</v>
      </c>
      <c r="E979" t="s">
        <v>30</v>
      </c>
      <c r="F979" t="s">
        <v>64</v>
      </c>
      <c r="G979" t="s">
        <v>32</v>
      </c>
      <c r="H979" s="1">
        <v>45179</v>
      </c>
      <c r="I979" t="s">
        <v>1150</v>
      </c>
      <c r="J979" s="10" t="s">
        <v>25</v>
      </c>
      <c r="K979" t="s">
        <v>26</v>
      </c>
      <c r="L979" t="s">
        <v>273</v>
      </c>
    </row>
    <row r="980" spans="1:12" x14ac:dyDescent="0.25">
      <c r="A980" t="s">
        <v>1149</v>
      </c>
      <c r="B980" s="2">
        <v>594</v>
      </c>
      <c r="C980" s="2">
        <v>67</v>
      </c>
      <c r="D980">
        <v>19</v>
      </c>
      <c r="E980" t="s">
        <v>30</v>
      </c>
      <c r="F980" t="s">
        <v>64</v>
      </c>
      <c r="G980" t="s">
        <v>32</v>
      </c>
      <c r="H980" s="1">
        <v>45296</v>
      </c>
      <c r="I980" t="s">
        <v>1151</v>
      </c>
      <c r="J980" s="10" t="s">
        <v>17</v>
      </c>
      <c r="K980" t="s">
        <v>18</v>
      </c>
      <c r="L980" t="s">
        <v>76</v>
      </c>
    </row>
    <row r="981" spans="1:12" x14ac:dyDescent="0.25">
      <c r="A981" t="s">
        <v>1149</v>
      </c>
      <c r="B981" s="2">
        <v>594</v>
      </c>
      <c r="C981" s="2">
        <v>67</v>
      </c>
      <c r="D981">
        <v>19</v>
      </c>
      <c r="E981" t="s">
        <v>30</v>
      </c>
      <c r="F981" t="s">
        <v>64</v>
      </c>
      <c r="G981" t="s">
        <v>32</v>
      </c>
      <c r="H981" s="1">
        <v>45420</v>
      </c>
      <c r="I981" t="s">
        <v>1152</v>
      </c>
      <c r="J981" s="10" t="s">
        <v>71</v>
      </c>
      <c r="K981" t="s">
        <v>86</v>
      </c>
      <c r="L981" t="s">
        <v>35</v>
      </c>
    </row>
    <row r="982" spans="1:12" x14ac:dyDescent="0.25">
      <c r="A982" t="s">
        <v>1153</v>
      </c>
      <c r="B982" s="2">
        <v>5954</v>
      </c>
      <c r="C982" s="2">
        <v>2618</v>
      </c>
      <c r="D982">
        <v>11</v>
      </c>
      <c r="E982" t="s">
        <v>45</v>
      </c>
      <c r="F982" t="s">
        <v>46</v>
      </c>
      <c r="G982" t="s">
        <v>65</v>
      </c>
      <c r="H982" s="1">
        <v>45381</v>
      </c>
      <c r="I982" t="s">
        <v>1154</v>
      </c>
      <c r="J982" s="10" t="s">
        <v>98</v>
      </c>
      <c r="K982" t="s">
        <v>107</v>
      </c>
      <c r="L982" t="s">
        <v>338</v>
      </c>
    </row>
    <row r="983" spans="1:12" x14ac:dyDescent="0.25">
      <c r="A983" t="s">
        <v>1155</v>
      </c>
      <c r="B983" s="2">
        <v>3518</v>
      </c>
      <c r="C983" s="2">
        <v>1051</v>
      </c>
      <c r="D983">
        <v>3</v>
      </c>
      <c r="E983" t="s">
        <v>45</v>
      </c>
      <c r="F983" t="s">
        <v>109</v>
      </c>
      <c r="G983" t="s">
        <v>15</v>
      </c>
      <c r="H983" s="1">
        <v>44084</v>
      </c>
      <c r="I983" t="s">
        <v>1156</v>
      </c>
      <c r="J983" s="10" t="s">
        <v>42</v>
      </c>
      <c r="K983" t="s">
        <v>92</v>
      </c>
      <c r="L983" t="s">
        <v>389</v>
      </c>
    </row>
    <row r="984" spans="1:12" x14ac:dyDescent="0.25">
      <c r="A984" t="s">
        <v>1155</v>
      </c>
      <c r="B984" s="2">
        <v>4157</v>
      </c>
      <c r="C984" s="2">
        <v>1874</v>
      </c>
      <c r="D984">
        <v>8</v>
      </c>
      <c r="E984" t="s">
        <v>13</v>
      </c>
      <c r="F984" t="s">
        <v>39</v>
      </c>
      <c r="G984" t="s">
        <v>40</v>
      </c>
      <c r="H984" s="1">
        <v>44084</v>
      </c>
      <c r="I984" t="s">
        <v>1156</v>
      </c>
      <c r="J984" s="10" t="s">
        <v>42</v>
      </c>
      <c r="K984" t="s">
        <v>92</v>
      </c>
      <c r="L984" t="s">
        <v>389</v>
      </c>
    </row>
    <row r="985" spans="1:12" x14ac:dyDescent="0.25">
      <c r="A985" t="s">
        <v>1157</v>
      </c>
      <c r="B985" s="2">
        <v>3747</v>
      </c>
      <c r="C985" s="2">
        <v>410</v>
      </c>
      <c r="D985">
        <v>5</v>
      </c>
      <c r="E985" t="s">
        <v>30</v>
      </c>
      <c r="F985" t="s">
        <v>57</v>
      </c>
      <c r="G985" t="s">
        <v>47</v>
      </c>
      <c r="H985" s="1">
        <v>44024</v>
      </c>
      <c r="I985" t="s">
        <v>1158</v>
      </c>
      <c r="J985" s="10" t="s">
        <v>21</v>
      </c>
      <c r="K985" t="s">
        <v>63</v>
      </c>
      <c r="L985" t="s">
        <v>462</v>
      </c>
    </row>
    <row r="986" spans="1:12" x14ac:dyDescent="0.25">
      <c r="A986" t="s">
        <v>1157</v>
      </c>
      <c r="B986" s="2">
        <v>3747</v>
      </c>
      <c r="C986" s="2">
        <v>410</v>
      </c>
      <c r="D986">
        <v>5</v>
      </c>
      <c r="E986" t="s">
        <v>30</v>
      </c>
      <c r="F986" t="s">
        <v>57</v>
      </c>
      <c r="G986" t="s">
        <v>47</v>
      </c>
      <c r="H986" s="1">
        <v>44903</v>
      </c>
      <c r="I986" t="s">
        <v>1159</v>
      </c>
      <c r="J986" s="10" t="s">
        <v>25</v>
      </c>
      <c r="K986" t="s">
        <v>26</v>
      </c>
      <c r="L986" t="s">
        <v>152</v>
      </c>
    </row>
    <row r="987" spans="1:12" x14ac:dyDescent="0.25">
      <c r="A987" t="s">
        <v>1157</v>
      </c>
      <c r="B987" s="2">
        <v>3747</v>
      </c>
      <c r="C987" s="2">
        <v>410</v>
      </c>
      <c r="D987">
        <v>5</v>
      </c>
      <c r="E987" t="s">
        <v>30</v>
      </c>
      <c r="F987" t="s">
        <v>57</v>
      </c>
      <c r="G987" t="s">
        <v>47</v>
      </c>
      <c r="H987" s="1">
        <v>45378</v>
      </c>
      <c r="I987" t="s">
        <v>1160</v>
      </c>
      <c r="J987" s="10" t="s">
        <v>98</v>
      </c>
      <c r="K987" t="s">
        <v>99</v>
      </c>
      <c r="L987" t="s">
        <v>338</v>
      </c>
    </row>
    <row r="988" spans="1:12" x14ac:dyDescent="0.25">
      <c r="A988" t="s">
        <v>1157</v>
      </c>
      <c r="B988" s="2">
        <v>3747</v>
      </c>
      <c r="C988" s="2">
        <v>410</v>
      </c>
      <c r="D988">
        <v>5</v>
      </c>
      <c r="E988" t="s">
        <v>30</v>
      </c>
      <c r="F988" t="s">
        <v>57</v>
      </c>
      <c r="G988" t="s">
        <v>47</v>
      </c>
      <c r="H988" s="1">
        <v>44974</v>
      </c>
      <c r="I988" t="s">
        <v>1161</v>
      </c>
      <c r="J988" s="10" t="s">
        <v>21</v>
      </c>
      <c r="K988" t="s">
        <v>22</v>
      </c>
      <c r="L988" t="s">
        <v>93</v>
      </c>
    </row>
    <row r="989" spans="1:12" x14ac:dyDescent="0.25">
      <c r="A989" t="s">
        <v>1157</v>
      </c>
      <c r="B989" s="2">
        <v>3747</v>
      </c>
      <c r="C989" s="2">
        <v>410</v>
      </c>
      <c r="D989">
        <v>5</v>
      </c>
      <c r="E989" t="s">
        <v>30</v>
      </c>
      <c r="F989" t="s">
        <v>57</v>
      </c>
      <c r="G989" t="s">
        <v>47</v>
      </c>
      <c r="H989" s="1">
        <v>44398</v>
      </c>
      <c r="I989" t="s">
        <v>1162</v>
      </c>
      <c r="J989" s="10" t="s">
        <v>42</v>
      </c>
      <c r="K989" t="s">
        <v>43</v>
      </c>
      <c r="L989" t="s">
        <v>27</v>
      </c>
    </row>
    <row r="990" spans="1:12" x14ac:dyDescent="0.25">
      <c r="A990" t="s">
        <v>1157</v>
      </c>
      <c r="B990" s="2">
        <v>3194</v>
      </c>
      <c r="C990" s="2">
        <v>534</v>
      </c>
      <c r="D990">
        <v>4</v>
      </c>
      <c r="E990" t="s">
        <v>30</v>
      </c>
      <c r="F990" t="s">
        <v>78</v>
      </c>
      <c r="G990" t="s">
        <v>15</v>
      </c>
      <c r="H990" s="1">
        <v>44024</v>
      </c>
      <c r="I990" t="s">
        <v>1158</v>
      </c>
      <c r="J990" s="10" t="s">
        <v>21</v>
      </c>
      <c r="K990" t="s">
        <v>63</v>
      </c>
      <c r="L990" t="s">
        <v>462</v>
      </c>
    </row>
    <row r="991" spans="1:12" x14ac:dyDescent="0.25">
      <c r="A991" t="s">
        <v>1157</v>
      </c>
      <c r="B991" s="2">
        <v>3194</v>
      </c>
      <c r="C991" s="2">
        <v>534</v>
      </c>
      <c r="D991">
        <v>4</v>
      </c>
      <c r="E991" t="s">
        <v>30</v>
      </c>
      <c r="F991" t="s">
        <v>78</v>
      </c>
      <c r="G991" t="s">
        <v>15</v>
      </c>
      <c r="H991" s="1">
        <v>44903</v>
      </c>
      <c r="I991" t="s">
        <v>1159</v>
      </c>
      <c r="J991" s="10" t="s">
        <v>25</v>
      </c>
      <c r="K991" t="s">
        <v>26</v>
      </c>
      <c r="L991" t="s">
        <v>152</v>
      </c>
    </row>
    <row r="992" spans="1:12" x14ac:dyDescent="0.25">
      <c r="A992" t="s">
        <v>1157</v>
      </c>
      <c r="B992" s="2">
        <v>3194</v>
      </c>
      <c r="C992" s="2">
        <v>534</v>
      </c>
      <c r="D992">
        <v>4</v>
      </c>
      <c r="E992" t="s">
        <v>30</v>
      </c>
      <c r="F992" t="s">
        <v>78</v>
      </c>
      <c r="G992" t="s">
        <v>15</v>
      </c>
      <c r="H992" s="1">
        <v>45378</v>
      </c>
      <c r="I992" t="s">
        <v>1160</v>
      </c>
      <c r="J992" s="10" t="s">
        <v>98</v>
      </c>
      <c r="K992" t="s">
        <v>99</v>
      </c>
      <c r="L992" t="s">
        <v>338</v>
      </c>
    </row>
    <row r="993" spans="1:12" x14ac:dyDescent="0.25">
      <c r="A993" t="s">
        <v>1157</v>
      </c>
      <c r="B993" s="2">
        <v>3194</v>
      </c>
      <c r="C993" s="2">
        <v>534</v>
      </c>
      <c r="D993">
        <v>4</v>
      </c>
      <c r="E993" t="s">
        <v>30</v>
      </c>
      <c r="F993" t="s">
        <v>78</v>
      </c>
      <c r="G993" t="s">
        <v>15</v>
      </c>
      <c r="H993" s="1">
        <v>44974</v>
      </c>
      <c r="I993" t="s">
        <v>1161</v>
      </c>
      <c r="J993" s="10" t="s">
        <v>21</v>
      </c>
      <c r="K993" t="s">
        <v>22</v>
      </c>
      <c r="L993" t="s">
        <v>93</v>
      </c>
    </row>
    <row r="994" spans="1:12" x14ac:dyDescent="0.25">
      <c r="A994" t="s">
        <v>1157</v>
      </c>
      <c r="B994" s="2">
        <v>3194</v>
      </c>
      <c r="C994" s="2">
        <v>534</v>
      </c>
      <c r="D994">
        <v>4</v>
      </c>
      <c r="E994" t="s">
        <v>30</v>
      </c>
      <c r="F994" t="s">
        <v>78</v>
      </c>
      <c r="G994" t="s">
        <v>15</v>
      </c>
      <c r="H994" s="1">
        <v>44398</v>
      </c>
      <c r="I994" t="s">
        <v>1162</v>
      </c>
      <c r="J994" s="10" t="s">
        <v>42</v>
      </c>
      <c r="K994" t="s">
        <v>43</v>
      </c>
      <c r="L994" t="s">
        <v>27</v>
      </c>
    </row>
    <row r="995" spans="1:12" x14ac:dyDescent="0.25">
      <c r="A995" t="s">
        <v>1163</v>
      </c>
      <c r="B995" s="2">
        <v>8548</v>
      </c>
      <c r="C995" s="2">
        <v>2305</v>
      </c>
      <c r="D995">
        <v>1</v>
      </c>
      <c r="E995" t="s">
        <v>30</v>
      </c>
      <c r="F995" t="s">
        <v>78</v>
      </c>
      <c r="G995" t="s">
        <v>65</v>
      </c>
      <c r="H995" s="1">
        <v>44864</v>
      </c>
      <c r="I995" t="s">
        <v>1164</v>
      </c>
      <c r="J995" s="10" t="s">
        <v>17</v>
      </c>
      <c r="K995" t="s">
        <v>150</v>
      </c>
      <c r="L995" t="s">
        <v>96</v>
      </c>
    </row>
    <row r="996" spans="1:12" x14ac:dyDescent="0.25">
      <c r="A996" t="s">
        <v>1165</v>
      </c>
      <c r="B996" s="2">
        <v>6089</v>
      </c>
      <c r="C996" s="2">
        <v>139</v>
      </c>
      <c r="D996">
        <v>19</v>
      </c>
      <c r="E996" t="s">
        <v>45</v>
      </c>
      <c r="F996" t="s">
        <v>46</v>
      </c>
      <c r="G996" t="s">
        <v>32</v>
      </c>
      <c r="H996" s="1">
        <v>44196</v>
      </c>
      <c r="I996" t="s">
        <v>1166</v>
      </c>
      <c r="J996" s="10" t="s">
        <v>98</v>
      </c>
      <c r="K996" t="s">
        <v>107</v>
      </c>
      <c r="L996" t="s">
        <v>287</v>
      </c>
    </row>
    <row r="997" spans="1:12" x14ac:dyDescent="0.25">
      <c r="A997" t="s">
        <v>1165</v>
      </c>
      <c r="B997" s="2">
        <v>6089</v>
      </c>
      <c r="C997" s="2">
        <v>139</v>
      </c>
      <c r="D997">
        <v>19</v>
      </c>
      <c r="E997" t="s">
        <v>45</v>
      </c>
      <c r="F997" t="s">
        <v>46</v>
      </c>
      <c r="G997" t="s">
        <v>32</v>
      </c>
      <c r="H997" s="1">
        <v>44666</v>
      </c>
      <c r="I997" t="s">
        <v>1167</v>
      </c>
      <c r="J997" s="10" t="s">
        <v>98</v>
      </c>
      <c r="K997" t="s">
        <v>117</v>
      </c>
      <c r="L997" t="s">
        <v>187</v>
      </c>
    </row>
    <row r="998" spans="1:12" x14ac:dyDescent="0.25">
      <c r="A998" t="s">
        <v>1165</v>
      </c>
      <c r="B998" s="2">
        <v>6089</v>
      </c>
      <c r="C998" s="2">
        <v>139</v>
      </c>
      <c r="D998">
        <v>19</v>
      </c>
      <c r="E998" t="s">
        <v>45</v>
      </c>
      <c r="F998" t="s">
        <v>46</v>
      </c>
      <c r="G998" t="s">
        <v>32</v>
      </c>
      <c r="H998" s="1">
        <v>45021</v>
      </c>
      <c r="I998" t="s">
        <v>1168</v>
      </c>
      <c r="J998" s="10" t="s">
        <v>21</v>
      </c>
      <c r="K998" t="s">
        <v>22</v>
      </c>
      <c r="L998" t="s">
        <v>145</v>
      </c>
    </row>
    <row r="999" spans="1:12" x14ac:dyDescent="0.25">
      <c r="A999" t="s">
        <v>1165</v>
      </c>
      <c r="B999" s="2">
        <v>2586</v>
      </c>
      <c r="C999" s="2">
        <v>800</v>
      </c>
      <c r="D999">
        <v>16</v>
      </c>
      <c r="E999" t="s">
        <v>45</v>
      </c>
      <c r="F999" t="s">
        <v>46</v>
      </c>
      <c r="G999" t="s">
        <v>15</v>
      </c>
      <c r="H999" s="1">
        <v>44196</v>
      </c>
      <c r="I999" t="s">
        <v>1166</v>
      </c>
      <c r="J999" s="10" t="s">
        <v>98</v>
      </c>
      <c r="K999" t="s">
        <v>107</v>
      </c>
      <c r="L999" t="s">
        <v>287</v>
      </c>
    </row>
    <row r="1000" spans="1:12" x14ac:dyDescent="0.25">
      <c r="A1000" t="s">
        <v>1165</v>
      </c>
      <c r="B1000" s="2">
        <v>2586</v>
      </c>
      <c r="C1000" s="2">
        <v>800</v>
      </c>
      <c r="D1000">
        <v>16</v>
      </c>
      <c r="E1000" t="s">
        <v>45</v>
      </c>
      <c r="F1000" t="s">
        <v>46</v>
      </c>
      <c r="G1000" t="s">
        <v>15</v>
      </c>
      <c r="H1000" s="1">
        <v>44666</v>
      </c>
      <c r="I1000" t="s">
        <v>1167</v>
      </c>
      <c r="J1000" s="10" t="s">
        <v>98</v>
      </c>
      <c r="K1000" t="s">
        <v>117</v>
      </c>
      <c r="L1000" t="s">
        <v>187</v>
      </c>
    </row>
    <row r="1001" spans="1:12" x14ac:dyDescent="0.25">
      <c r="A1001" t="s">
        <v>1165</v>
      </c>
      <c r="B1001" s="2">
        <v>2586</v>
      </c>
      <c r="C1001" s="2">
        <v>800</v>
      </c>
      <c r="D1001">
        <v>16</v>
      </c>
      <c r="E1001" t="s">
        <v>45</v>
      </c>
      <c r="F1001" t="s">
        <v>46</v>
      </c>
      <c r="G1001" t="s">
        <v>15</v>
      </c>
      <c r="H1001" s="1">
        <v>45021</v>
      </c>
      <c r="I1001" t="s">
        <v>1168</v>
      </c>
      <c r="J1001" s="10" t="s">
        <v>21</v>
      </c>
      <c r="K1001" t="s">
        <v>22</v>
      </c>
      <c r="L1001" t="s">
        <v>145</v>
      </c>
    </row>
    <row r="1002" spans="1:12" x14ac:dyDescent="0.25">
      <c r="A1002" t="s">
        <v>1165</v>
      </c>
      <c r="B1002" s="2">
        <v>3757</v>
      </c>
      <c r="C1002" s="2">
        <v>1626</v>
      </c>
      <c r="D1002">
        <v>9</v>
      </c>
      <c r="E1002" t="s">
        <v>30</v>
      </c>
      <c r="F1002" t="s">
        <v>64</v>
      </c>
      <c r="G1002" t="s">
        <v>15</v>
      </c>
      <c r="H1002" s="1">
        <v>44196</v>
      </c>
      <c r="I1002" t="s">
        <v>1166</v>
      </c>
      <c r="J1002" s="10" t="s">
        <v>98</v>
      </c>
      <c r="K1002" t="s">
        <v>107</v>
      </c>
      <c r="L1002" t="s">
        <v>287</v>
      </c>
    </row>
    <row r="1003" spans="1:12" x14ac:dyDescent="0.25">
      <c r="A1003" t="s">
        <v>1165</v>
      </c>
      <c r="B1003" s="2">
        <v>3757</v>
      </c>
      <c r="C1003" s="2">
        <v>1626</v>
      </c>
      <c r="D1003">
        <v>9</v>
      </c>
      <c r="E1003" t="s">
        <v>30</v>
      </c>
      <c r="F1003" t="s">
        <v>64</v>
      </c>
      <c r="G1003" t="s">
        <v>15</v>
      </c>
      <c r="H1003" s="1">
        <v>44666</v>
      </c>
      <c r="I1003" t="s">
        <v>1167</v>
      </c>
      <c r="J1003" s="10" t="s">
        <v>98</v>
      </c>
      <c r="K1003" t="s">
        <v>117</v>
      </c>
      <c r="L1003" t="s">
        <v>187</v>
      </c>
    </row>
    <row r="1004" spans="1:12" x14ac:dyDescent="0.25">
      <c r="A1004" t="s">
        <v>1165</v>
      </c>
      <c r="B1004" s="2">
        <v>3757</v>
      </c>
      <c r="C1004" s="2">
        <v>1626</v>
      </c>
      <c r="D1004">
        <v>9</v>
      </c>
      <c r="E1004" t="s">
        <v>30</v>
      </c>
      <c r="F1004" t="s">
        <v>64</v>
      </c>
      <c r="G1004" t="s">
        <v>15</v>
      </c>
      <c r="H1004" s="1">
        <v>45021</v>
      </c>
      <c r="I1004" t="s">
        <v>1168</v>
      </c>
      <c r="J1004" s="10" t="s">
        <v>21</v>
      </c>
      <c r="K1004" t="s">
        <v>22</v>
      </c>
      <c r="L1004" t="s">
        <v>145</v>
      </c>
    </row>
    <row r="1005" spans="1:12" x14ac:dyDescent="0.25">
      <c r="A1005" t="s">
        <v>1169</v>
      </c>
      <c r="B1005" s="2">
        <v>5193</v>
      </c>
      <c r="C1005" s="2">
        <v>2530</v>
      </c>
      <c r="D1005">
        <v>5</v>
      </c>
      <c r="E1005" t="s">
        <v>45</v>
      </c>
      <c r="F1005" t="s">
        <v>60</v>
      </c>
      <c r="G1005" t="s">
        <v>32</v>
      </c>
      <c r="H1005" s="1">
        <v>44498</v>
      </c>
      <c r="I1005" t="s">
        <v>1170</v>
      </c>
      <c r="J1005" s="10" t="s">
        <v>42</v>
      </c>
      <c r="K1005" t="s">
        <v>75</v>
      </c>
      <c r="L1005" t="s">
        <v>37</v>
      </c>
    </row>
    <row r="1006" spans="1:12" x14ac:dyDescent="0.25">
      <c r="A1006" t="s">
        <v>1169</v>
      </c>
      <c r="B1006" s="2">
        <v>5193</v>
      </c>
      <c r="C1006" s="2">
        <v>2530</v>
      </c>
      <c r="D1006">
        <v>5</v>
      </c>
      <c r="E1006" t="s">
        <v>45</v>
      </c>
      <c r="F1006" t="s">
        <v>60</v>
      </c>
      <c r="G1006" t="s">
        <v>32</v>
      </c>
      <c r="H1006" s="1">
        <v>45655</v>
      </c>
      <c r="I1006" t="s">
        <v>1171</v>
      </c>
      <c r="J1006" s="10" t="s">
        <v>17</v>
      </c>
      <c r="K1006" t="s">
        <v>18</v>
      </c>
      <c r="L1006" t="s">
        <v>23</v>
      </c>
    </row>
    <row r="1007" spans="1:12" x14ac:dyDescent="0.25">
      <c r="A1007" t="s">
        <v>1172</v>
      </c>
      <c r="B1007" s="2">
        <v>7493</v>
      </c>
      <c r="C1007" s="2">
        <v>96</v>
      </c>
      <c r="D1007">
        <v>3</v>
      </c>
      <c r="E1007" t="s">
        <v>13</v>
      </c>
      <c r="F1007" t="s">
        <v>14</v>
      </c>
      <c r="G1007" t="s">
        <v>15</v>
      </c>
      <c r="H1007" s="1">
        <v>44054</v>
      </c>
      <c r="I1007" t="s">
        <v>1173</v>
      </c>
      <c r="J1007" s="10" t="s">
        <v>98</v>
      </c>
      <c r="K1007" t="s">
        <v>117</v>
      </c>
      <c r="L1007" t="s">
        <v>185</v>
      </c>
    </row>
    <row r="1008" spans="1:12" x14ac:dyDescent="0.25">
      <c r="A1008" t="s">
        <v>1174</v>
      </c>
      <c r="B1008" s="2">
        <v>2062</v>
      </c>
      <c r="C1008" s="2">
        <v>848</v>
      </c>
      <c r="D1008">
        <v>6</v>
      </c>
      <c r="E1008" t="s">
        <v>30</v>
      </c>
      <c r="F1008" t="s">
        <v>57</v>
      </c>
      <c r="G1008" t="s">
        <v>47</v>
      </c>
      <c r="H1008" s="1">
        <v>45355</v>
      </c>
      <c r="I1008" t="s">
        <v>1175</v>
      </c>
      <c r="J1008" s="10" t="s">
        <v>17</v>
      </c>
      <c r="K1008" t="s">
        <v>150</v>
      </c>
      <c r="L1008" t="s">
        <v>338</v>
      </c>
    </row>
    <row r="1009" spans="1:12" x14ac:dyDescent="0.25">
      <c r="A1009" t="s">
        <v>1176</v>
      </c>
      <c r="B1009" s="2">
        <v>7163</v>
      </c>
      <c r="C1009" s="2">
        <v>1536</v>
      </c>
      <c r="D1009">
        <v>1</v>
      </c>
      <c r="E1009" t="s">
        <v>13</v>
      </c>
      <c r="F1009" t="s">
        <v>82</v>
      </c>
      <c r="G1009" t="s">
        <v>40</v>
      </c>
      <c r="H1009" s="1">
        <v>45216</v>
      </c>
      <c r="I1009" t="s">
        <v>1177</v>
      </c>
      <c r="J1009" s="10" t="s">
        <v>42</v>
      </c>
      <c r="K1009" t="s">
        <v>75</v>
      </c>
      <c r="L1009" t="s">
        <v>442</v>
      </c>
    </row>
    <row r="1010" spans="1:12" x14ac:dyDescent="0.25">
      <c r="A1010" t="s">
        <v>1178</v>
      </c>
      <c r="B1010" s="2">
        <v>4026</v>
      </c>
      <c r="C1010" s="2">
        <v>163</v>
      </c>
      <c r="D1010">
        <v>6</v>
      </c>
      <c r="E1010" t="s">
        <v>13</v>
      </c>
      <c r="F1010" t="s">
        <v>82</v>
      </c>
      <c r="G1010" t="s">
        <v>65</v>
      </c>
      <c r="H1010" s="1">
        <v>45135</v>
      </c>
      <c r="I1010" t="s">
        <v>1179</v>
      </c>
      <c r="J1010" s="10" t="s">
        <v>25</v>
      </c>
      <c r="K1010" t="s">
        <v>51</v>
      </c>
      <c r="L1010" t="s">
        <v>105</v>
      </c>
    </row>
    <row r="1011" spans="1:12" x14ac:dyDescent="0.25">
      <c r="A1011" t="s">
        <v>1180</v>
      </c>
      <c r="B1011" s="2">
        <v>1894</v>
      </c>
      <c r="C1011" s="2">
        <v>275</v>
      </c>
      <c r="D1011">
        <v>5</v>
      </c>
      <c r="E1011" t="s">
        <v>45</v>
      </c>
      <c r="F1011" t="s">
        <v>49</v>
      </c>
      <c r="G1011" t="s">
        <v>47</v>
      </c>
      <c r="H1011" s="1">
        <v>44527</v>
      </c>
      <c r="I1011" t="s">
        <v>1181</v>
      </c>
      <c r="J1011" s="10" t="s">
        <v>17</v>
      </c>
      <c r="K1011" t="s">
        <v>18</v>
      </c>
      <c r="L1011" t="s">
        <v>175</v>
      </c>
    </row>
    <row r="1012" spans="1:12" x14ac:dyDescent="0.25">
      <c r="A1012" t="s">
        <v>1180</v>
      </c>
      <c r="B1012" s="2">
        <v>7144</v>
      </c>
      <c r="C1012" s="2">
        <v>192</v>
      </c>
      <c r="D1012">
        <v>13</v>
      </c>
      <c r="E1012" t="s">
        <v>13</v>
      </c>
      <c r="F1012" t="s">
        <v>14</v>
      </c>
      <c r="G1012" t="s">
        <v>47</v>
      </c>
      <c r="H1012" s="1">
        <v>44527</v>
      </c>
      <c r="I1012" t="s">
        <v>1181</v>
      </c>
      <c r="J1012" s="10" t="s">
        <v>17</v>
      </c>
      <c r="K1012" t="s">
        <v>18</v>
      </c>
      <c r="L1012" t="s">
        <v>175</v>
      </c>
    </row>
    <row r="1013" spans="1:12" x14ac:dyDescent="0.25">
      <c r="A1013" t="s">
        <v>1182</v>
      </c>
      <c r="B1013" s="2">
        <v>3482</v>
      </c>
      <c r="C1013" s="2">
        <v>1554</v>
      </c>
      <c r="D1013">
        <v>15</v>
      </c>
      <c r="E1013" t="s">
        <v>13</v>
      </c>
      <c r="F1013" t="s">
        <v>39</v>
      </c>
      <c r="G1013" t="s">
        <v>32</v>
      </c>
      <c r="H1013" s="1">
        <v>44083</v>
      </c>
      <c r="I1013" t="s">
        <v>1183</v>
      </c>
      <c r="J1013" s="10" t="s">
        <v>98</v>
      </c>
      <c r="K1013" t="s">
        <v>99</v>
      </c>
      <c r="L1013" t="s">
        <v>389</v>
      </c>
    </row>
    <row r="1014" spans="1:12" x14ac:dyDescent="0.25">
      <c r="A1014" t="s">
        <v>1184</v>
      </c>
      <c r="B1014" s="2">
        <v>4172</v>
      </c>
      <c r="C1014" s="2">
        <v>235</v>
      </c>
      <c r="D1014">
        <v>5</v>
      </c>
      <c r="E1014" t="s">
        <v>30</v>
      </c>
      <c r="F1014" t="s">
        <v>64</v>
      </c>
      <c r="G1014" t="s">
        <v>40</v>
      </c>
      <c r="H1014" s="1">
        <v>44349</v>
      </c>
      <c r="I1014" t="s">
        <v>1185</v>
      </c>
      <c r="J1014" s="10" t="s">
        <v>98</v>
      </c>
      <c r="K1014" t="s">
        <v>117</v>
      </c>
      <c r="L1014" t="s">
        <v>125</v>
      </c>
    </row>
    <row r="1015" spans="1:12" x14ac:dyDescent="0.25">
      <c r="A1015" t="s">
        <v>1184</v>
      </c>
      <c r="B1015" s="2">
        <v>4172</v>
      </c>
      <c r="C1015" s="2">
        <v>235</v>
      </c>
      <c r="D1015">
        <v>5</v>
      </c>
      <c r="E1015" t="s">
        <v>30</v>
      </c>
      <c r="F1015" t="s">
        <v>64</v>
      </c>
      <c r="G1015" t="s">
        <v>40</v>
      </c>
      <c r="H1015" s="1">
        <v>44795</v>
      </c>
      <c r="I1015" t="s">
        <v>1186</v>
      </c>
      <c r="J1015" s="10" t="s">
        <v>17</v>
      </c>
      <c r="K1015" t="s">
        <v>34</v>
      </c>
      <c r="L1015" t="s">
        <v>209</v>
      </c>
    </row>
    <row r="1016" spans="1:12" x14ac:dyDescent="0.25">
      <c r="A1016" t="s">
        <v>1184</v>
      </c>
      <c r="B1016" s="2">
        <v>4172</v>
      </c>
      <c r="C1016" s="2">
        <v>235</v>
      </c>
      <c r="D1016">
        <v>5</v>
      </c>
      <c r="E1016" t="s">
        <v>30</v>
      </c>
      <c r="F1016" t="s">
        <v>64</v>
      </c>
      <c r="G1016" t="s">
        <v>40</v>
      </c>
      <c r="H1016" s="1">
        <v>45398</v>
      </c>
      <c r="I1016" t="s">
        <v>1187</v>
      </c>
      <c r="J1016" s="10" t="s">
        <v>21</v>
      </c>
      <c r="K1016" t="s">
        <v>63</v>
      </c>
      <c r="L1016" t="s">
        <v>235</v>
      </c>
    </row>
    <row r="1017" spans="1:12" x14ac:dyDescent="0.25">
      <c r="A1017" t="s">
        <v>1188</v>
      </c>
      <c r="B1017" s="2">
        <v>6265</v>
      </c>
      <c r="C1017" s="2">
        <v>155</v>
      </c>
      <c r="D1017">
        <v>8</v>
      </c>
      <c r="E1017" t="s">
        <v>45</v>
      </c>
      <c r="F1017" t="s">
        <v>60</v>
      </c>
      <c r="G1017" t="s">
        <v>65</v>
      </c>
      <c r="H1017" s="1">
        <v>44796</v>
      </c>
      <c r="I1017" t="s">
        <v>1189</v>
      </c>
      <c r="J1017" s="10" t="s">
        <v>98</v>
      </c>
      <c r="K1017" t="s">
        <v>107</v>
      </c>
      <c r="L1017" t="s">
        <v>209</v>
      </c>
    </row>
    <row r="1018" spans="1:12" x14ac:dyDescent="0.25">
      <c r="A1018" t="s">
        <v>1188</v>
      </c>
      <c r="B1018" s="2">
        <v>6265</v>
      </c>
      <c r="C1018" s="2">
        <v>155</v>
      </c>
      <c r="D1018">
        <v>8</v>
      </c>
      <c r="E1018" t="s">
        <v>45</v>
      </c>
      <c r="F1018" t="s">
        <v>60</v>
      </c>
      <c r="G1018" t="s">
        <v>65</v>
      </c>
      <c r="H1018" s="1">
        <v>44267</v>
      </c>
      <c r="I1018" t="s">
        <v>1190</v>
      </c>
      <c r="J1018" s="10" t="s">
        <v>98</v>
      </c>
      <c r="K1018" t="s">
        <v>117</v>
      </c>
      <c r="L1018" t="s">
        <v>167</v>
      </c>
    </row>
    <row r="1019" spans="1:12" x14ac:dyDescent="0.25">
      <c r="A1019" t="s">
        <v>1191</v>
      </c>
      <c r="B1019" s="2">
        <v>2931</v>
      </c>
      <c r="C1019" s="2">
        <v>212</v>
      </c>
      <c r="D1019">
        <v>7</v>
      </c>
      <c r="E1019" t="s">
        <v>13</v>
      </c>
      <c r="F1019" t="s">
        <v>14</v>
      </c>
      <c r="G1019" t="s">
        <v>47</v>
      </c>
      <c r="H1019" s="1">
        <v>45469</v>
      </c>
      <c r="I1019" t="s">
        <v>1192</v>
      </c>
      <c r="J1019" s="10" t="s">
        <v>21</v>
      </c>
      <c r="K1019" t="s">
        <v>172</v>
      </c>
      <c r="L1019" t="s">
        <v>262</v>
      </c>
    </row>
    <row r="1020" spans="1:12" x14ac:dyDescent="0.25">
      <c r="A1020" t="s">
        <v>1191</v>
      </c>
      <c r="B1020" s="2">
        <v>2931</v>
      </c>
      <c r="C1020" s="2">
        <v>212</v>
      </c>
      <c r="D1020">
        <v>7</v>
      </c>
      <c r="E1020" t="s">
        <v>13</v>
      </c>
      <c r="F1020" t="s">
        <v>14</v>
      </c>
      <c r="G1020" t="s">
        <v>47</v>
      </c>
      <c r="H1020" s="1">
        <v>45268</v>
      </c>
      <c r="I1020" t="s">
        <v>1193</v>
      </c>
      <c r="J1020" s="10" t="s">
        <v>17</v>
      </c>
      <c r="K1020" t="s">
        <v>150</v>
      </c>
      <c r="L1020" t="s">
        <v>102</v>
      </c>
    </row>
    <row r="1021" spans="1:12" x14ac:dyDescent="0.25">
      <c r="A1021" t="s">
        <v>1194</v>
      </c>
      <c r="B1021" s="2">
        <v>1146</v>
      </c>
      <c r="C1021" s="2">
        <v>188</v>
      </c>
      <c r="D1021">
        <v>9</v>
      </c>
      <c r="E1021" t="s">
        <v>45</v>
      </c>
      <c r="F1021" t="s">
        <v>49</v>
      </c>
      <c r="G1021" t="s">
        <v>32</v>
      </c>
      <c r="H1021" s="1">
        <v>45623</v>
      </c>
      <c r="I1021" t="s">
        <v>1195</v>
      </c>
      <c r="J1021" s="10" t="s">
        <v>17</v>
      </c>
      <c r="K1021" t="s">
        <v>150</v>
      </c>
      <c r="L1021" t="s">
        <v>255</v>
      </c>
    </row>
    <row r="1022" spans="1:12" x14ac:dyDescent="0.25">
      <c r="A1022" t="s">
        <v>1196</v>
      </c>
      <c r="B1022" s="2">
        <v>9215</v>
      </c>
      <c r="C1022" s="2">
        <v>767</v>
      </c>
      <c r="D1022">
        <v>13</v>
      </c>
      <c r="E1022" t="s">
        <v>13</v>
      </c>
      <c r="F1022" t="s">
        <v>28</v>
      </c>
      <c r="G1022" t="s">
        <v>65</v>
      </c>
      <c r="H1022" s="1">
        <v>44571</v>
      </c>
      <c r="I1022" t="s">
        <v>1197</v>
      </c>
      <c r="J1022" s="10" t="s">
        <v>17</v>
      </c>
      <c r="K1022" t="s">
        <v>150</v>
      </c>
      <c r="L1022" t="s">
        <v>87</v>
      </c>
    </row>
    <row r="1023" spans="1:12" x14ac:dyDescent="0.25">
      <c r="A1023" t="s">
        <v>1196</v>
      </c>
      <c r="B1023" s="2">
        <v>9215</v>
      </c>
      <c r="C1023" s="2">
        <v>767</v>
      </c>
      <c r="D1023">
        <v>13</v>
      </c>
      <c r="E1023" t="s">
        <v>13</v>
      </c>
      <c r="F1023" t="s">
        <v>28</v>
      </c>
      <c r="G1023" t="s">
        <v>65</v>
      </c>
      <c r="H1023" s="1">
        <v>44501</v>
      </c>
      <c r="I1023" t="s">
        <v>1198</v>
      </c>
      <c r="J1023" s="10" t="s">
        <v>42</v>
      </c>
      <c r="K1023" t="s">
        <v>92</v>
      </c>
      <c r="L1023" t="s">
        <v>175</v>
      </c>
    </row>
    <row r="1024" spans="1:12" x14ac:dyDescent="0.25">
      <c r="A1024" t="s">
        <v>1199</v>
      </c>
      <c r="B1024" s="2">
        <v>7895</v>
      </c>
      <c r="C1024" s="2">
        <v>1005</v>
      </c>
      <c r="D1024">
        <v>1</v>
      </c>
      <c r="E1024" t="s">
        <v>45</v>
      </c>
      <c r="F1024" t="s">
        <v>49</v>
      </c>
      <c r="G1024" t="s">
        <v>47</v>
      </c>
      <c r="H1024" s="1">
        <v>45227</v>
      </c>
      <c r="I1024" t="s">
        <v>1200</v>
      </c>
      <c r="J1024" s="10" t="s">
        <v>98</v>
      </c>
      <c r="K1024" t="s">
        <v>107</v>
      </c>
      <c r="L1024" t="s">
        <v>442</v>
      </c>
    </row>
    <row r="1025" spans="1:12" x14ac:dyDescent="0.25">
      <c r="A1025" t="s">
        <v>1199</v>
      </c>
      <c r="B1025" s="2">
        <v>7895</v>
      </c>
      <c r="C1025" s="2">
        <v>1005</v>
      </c>
      <c r="D1025">
        <v>1</v>
      </c>
      <c r="E1025" t="s">
        <v>45</v>
      </c>
      <c r="F1025" t="s">
        <v>49</v>
      </c>
      <c r="G1025" t="s">
        <v>47</v>
      </c>
      <c r="H1025" s="1">
        <v>45717</v>
      </c>
      <c r="I1025" t="s">
        <v>1201</v>
      </c>
      <c r="J1025" s="10" t="s">
        <v>42</v>
      </c>
      <c r="K1025" t="s">
        <v>75</v>
      </c>
      <c r="L1025" t="s">
        <v>157</v>
      </c>
    </row>
    <row r="1026" spans="1:12" x14ac:dyDescent="0.25">
      <c r="A1026" t="s">
        <v>1199</v>
      </c>
      <c r="B1026" s="2">
        <v>2740</v>
      </c>
      <c r="C1026" s="2">
        <v>558</v>
      </c>
      <c r="D1026">
        <v>8</v>
      </c>
      <c r="E1026" t="s">
        <v>30</v>
      </c>
      <c r="F1026" t="s">
        <v>31</v>
      </c>
      <c r="G1026" t="s">
        <v>15</v>
      </c>
      <c r="H1026" s="1">
        <v>45227</v>
      </c>
      <c r="I1026" t="s">
        <v>1200</v>
      </c>
      <c r="J1026" s="10" t="s">
        <v>98</v>
      </c>
      <c r="K1026" t="s">
        <v>107</v>
      </c>
      <c r="L1026" t="s">
        <v>442</v>
      </c>
    </row>
    <row r="1027" spans="1:12" x14ac:dyDescent="0.25">
      <c r="A1027" t="s">
        <v>1199</v>
      </c>
      <c r="B1027" s="2">
        <v>2740</v>
      </c>
      <c r="C1027" s="2">
        <v>558</v>
      </c>
      <c r="D1027">
        <v>8</v>
      </c>
      <c r="E1027" t="s">
        <v>30</v>
      </c>
      <c r="F1027" t="s">
        <v>31</v>
      </c>
      <c r="G1027" t="s">
        <v>15</v>
      </c>
      <c r="H1027" s="1">
        <v>45717</v>
      </c>
      <c r="I1027" t="s">
        <v>1201</v>
      </c>
      <c r="J1027" s="10" t="s">
        <v>42</v>
      </c>
      <c r="K1027" t="s">
        <v>75</v>
      </c>
      <c r="L1027" t="s">
        <v>157</v>
      </c>
    </row>
    <row r="1028" spans="1:12" x14ac:dyDescent="0.25">
      <c r="A1028" t="s">
        <v>1202</v>
      </c>
      <c r="B1028" s="2">
        <v>5338</v>
      </c>
      <c r="C1028" s="2">
        <v>1354</v>
      </c>
      <c r="D1028">
        <v>16</v>
      </c>
      <c r="E1028" t="s">
        <v>30</v>
      </c>
      <c r="F1028" t="s">
        <v>57</v>
      </c>
      <c r="G1028" t="s">
        <v>15</v>
      </c>
      <c r="H1028" s="1">
        <v>45505</v>
      </c>
      <c r="I1028" t="s">
        <v>1203</v>
      </c>
      <c r="J1028" s="10" t="s">
        <v>21</v>
      </c>
      <c r="K1028" t="s">
        <v>172</v>
      </c>
      <c r="L1028" t="s">
        <v>114</v>
      </c>
    </row>
    <row r="1029" spans="1:12" x14ac:dyDescent="0.25">
      <c r="A1029" t="s">
        <v>1202</v>
      </c>
      <c r="B1029" s="2">
        <v>5338</v>
      </c>
      <c r="C1029" s="2">
        <v>1354</v>
      </c>
      <c r="D1029">
        <v>16</v>
      </c>
      <c r="E1029" t="s">
        <v>30</v>
      </c>
      <c r="F1029" t="s">
        <v>57</v>
      </c>
      <c r="G1029" t="s">
        <v>15</v>
      </c>
      <c r="H1029" s="1">
        <v>45084</v>
      </c>
      <c r="I1029" t="s">
        <v>1204</v>
      </c>
      <c r="J1029" s="10" t="s">
        <v>25</v>
      </c>
      <c r="K1029" t="s">
        <v>26</v>
      </c>
      <c r="L1029" t="s">
        <v>19</v>
      </c>
    </row>
    <row r="1030" spans="1:12" x14ac:dyDescent="0.25">
      <c r="A1030" t="s">
        <v>1202</v>
      </c>
      <c r="B1030" s="2">
        <v>5338</v>
      </c>
      <c r="C1030" s="2">
        <v>1354</v>
      </c>
      <c r="D1030">
        <v>16</v>
      </c>
      <c r="E1030" t="s">
        <v>30</v>
      </c>
      <c r="F1030" t="s">
        <v>57</v>
      </c>
      <c r="G1030" t="s">
        <v>15</v>
      </c>
      <c r="H1030" s="1">
        <v>45586</v>
      </c>
      <c r="I1030" t="s">
        <v>1205</v>
      </c>
      <c r="J1030" s="10" t="s">
        <v>17</v>
      </c>
      <c r="K1030" t="s">
        <v>34</v>
      </c>
      <c r="L1030" t="s">
        <v>360</v>
      </c>
    </row>
    <row r="1031" spans="1:12" x14ac:dyDescent="0.25">
      <c r="A1031" t="s">
        <v>1202</v>
      </c>
      <c r="B1031" s="2">
        <v>5338</v>
      </c>
      <c r="C1031" s="2">
        <v>1354</v>
      </c>
      <c r="D1031">
        <v>16</v>
      </c>
      <c r="E1031" t="s">
        <v>30</v>
      </c>
      <c r="F1031" t="s">
        <v>57</v>
      </c>
      <c r="G1031" t="s">
        <v>15</v>
      </c>
      <c r="H1031" s="1">
        <v>44200</v>
      </c>
      <c r="I1031" t="s">
        <v>1206</v>
      </c>
      <c r="J1031" s="10" t="s">
        <v>25</v>
      </c>
      <c r="K1031" t="s">
        <v>26</v>
      </c>
      <c r="L1031" t="s">
        <v>276</v>
      </c>
    </row>
    <row r="1032" spans="1:12" x14ac:dyDescent="0.25">
      <c r="A1032" t="s">
        <v>1207</v>
      </c>
      <c r="B1032" s="2">
        <v>3095</v>
      </c>
      <c r="C1032" s="2">
        <v>941</v>
      </c>
      <c r="D1032">
        <v>2</v>
      </c>
      <c r="E1032" t="s">
        <v>30</v>
      </c>
      <c r="F1032" t="s">
        <v>31</v>
      </c>
      <c r="G1032" t="s">
        <v>40</v>
      </c>
      <c r="H1032" s="1">
        <v>44670</v>
      </c>
      <c r="I1032" t="s">
        <v>1208</v>
      </c>
      <c r="J1032" s="10" t="s">
        <v>98</v>
      </c>
      <c r="K1032" t="s">
        <v>117</v>
      </c>
      <c r="L1032" t="s">
        <v>187</v>
      </c>
    </row>
    <row r="1033" spans="1:12" x14ac:dyDescent="0.25">
      <c r="A1033" t="s">
        <v>1207</v>
      </c>
      <c r="B1033" s="2">
        <v>3095</v>
      </c>
      <c r="C1033" s="2">
        <v>941</v>
      </c>
      <c r="D1033">
        <v>2</v>
      </c>
      <c r="E1033" t="s">
        <v>30</v>
      </c>
      <c r="F1033" t="s">
        <v>31</v>
      </c>
      <c r="G1033" t="s">
        <v>40</v>
      </c>
      <c r="H1033" s="1">
        <v>44784</v>
      </c>
      <c r="I1033" t="s">
        <v>1209</v>
      </c>
      <c r="J1033" s="10" t="s">
        <v>71</v>
      </c>
      <c r="K1033" t="s">
        <v>86</v>
      </c>
      <c r="L1033" t="s">
        <v>209</v>
      </c>
    </row>
    <row r="1034" spans="1:12" x14ac:dyDescent="0.25">
      <c r="A1034" t="s">
        <v>1210</v>
      </c>
      <c r="B1034" s="2">
        <v>6017</v>
      </c>
      <c r="C1034" s="2">
        <v>2230</v>
      </c>
      <c r="D1034">
        <v>13</v>
      </c>
      <c r="E1034" t="s">
        <v>13</v>
      </c>
      <c r="F1034" t="s">
        <v>28</v>
      </c>
      <c r="G1034" t="s">
        <v>32</v>
      </c>
      <c r="H1034" s="1">
        <v>45142</v>
      </c>
      <c r="I1034" t="s">
        <v>1211</v>
      </c>
      <c r="J1034" s="10" t="s">
        <v>21</v>
      </c>
      <c r="K1034" t="s">
        <v>172</v>
      </c>
      <c r="L1034" t="s">
        <v>121</v>
      </c>
    </row>
    <row r="1035" spans="1:12" x14ac:dyDescent="0.25">
      <c r="A1035" t="s">
        <v>1212</v>
      </c>
      <c r="B1035" s="2">
        <v>4904</v>
      </c>
      <c r="C1035" s="2">
        <v>469</v>
      </c>
      <c r="D1035">
        <v>2</v>
      </c>
      <c r="E1035" t="s">
        <v>30</v>
      </c>
      <c r="F1035" t="s">
        <v>31</v>
      </c>
      <c r="G1035" t="s">
        <v>32</v>
      </c>
      <c r="H1035" s="1">
        <v>43946</v>
      </c>
      <c r="I1035" t="s">
        <v>1213</v>
      </c>
      <c r="J1035" s="10" t="s">
        <v>71</v>
      </c>
      <c r="K1035" t="s">
        <v>72</v>
      </c>
      <c r="L1035" t="s">
        <v>162</v>
      </c>
    </row>
    <row r="1036" spans="1:12" x14ac:dyDescent="0.25">
      <c r="A1036" t="s">
        <v>1212</v>
      </c>
      <c r="B1036" s="2">
        <v>3080</v>
      </c>
      <c r="C1036" s="2">
        <v>737</v>
      </c>
      <c r="D1036">
        <v>6</v>
      </c>
      <c r="E1036" t="s">
        <v>30</v>
      </c>
      <c r="F1036" t="s">
        <v>78</v>
      </c>
      <c r="G1036" t="s">
        <v>15</v>
      </c>
      <c r="H1036" s="1">
        <v>43946</v>
      </c>
      <c r="I1036" t="s">
        <v>1213</v>
      </c>
      <c r="J1036" s="10" t="s">
        <v>71</v>
      </c>
      <c r="K1036" t="s">
        <v>72</v>
      </c>
      <c r="L1036" t="s">
        <v>162</v>
      </c>
    </row>
    <row r="1037" spans="1:12" x14ac:dyDescent="0.25">
      <c r="A1037" t="s">
        <v>1214</v>
      </c>
      <c r="B1037" s="2">
        <v>1992</v>
      </c>
      <c r="C1037" s="2">
        <v>355</v>
      </c>
      <c r="D1037">
        <v>2</v>
      </c>
      <c r="E1037" t="s">
        <v>13</v>
      </c>
      <c r="F1037" t="s">
        <v>82</v>
      </c>
      <c r="G1037" t="s">
        <v>65</v>
      </c>
      <c r="H1037" s="1">
        <v>45640</v>
      </c>
      <c r="I1037" t="s">
        <v>1215</v>
      </c>
      <c r="J1037" s="10" t="s">
        <v>17</v>
      </c>
      <c r="K1037" t="s">
        <v>150</v>
      </c>
      <c r="L1037" t="s">
        <v>23</v>
      </c>
    </row>
    <row r="1038" spans="1:12" x14ac:dyDescent="0.25">
      <c r="A1038" t="s">
        <v>1216</v>
      </c>
      <c r="B1038" s="2">
        <v>5346</v>
      </c>
      <c r="C1038" s="2">
        <v>1246</v>
      </c>
      <c r="D1038">
        <v>17</v>
      </c>
      <c r="E1038" t="s">
        <v>45</v>
      </c>
      <c r="F1038" t="s">
        <v>60</v>
      </c>
      <c r="G1038" t="s">
        <v>40</v>
      </c>
      <c r="H1038" s="1">
        <v>44767</v>
      </c>
      <c r="I1038" t="s">
        <v>1217</v>
      </c>
      <c r="J1038" s="10" t="s">
        <v>17</v>
      </c>
      <c r="K1038" t="s">
        <v>34</v>
      </c>
      <c r="L1038" t="s">
        <v>418</v>
      </c>
    </row>
    <row r="1039" spans="1:12" x14ac:dyDescent="0.25">
      <c r="A1039" t="s">
        <v>1216</v>
      </c>
      <c r="B1039" s="2">
        <v>5346</v>
      </c>
      <c r="C1039" s="2">
        <v>1246</v>
      </c>
      <c r="D1039">
        <v>17</v>
      </c>
      <c r="E1039" t="s">
        <v>45</v>
      </c>
      <c r="F1039" t="s">
        <v>60</v>
      </c>
      <c r="G1039" t="s">
        <v>40</v>
      </c>
      <c r="H1039" s="1">
        <v>44688</v>
      </c>
      <c r="I1039" t="s">
        <v>1218</v>
      </c>
      <c r="J1039" s="10" t="s">
        <v>17</v>
      </c>
      <c r="K1039" t="s">
        <v>18</v>
      </c>
      <c r="L1039" t="s">
        <v>180</v>
      </c>
    </row>
    <row r="1040" spans="1:12" x14ac:dyDescent="0.25">
      <c r="A1040" t="s">
        <v>1219</v>
      </c>
      <c r="B1040" s="2">
        <v>8422</v>
      </c>
      <c r="C1040" s="2">
        <v>893</v>
      </c>
      <c r="D1040">
        <v>18</v>
      </c>
      <c r="E1040" t="s">
        <v>13</v>
      </c>
      <c r="F1040" t="s">
        <v>28</v>
      </c>
      <c r="G1040" t="s">
        <v>32</v>
      </c>
      <c r="H1040" s="1">
        <v>44784</v>
      </c>
      <c r="I1040" t="s">
        <v>1220</v>
      </c>
      <c r="J1040" s="10" t="s">
        <v>42</v>
      </c>
      <c r="K1040" t="s">
        <v>92</v>
      </c>
      <c r="L1040" t="s">
        <v>209</v>
      </c>
    </row>
    <row r="1041" spans="1:12" x14ac:dyDescent="0.25">
      <c r="A1041" t="s">
        <v>1219</v>
      </c>
      <c r="B1041" s="2">
        <v>8422</v>
      </c>
      <c r="C1041" s="2">
        <v>893</v>
      </c>
      <c r="D1041">
        <v>18</v>
      </c>
      <c r="E1041" t="s">
        <v>13</v>
      </c>
      <c r="F1041" t="s">
        <v>28</v>
      </c>
      <c r="G1041" t="s">
        <v>32</v>
      </c>
      <c r="H1041" s="1">
        <v>44785</v>
      </c>
      <c r="I1041" t="s">
        <v>1221</v>
      </c>
      <c r="J1041" s="10" t="s">
        <v>98</v>
      </c>
      <c r="K1041" t="s">
        <v>99</v>
      </c>
      <c r="L1041" t="s">
        <v>209</v>
      </c>
    </row>
    <row r="1042" spans="1:12" x14ac:dyDescent="0.25">
      <c r="A1042" t="s">
        <v>1219</v>
      </c>
      <c r="B1042" s="2">
        <v>6105</v>
      </c>
      <c r="C1042" s="2">
        <v>1447</v>
      </c>
      <c r="D1042">
        <v>8</v>
      </c>
      <c r="E1042" t="s">
        <v>45</v>
      </c>
      <c r="F1042" t="s">
        <v>109</v>
      </c>
      <c r="G1042" t="s">
        <v>47</v>
      </c>
      <c r="H1042" s="1">
        <v>44784</v>
      </c>
      <c r="I1042" t="s">
        <v>1220</v>
      </c>
      <c r="J1042" s="10" t="s">
        <v>42</v>
      </c>
      <c r="K1042" t="s">
        <v>92</v>
      </c>
      <c r="L1042" t="s">
        <v>209</v>
      </c>
    </row>
    <row r="1043" spans="1:12" x14ac:dyDescent="0.25">
      <c r="A1043" t="s">
        <v>1219</v>
      </c>
      <c r="B1043" s="2">
        <v>6105</v>
      </c>
      <c r="C1043" s="2">
        <v>1447</v>
      </c>
      <c r="D1043">
        <v>8</v>
      </c>
      <c r="E1043" t="s">
        <v>45</v>
      </c>
      <c r="F1043" t="s">
        <v>109</v>
      </c>
      <c r="G1043" t="s">
        <v>47</v>
      </c>
      <c r="H1043" s="1">
        <v>44785</v>
      </c>
      <c r="I1043" t="s">
        <v>1221</v>
      </c>
      <c r="J1043" s="10" t="s">
        <v>98</v>
      </c>
      <c r="K1043" t="s">
        <v>99</v>
      </c>
      <c r="L1043" t="s">
        <v>209</v>
      </c>
    </row>
    <row r="1044" spans="1:12" x14ac:dyDescent="0.25">
      <c r="A1044" t="s">
        <v>1222</v>
      </c>
      <c r="B1044" s="2">
        <v>670</v>
      </c>
      <c r="C1044" s="2">
        <v>85</v>
      </c>
      <c r="D1044">
        <v>9</v>
      </c>
      <c r="E1044" t="s">
        <v>30</v>
      </c>
      <c r="F1044" t="s">
        <v>31</v>
      </c>
      <c r="G1044" t="s">
        <v>40</v>
      </c>
      <c r="H1044" s="1">
        <v>45159</v>
      </c>
      <c r="I1044" t="s">
        <v>1223</v>
      </c>
      <c r="J1044" s="10" t="s">
        <v>71</v>
      </c>
      <c r="K1044" t="s">
        <v>138</v>
      </c>
      <c r="L1044" t="s">
        <v>121</v>
      </c>
    </row>
    <row r="1045" spans="1:12" x14ac:dyDescent="0.25">
      <c r="A1045" t="s">
        <v>1224</v>
      </c>
      <c r="B1045" s="2">
        <v>4057</v>
      </c>
      <c r="C1045" s="2">
        <v>1012</v>
      </c>
      <c r="D1045">
        <v>6</v>
      </c>
      <c r="E1045" t="s">
        <v>13</v>
      </c>
      <c r="F1045" t="s">
        <v>39</v>
      </c>
      <c r="G1045" t="s">
        <v>47</v>
      </c>
      <c r="H1045" s="1">
        <v>44816</v>
      </c>
      <c r="I1045" t="s">
        <v>1225</v>
      </c>
      <c r="J1045" s="10" t="s">
        <v>42</v>
      </c>
      <c r="K1045" t="s">
        <v>75</v>
      </c>
      <c r="L1045" t="s">
        <v>131</v>
      </c>
    </row>
    <row r="1046" spans="1:12" x14ac:dyDescent="0.25">
      <c r="A1046" t="s">
        <v>1226</v>
      </c>
      <c r="B1046" s="2">
        <v>8178</v>
      </c>
      <c r="C1046" s="2">
        <v>2462</v>
      </c>
      <c r="D1046">
        <v>10</v>
      </c>
      <c r="E1046" t="s">
        <v>30</v>
      </c>
      <c r="F1046" t="s">
        <v>31</v>
      </c>
      <c r="G1046" t="s">
        <v>15</v>
      </c>
      <c r="H1046" s="1">
        <v>45158</v>
      </c>
      <c r="I1046" t="s">
        <v>1227</v>
      </c>
      <c r="J1046" s="10" t="s">
        <v>42</v>
      </c>
      <c r="K1046" t="s">
        <v>43</v>
      </c>
      <c r="L1046" t="s">
        <v>121</v>
      </c>
    </row>
    <row r="1047" spans="1:12" x14ac:dyDescent="0.25">
      <c r="A1047" t="s">
        <v>1228</v>
      </c>
      <c r="B1047" s="2">
        <v>8752</v>
      </c>
      <c r="C1047" s="2">
        <v>1686</v>
      </c>
      <c r="D1047">
        <v>9</v>
      </c>
      <c r="E1047" t="s">
        <v>45</v>
      </c>
      <c r="F1047" t="s">
        <v>46</v>
      </c>
      <c r="G1047" t="s">
        <v>32</v>
      </c>
      <c r="H1047" s="1">
        <v>44192</v>
      </c>
      <c r="I1047" t="s">
        <v>1229</v>
      </c>
      <c r="J1047" s="10" t="s">
        <v>98</v>
      </c>
      <c r="K1047" t="s">
        <v>107</v>
      </c>
      <c r="L1047" t="s">
        <v>287</v>
      </c>
    </row>
    <row r="1048" spans="1:12" x14ac:dyDescent="0.25">
      <c r="A1048" t="s">
        <v>1228</v>
      </c>
      <c r="B1048" s="2">
        <v>8752</v>
      </c>
      <c r="C1048" s="2">
        <v>1686</v>
      </c>
      <c r="D1048">
        <v>9</v>
      </c>
      <c r="E1048" t="s">
        <v>45</v>
      </c>
      <c r="F1048" t="s">
        <v>46</v>
      </c>
      <c r="G1048" t="s">
        <v>32</v>
      </c>
      <c r="H1048" s="1">
        <v>45173</v>
      </c>
      <c r="I1048" t="s">
        <v>1230</v>
      </c>
      <c r="J1048" s="10" t="s">
        <v>21</v>
      </c>
      <c r="K1048" t="s">
        <v>172</v>
      </c>
      <c r="L1048" t="s">
        <v>273</v>
      </c>
    </row>
    <row r="1049" spans="1:12" x14ac:dyDescent="0.25">
      <c r="A1049" t="s">
        <v>1228</v>
      </c>
      <c r="B1049" s="2">
        <v>8752</v>
      </c>
      <c r="C1049" s="2">
        <v>1686</v>
      </c>
      <c r="D1049">
        <v>9</v>
      </c>
      <c r="E1049" t="s">
        <v>45</v>
      </c>
      <c r="F1049" t="s">
        <v>46</v>
      </c>
      <c r="G1049" t="s">
        <v>32</v>
      </c>
      <c r="H1049" s="1">
        <v>44569</v>
      </c>
      <c r="I1049" t="s">
        <v>1231</v>
      </c>
      <c r="J1049" s="10" t="s">
        <v>21</v>
      </c>
      <c r="K1049" t="s">
        <v>22</v>
      </c>
      <c r="L1049" t="s">
        <v>87</v>
      </c>
    </row>
    <row r="1050" spans="1:12" x14ac:dyDescent="0.25">
      <c r="A1050" t="s">
        <v>1232</v>
      </c>
      <c r="B1050" s="2">
        <v>8974</v>
      </c>
      <c r="C1050" s="2">
        <v>4441</v>
      </c>
      <c r="D1050">
        <v>16</v>
      </c>
      <c r="E1050" t="s">
        <v>13</v>
      </c>
      <c r="F1050" t="s">
        <v>28</v>
      </c>
      <c r="G1050" t="s">
        <v>40</v>
      </c>
      <c r="H1050" s="1">
        <v>45082</v>
      </c>
      <c r="I1050" t="s">
        <v>1233</v>
      </c>
      <c r="J1050" s="10" t="s">
        <v>25</v>
      </c>
      <c r="K1050" t="s">
        <v>51</v>
      </c>
      <c r="L1050" t="s">
        <v>19</v>
      </c>
    </row>
    <row r="1051" spans="1:12" x14ac:dyDescent="0.25">
      <c r="A1051" t="s">
        <v>1234</v>
      </c>
      <c r="B1051" s="2">
        <v>9090</v>
      </c>
      <c r="C1051" s="2">
        <v>3098</v>
      </c>
      <c r="D1051">
        <v>16</v>
      </c>
      <c r="E1051" t="s">
        <v>13</v>
      </c>
      <c r="F1051" t="s">
        <v>82</v>
      </c>
      <c r="G1051" t="s">
        <v>47</v>
      </c>
      <c r="H1051" s="1">
        <v>44287</v>
      </c>
      <c r="I1051" t="s">
        <v>1235</v>
      </c>
      <c r="J1051" s="10" t="s">
        <v>71</v>
      </c>
      <c r="K1051" t="s">
        <v>72</v>
      </c>
      <c r="L1051" t="s">
        <v>139</v>
      </c>
    </row>
    <row r="1052" spans="1:12" x14ac:dyDescent="0.25">
      <c r="A1052" t="s">
        <v>1234</v>
      </c>
      <c r="B1052" s="2">
        <v>9090</v>
      </c>
      <c r="C1052" s="2">
        <v>3098</v>
      </c>
      <c r="D1052">
        <v>16</v>
      </c>
      <c r="E1052" t="s">
        <v>13</v>
      </c>
      <c r="F1052" t="s">
        <v>82</v>
      </c>
      <c r="G1052" t="s">
        <v>47</v>
      </c>
      <c r="H1052" s="1">
        <v>45440</v>
      </c>
      <c r="I1052" t="s">
        <v>1236</v>
      </c>
      <c r="J1052" s="10" t="s">
        <v>21</v>
      </c>
      <c r="K1052" t="s">
        <v>63</v>
      </c>
      <c r="L1052" t="s">
        <v>35</v>
      </c>
    </row>
    <row r="1053" spans="1:12" x14ac:dyDescent="0.25">
      <c r="A1053" t="s">
        <v>1234</v>
      </c>
      <c r="B1053" s="2">
        <v>851</v>
      </c>
      <c r="C1053" s="2">
        <v>356</v>
      </c>
      <c r="D1053">
        <v>11</v>
      </c>
      <c r="E1053" t="s">
        <v>13</v>
      </c>
      <c r="F1053" t="s">
        <v>14</v>
      </c>
      <c r="G1053" t="s">
        <v>47</v>
      </c>
      <c r="H1053" s="1">
        <v>44287</v>
      </c>
      <c r="I1053" t="s">
        <v>1235</v>
      </c>
      <c r="J1053" s="10" t="s">
        <v>71</v>
      </c>
      <c r="K1053" t="s">
        <v>72</v>
      </c>
      <c r="L1053" t="s">
        <v>139</v>
      </c>
    </row>
    <row r="1054" spans="1:12" x14ac:dyDescent="0.25">
      <c r="A1054" t="s">
        <v>1234</v>
      </c>
      <c r="B1054" s="2">
        <v>851</v>
      </c>
      <c r="C1054" s="2">
        <v>356</v>
      </c>
      <c r="D1054">
        <v>11</v>
      </c>
      <c r="E1054" t="s">
        <v>13</v>
      </c>
      <c r="F1054" t="s">
        <v>14</v>
      </c>
      <c r="G1054" t="s">
        <v>47</v>
      </c>
      <c r="H1054" s="1">
        <v>45440</v>
      </c>
      <c r="I1054" t="s">
        <v>1236</v>
      </c>
      <c r="J1054" s="10" t="s">
        <v>21</v>
      </c>
      <c r="K1054" t="s">
        <v>63</v>
      </c>
      <c r="L1054" t="s">
        <v>35</v>
      </c>
    </row>
    <row r="1055" spans="1:12" x14ac:dyDescent="0.25">
      <c r="A1055" t="s">
        <v>1237</v>
      </c>
      <c r="B1055" s="2">
        <v>5427</v>
      </c>
      <c r="C1055" s="2">
        <v>728</v>
      </c>
      <c r="D1055">
        <v>3</v>
      </c>
      <c r="E1055" t="s">
        <v>13</v>
      </c>
      <c r="F1055" t="s">
        <v>82</v>
      </c>
      <c r="G1055" t="s">
        <v>15</v>
      </c>
      <c r="H1055" s="1">
        <v>44994</v>
      </c>
      <c r="I1055" t="s">
        <v>1238</v>
      </c>
      <c r="J1055" s="10" t="s">
        <v>17</v>
      </c>
      <c r="K1055" t="s">
        <v>18</v>
      </c>
      <c r="L1055" t="s">
        <v>245</v>
      </c>
    </row>
    <row r="1056" spans="1:12" x14ac:dyDescent="0.25">
      <c r="A1056" t="s">
        <v>1239</v>
      </c>
      <c r="B1056" s="2">
        <v>2695</v>
      </c>
      <c r="C1056" s="2">
        <v>914</v>
      </c>
      <c r="D1056">
        <v>15</v>
      </c>
      <c r="E1056" t="s">
        <v>45</v>
      </c>
      <c r="F1056" t="s">
        <v>109</v>
      </c>
      <c r="G1056" t="s">
        <v>32</v>
      </c>
      <c r="H1056" s="1">
        <v>44770</v>
      </c>
      <c r="I1056" t="s">
        <v>1240</v>
      </c>
      <c r="J1056" s="10" t="s">
        <v>21</v>
      </c>
      <c r="K1056" t="s">
        <v>172</v>
      </c>
      <c r="L1056" t="s">
        <v>418</v>
      </c>
    </row>
    <row r="1057" spans="1:12" x14ac:dyDescent="0.25">
      <c r="A1057" t="s">
        <v>1239</v>
      </c>
      <c r="B1057" s="2">
        <v>2695</v>
      </c>
      <c r="C1057" s="2">
        <v>914</v>
      </c>
      <c r="D1057">
        <v>15</v>
      </c>
      <c r="E1057" t="s">
        <v>45</v>
      </c>
      <c r="F1057" t="s">
        <v>109</v>
      </c>
      <c r="G1057" t="s">
        <v>32</v>
      </c>
      <c r="H1057" s="1">
        <v>44364</v>
      </c>
      <c r="I1057" t="s">
        <v>1241</v>
      </c>
      <c r="J1057" s="10" t="s">
        <v>42</v>
      </c>
      <c r="K1057" t="s">
        <v>43</v>
      </c>
      <c r="L1057" t="s">
        <v>125</v>
      </c>
    </row>
    <row r="1058" spans="1:12" x14ac:dyDescent="0.25">
      <c r="A1058" t="s">
        <v>1242</v>
      </c>
      <c r="B1058" s="2">
        <v>2386</v>
      </c>
      <c r="C1058" s="2">
        <v>999</v>
      </c>
      <c r="D1058">
        <v>3</v>
      </c>
      <c r="E1058" t="s">
        <v>30</v>
      </c>
      <c r="F1058" t="s">
        <v>31</v>
      </c>
      <c r="G1058" t="s">
        <v>65</v>
      </c>
      <c r="H1058" s="1">
        <v>45335</v>
      </c>
      <c r="I1058" t="s">
        <v>1243</v>
      </c>
      <c r="J1058" s="10" t="s">
        <v>17</v>
      </c>
      <c r="K1058" t="s">
        <v>18</v>
      </c>
      <c r="L1058" t="s">
        <v>218</v>
      </c>
    </row>
    <row r="1059" spans="1:12" x14ac:dyDescent="0.25">
      <c r="A1059" t="s">
        <v>1244</v>
      </c>
      <c r="B1059" s="2">
        <v>2284</v>
      </c>
      <c r="C1059" s="2">
        <v>149</v>
      </c>
      <c r="D1059">
        <v>20</v>
      </c>
      <c r="E1059" t="s">
        <v>30</v>
      </c>
      <c r="F1059" t="s">
        <v>31</v>
      </c>
      <c r="G1059" t="s">
        <v>32</v>
      </c>
      <c r="H1059" s="1">
        <v>44414</v>
      </c>
      <c r="I1059" t="s">
        <v>1245</v>
      </c>
      <c r="J1059" s="10" t="s">
        <v>25</v>
      </c>
      <c r="K1059" t="s">
        <v>68</v>
      </c>
      <c r="L1059" t="s">
        <v>178</v>
      </c>
    </row>
    <row r="1060" spans="1:12" x14ac:dyDescent="0.25">
      <c r="A1060" t="s">
        <v>1246</v>
      </c>
      <c r="B1060" s="2">
        <v>6034</v>
      </c>
      <c r="C1060" s="2">
        <v>608</v>
      </c>
      <c r="D1060">
        <v>8</v>
      </c>
      <c r="E1060" t="s">
        <v>13</v>
      </c>
      <c r="F1060" t="s">
        <v>82</v>
      </c>
      <c r="G1060" t="s">
        <v>40</v>
      </c>
      <c r="H1060" s="1">
        <v>44682</v>
      </c>
      <c r="I1060" t="s">
        <v>1247</v>
      </c>
      <c r="J1060" s="10" t="s">
        <v>71</v>
      </c>
      <c r="K1060" t="s">
        <v>138</v>
      </c>
      <c r="L1060" t="s">
        <v>180</v>
      </c>
    </row>
    <row r="1061" spans="1:12" x14ac:dyDescent="0.25">
      <c r="A1061" t="s">
        <v>1246</v>
      </c>
      <c r="B1061" s="2">
        <v>8956</v>
      </c>
      <c r="C1061" s="2">
        <v>3359</v>
      </c>
      <c r="D1061">
        <v>13</v>
      </c>
      <c r="E1061" t="s">
        <v>45</v>
      </c>
      <c r="F1061" t="s">
        <v>109</v>
      </c>
      <c r="G1061" t="s">
        <v>47</v>
      </c>
      <c r="H1061" s="1">
        <v>44682</v>
      </c>
      <c r="I1061" t="s">
        <v>1247</v>
      </c>
      <c r="J1061" s="10" t="s">
        <v>71</v>
      </c>
      <c r="K1061" t="s">
        <v>138</v>
      </c>
      <c r="L1061" t="s">
        <v>180</v>
      </c>
    </row>
    <row r="1062" spans="1:12" x14ac:dyDescent="0.25">
      <c r="A1062" t="s">
        <v>1248</v>
      </c>
      <c r="B1062" s="2">
        <v>7122</v>
      </c>
      <c r="C1062" s="2">
        <v>1982</v>
      </c>
      <c r="D1062">
        <v>7</v>
      </c>
      <c r="E1062" t="s">
        <v>30</v>
      </c>
      <c r="F1062" t="s">
        <v>57</v>
      </c>
      <c r="G1062" t="s">
        <v>40</v>
      </c>
      <c r="H1062" s="1">
        <v>45362</v>
      </c>
      <c r="I1062" t="s">
        <v>1249</v>
      </c>
      <c r="J1062" s="10" t="s">
        <v>21</v>
      </c>
      <c r="K1062" t="s">
        <v>172</v>
      </c>
      <c r="L1062" t="s">
        <v>338</v>
      </c>
    </row>
    <row r="1063" spans="1:12" x14ac:dyDescent="0.25">
      <c r="A1063" t="s">
        <v>1250</v>
      </c>
      <c r="B1063" s="2">
        <v>9775</v>
      </c>
      <c r="C1063" s="2">
        <v>4507</v>
      </c>
      <c r="D1063">
        <v>5</v>
      </c>
      <c r="E1063" t="s">
        <v>30</v>
      </c>
      <c r="F1063" t="s">
        <v>57</v>
      </c>
      <c r="G1063" t="s">
        <v>15</v>
      </c>
      <c r="H1063" s="1">
        <v>44018</v>
      </c>
      <c r="I1063" t="s">
        <v>1251</v>
      </c>
      <c r="J1063" s="10" t="s">
        <v>98</v>
      </c>
      <c r="K1063" t="s">
        <v>107</v>
      </c>
      <c r="L1063" t="s">
        <v>462</v>
      </c>
    </row>
    <row r="1064" spans="1:12" x14ac:dyDescent="0.25">
      <c r="A1064" t="s">
        <v>1252</v>
      </c>
      <c r="B1064" s="2">
        <v>3309</v>
      </c>
      <c r="C1064" s="2">
        <v>177</v>
      </c>
      <c r="D1064">
        <v>13</v>
      </c>
      <c r="E1064" t="s">
        <v>45</v>
      </c>
      <c r="F1064" t="s">
        <v>109</v>
      </c>
      <c r="G1064" t="s">
        <v>40</v>
      </c>
      <c r="H1064" s="1">
        <v>44182</v>
      </c>
      <c r="I1064" t="s">
        <v>1253</v>
      </c>
      <c r="J1064" s="10" t="s">
        <v>98</v>
      </c>
      <c r="K1064" t="s">
        <v>117</v>
      </c>
      <c r="L1064" t="s">
        <v>287</v>
      </c>
    </row>
    <row r="1065" spans="1:12" x14ac:dyDescent="0.25">
      <c r="A1065" t="s">
        <v>1254</v>
      </c>
      <c r="B1065" s="2">
        <v>4163</v>
      </c>
      <c r="C1065" s="2">
        <v>897</v>
      </c>
      <c r="D1065">
        <v>14</v>
      </c>
      <c r="E1065" t="s">
        <v>13</v>
      </c>
      <c r="F1065" t="s">
        <v>14</v>
      </c>
      <c r="G1065" t="s">
        <v>65</v>
      </c>
      <c r="H1065" s="1">
        <v>44803</v>
      </c>
      <c r="I1065" t="s">
        <v>1255</v>
      </c>
      <c r="J1065" s="10" t="s">
        <v>21</v>
      </c>
      <c r="K1065" t="s">
        <v>63</v>
      </c>
      <c r="L1065" t="s">
        <v>209</v>
      </c>
    </row>
    <row r="1066" spans="1:12" x14ac:dyDescent="0.25">
      <c r="A1066" t="s">
        <v>1254</v>
      </c>
      <c r="B1066" s="2">
        <v>4163</v>
      </c>
      <c r="C1066" s="2">
        <v>897</v>
      </c>
      <c r="D1066">
        <v>14</v>
      </c>
      <c r="E1066" t="s">
        <v>13</v>
      </c>
      <c r="F1066" t="s">
        <v>14</v>
      </c>
      <c r="G1066" t="s">
        <v>65</v>
      </c>
      <c r="H1066" s="1">
        <v>45715</v>
      </c>
      <c r="I1066" t="s">
        <v>1256</v>
      </c>
      <c r="J1066" s="10" t="s">
        <v>98</v>
      </c>
      <c r="K1066" t="s">
        <v>117</v>
      </c>
      <c r="L1066" t="s">
        <v>73</v>
      </c>
    </row>
    <row r="1067" spans="1:12" x14ac:dyDescent="0.25">
      <c r="A1067" t="s">
        <v>1254</v>
      </c>
      <c r="B1067" s="2">
        <v>4163</v>
      </c>
      <c r="C1067" s="2">
        <v>897</v>
      </c>
      <c r="D1067">
        <v>14</v>
      </c>
      <c r="E1067" t="s">
        <v>13</v>
      </c>
      <c r="F1067" t="s">
        <v>14</v>
      </c>
      <c r="G1067" t="s">
        <v>65</v>
      </c>
      <c r="H1067" s="1">
        <v>44352</v>
      </c>
      <c r="I1067" t="s">
        <v>1257</v>
      </c>
      <c r="J1067" s="10" t="s">
        <v>17</v>
      </c>
      <c r="K1067" t="s">
        <v>34</v>
      </c>
      <c r="L1067" t="s">
        <v>125</v>
      </c>
    </row>
    <row r="1068" spans="1:12" x14ac:dyDescent="0.25">
      <c r="A1068" t="s">
        <v>1258</v>
      </c>
      <c r="B1068" s="2">
        <v>5518</v>
      </c>
      <c r="C1068" s="2">
        <v>867</v>
      </c>
      <c r="D1068">
        <v>7</v>
      </c>
      <c r="E1068" t="s">
        <v>45</v>
      </c>
      <c r="F1068" t="s">
        <v>60</v>
      </c>
      <c r="G1068" t="s">
        <v>15</v>
      </c>
      <c r="H1068" s="1">
        <v>44917</v>
      </c>
      <c r="I1068" t="s">
        <v>1259</v>
      </c>
      <c r="J1068" s="10" t="s">
        <v>71</v>
      </c>
      <c r="K1068" t="s">
        <v>138</v>
      </c>
      <c r="L1068" t="s">
        <v>152</v>
      </c>
    </row>
    <row r="1069" spans="1:12" x14ac:dyDescent="0.25">
      <c r="A1069" t="s">
        <v>1260</v>
      </c>
      <c r="B1069" s="2">
        <v>7566</v>
      </c>
      <c r="C1069" s="2">
        <v>606</v>
      </c>
      <c r="D1069">
        <v>6</v>
      </c>
      <c r="E1069" t="s">
        <v>13</v>
      </c>
      <c r="F1069" t="s">
        <v>82</v>
      </c>
      <c r="G1069" t="s">
        <v>32</v>
      </c>
      <c r="H1069" s="1">
        <v>45682</v>
      </c>
      <c r="I1069" t="s">
        <v>1261</v>
      </c>
      <c r="J1069" s="10" t="s">
        <v>98</v>
      </c>
      <c r="K1069" t="s">
        <v>99</v>
      </c>
      <c r="L1069" t="s">
        <v>308</v>
      </c>
    </row>
    <row r="1070" spans="1:12" x14ac:dyDescent="0.25">
      <c r="A1070" t="s">
        <v>1260</v>
      </c>
      <c r="B1070" s="2">
        <v>7566</v>
      </c>
      <c r="C1070" s="2">
        <v>606</v>
      </c>
      <c r="D1070">
        <v>6</v>
      </c>
      <c r="E1070" t="s">
        <v>13</v>
      </c>
      <c r="F1070" t="s">
        <v>82</v>
      </c>
      <c r="G1070" t="s">
        <v>32</v>
      </c>
      <c r="H1070" s="1">
        <v>45702</v>
      </c>
      <c r="I1070" t="s">
        <v>1262</v>
      </c>
      <c r="J1070" s="10" t="s">
        <v>42</v>
      </c>
      <c r="K1070" t="s">
        <v>75</v>
      </c>
      <c r="L1070" t="s">
        <v>73</v>
      </c>
    </row>
    <row r="1071" spans="1:12" x14ac:dyDescent="0.25">
      <c r="A1071" t="s">
        <v>1263</v>
      </c>
      <c r="B1071" s="2">
        <v>762</v>
      </c>
      <c r="C1071" s="2">
        <v>92</v>
      </c>
      <c r="D1071">
        <v>11</v>
      </c>
      <c r="E1071" t="s">
        <v>13</v>
      </c>
      <c r="F1071" t="s">
        <v>28</v>
      </c>
      <c r="G1071" t="s">
        <v>65</v>
      </c>
      <c r="H1071" s="1">
        <v>44932</v>
      </c>
      <c r="I1071" t="s">
        <v>1264</v>
      </c>
      <c r="J1071" s="10" t="s">
        <v>21</v>
      </c>
      <c r="K1071" t="s">
        <v>63</v>
      </c>
      <c r="L1071" t="s">
        <v>333</v>
      </c>
    </row>
    <row r="1072" spans="1:12" x14ac:dyDescent="0.25">
      <c r="A1072" t="s">
        <v>1265</v>
      </c>
      <c r="B1072" s="2">
        <v>3316</v>
      </c>
      <c r="C1072" s="2">
        <v>126</v>
      </c>
      <c r="D1072">
        <v>6</v>
      </c>
      <c r="E1072" t="s">
        <v>13</v>
      </c>
      <c r="F1072" t="s">
        <v>39</v>
      </c>
      <c r="G1072" t="s">
        <v>65</v>
      </c>
      <c r="H1072" s="1">
        <v>44115</v>
      </c>
      <c r="I1072" t="s">
        <v>1266</v>
      </c>
      <c r="J1072" s="10" t="s">
        <v>98</v>
      </c>
      <c r="K1072" t="s">
        <v>107</v>
      </c>
      <c r="L1072" t="s">
        <v>119</v>
      </c>
    </row>
    <row r="1073" spans="1:12" x14ac:dyDescent="0.25">
      <c r="A1073" t="s">
        <v>1267</v>
      </c>
      <c r="B1073" s="2">
        <v>5994</v>
      </c>
      <c r="C1073" s="2">
        <v>2826</v>
      </c>
      <c r="D1073">
        <v>9</v>
      </c>
      <c r="E1073" t="s">
        <v>45</v>
      </c>
      <c r="F1073" t="s">
        <v>109</v>
      </c>
      <c r="G1073" t="s">
        <v>40</v>
      </c>
      <c r="H1073" s="1">
        <v>45070</v>
      </c>
      <c r="I1073" t="s">
        <v>1268</v>
      </c>
      <c r="J1073" s="10" t="s">
        <v>42</v>
      </c>
      <c r="K1073" t="s">
        <v>92</v>
      </c>
      <c r="L1073" t="s">
        <v>127</v>
      </c>
    </row>
    <row r="1074" spans="1:12" x14ac:dyDescent="0.25">
      <c r="A1074" t="s">
        <v>1267</v>
      </c>
      <c r="B1074" s="2">
        <v>5994</v>
      </c>
      <c r="C1074" s="2">
        <v>2826</v>
      </c>
      <c r="D1074">
        <v>9</v>
      </c>
      <c r="E1074" t="s">
        <v>45</v>
      </c>
      <c r="F1074" t="s">
        <v>109</v>
      </c>
      <c r="G1074" t="s">
        <v>40</v>
      </c>
      <c r="H1074" s="1">
        <v>45363</v>
      </c>
      <c r="I1074" t="s">
        <v>1269</v>
      </c>
      <c r="J1074" s="10" t="s">
        <v>42</v>
      </c>
      <c r="K1074" t="s">
        <v>43</v>
      </c>
      <c r="L1074" t="s">
        <v>338</v>
      </c>
    </row>
    <row r="1075" spans="1:12" x14ac:dyDescent="0.25">
      <c r="A1075" t="s">
        <v>1267</v>
      </c>
      <c r="B1075" s="2">
        <v>5994</v>
      </c>
      <c r="C1075" s="2">
        <v>2826</v>
      </c>
      <c r="D1075">
        <v>9</v>
      </c>
      <c r="E1075" t="s">
        <v>45</v>
      </c>
      <c r="F1075" t="s">
        <v>109</v>
      </c>
      <c r="G1075" t="s">
        <v>40</v>
      </c>
      <c r="H1075" s="1">
        <v>45368</v>
      </c>
      <c r="I1075" t="s">
        <v>1270</v>
      </c>
      <c r="J1075" s="10" t="s">
        <v>25</v>
      </c>
      <c r="K1075" t="s">
        <v>51</v>
      </c>
      <c r="L1075" t="s">
        <v>338</v>
      </c>
    </row>
    <row r="1076" spans="1:12" x14ac:dyDescent="0.25">
      <c r="A1076" t="s">
        <v>1271</v>
      </c>
      <c r="B1076" s="2">
        <v>3854</v>
      </c>
      <c r="C1076" s="2">
        <v>245</v>
      </c>
      <c r="D1076">
        <v>19</v>
      </c>
      <c r="E1076" t="s">
        <v>13</v>
      </c>
      <c r="F1076" t="s">
        <v>39</v>
      </c>
      <c r="G1076" t="s">
        <v>65</v>
      </c>
      <c r="H1076" s="1">
        <v>44698</v>
      </c>
      <c r="I1076" t="s">
        <v>1272</v>
      </c>
      <c r="J1076" s="10" t="s">
        <v>98</v>
      </c>
      <c r="K1076" t="s">
        <v>99</v>
      </c>
      <c r="L1076" t="s">
        <v>180</v>
      </c>
    </row>
    <row r="1077" spans="1:12" x14ac:dyDescent="0.25">
      <c r="A1077" t="s">
        <v>1273</v>
      </c>
      <c r="B1077" s="2">
        <v>7019</v>
      </c>
      <c r="C1077" s="2">
        <v>2677</v>
      </c>
      <c r="D1077">
        <v>15</v>
      </c>
      <c r="E1077" t="s">
        <v>30</v>
      </c>
      <c r="F1077" t="s">
        <v>57</v>
      </c>
      <c r="G1077" t="s">
        <v>15</v>
      </c>
      <c r="H1077" s="1">
        <v>44186</v>
      </c>
      <c r="I1077" t="s">
        <v>1274</v>
      </c>
      <c r="J1077" s="10" t="s">
        <v>17</v>
      </c>
      <c r="K1077" t="s">
        <v>18</v>
      </c>
      <c r="L1077" t="s">
        <v>287</v>
      </c>
    </row>
    <row r="1078" spans="1:12" x14ac:dyDescent="0.25">
      <c r="A1078" t="s">
        <v>1275</v>
      </c>
      <c r="B1078" s="2">
        <v>5954</v>
      </c>
      <c r="C1078" s="2">
        <v>2640</v>
      </c>
      <c r="D1078">
        <v>14</v>
      </c>
      <c r="E1078" t="s">
        <v>13</v>
      </c>
      <c r="F1078" t="s">
        <v>39</v>
      </c>
      <c r="G1078" t="s">
        <v>47</v>
      </c>
      <c r="H1078" s="1">
        <v>44432</v>
      </c>
      <c r="I1078" t="s">
        <v>1276</v>
      </c>
      <c r="J1078" s="10" t="s">
        <v>25</v>
      </c>
      <c r="K1078" t="s">
        <v>51</v>
      </c>
      <c r="L1078" t="s">
        <v>178</v>
      </c>
    </row>
    <row r="1079" spans="1:12" x14ac:dyDescent="0.25">
      <c r="A1079" t="s">
        <v>1275</v>
      </c>
      <c r="B1079" s="2">
        <v>5954</v>
      </c>
      <c r="C1079" s="2">
        <v>2640</v>
      </c>
      <c r="D1079">
        <v>14</v>
      </c>
      <c r="E1079" t="s">
        <v>13</v>
      </c>
      <c r="F1079" t="s">
        <v>39</v>
      </c>
      <c r="G1079" t="s">
        <v>47</v>
      </c>
      <c r="H1079" s="1">
        <v>44856</v>
      </c>
      <c r="I1079" t="s">
        <v>1277</v>
      </c>
      <c r="J1079" s="10" t="s">
        <v>71</v>
      </c>
      <c r="K1079" t="s">
        <v>72</v>
      </c>
      <c r="L1079" t="s">
        <v>96</v>
      </c>
    </row>
    <row r="1080" spans="1:12" x14ac:dyDescent="0.25">
      <c r="A1080" t="s">
        <v>1278</v>
      </c>
      <c r="B1080" s="2">
        <v>9752</v>
      </c>
      <c r="C1080" s="2">
        <v>3618</v>
      </c>
      <c r="D1080">
        <v>5</v>
      </c>
      <c r="E1080" t="s">
        <v>45</v>
      </c>
      <c r="F1080" t="s">
        <v>109</v>
      </c>
      <c r="G1080" t="s">
        <v>32</v>
      </c>
      <c r="H1080" s="1">
        <v>45343</v>
      </c>
      <c r="I1080" t="s">
        <v>1279</v>
      </c>
      <c r="J1080" s="10" t="s">
        <v>25</v>
      </c>
      <c r="K1080" t="s">
        <v>68</v>
      </c>
      <c r="L1080" t="s">
        <v>218</v>
      </c>
    </row>
    <row r="1081" spans="1:12" x14ac:dyDescent="0.25">
      <c r="A1081" t="s">
        <v>1278</v>
      </c>
      <c r="B1081" s="2">
        <v>9752</v>
      </c>
      <c r="C1081" s="2">
        <v>3618</v>
      </c>
      <c r="D1081">
        <v>5</v>
      </c>
      <c r="E1081" t="s">
        <v>45</v>
      </c>
      <c r="F1081" t="s">
        <v>109</v>
      </c>
      <c r="G1081" t="s">
        <v>32</v>
      </c>
      <c r="H1081" s="1">
        <v>44865</v>
      </c>
      <c r="I1081" t="s">
        <v>1280</v>
      </c>
      <c r="J1081" s="10" t="s">
        <v>21</v>
      </c>
      <c r="K1081" t="s">
        <v>172</v>
      </c>
      <c r="L1081" t="s">
        <v>96</v>
      </c>
    </row>
    <row r="1082" spans="1:12" x14ac:dyDescent="0.25">
      <c r="A1082" t="s">
        <v>1281</v>
      </c>
      <c r="B1082" s="2">
        <v>5335</v>
      </c>
      <c r="C1082" s="2">
        <v>322</v>
      </c>
      <c r="D1082">
        <v>15</v>
      </c>
      <c r="E1082" t="s">
        <v>13</v>
      </c>
      <c r="F1082" t="s">
        <v>14</v>
      </c>
      <c r="G1082" t="s">
        <v>65</v>
      </c>
      <c r="H1082" s="1">
        <v>44696</v>
      </c>
      <c r="I1082" t="s">
        <v>1282</v>
      </c>
      <c r="J1082" s="10" t="s">
        <v>25</v>
      </c>
      <c r="K1082" t="s">
        <v>51</v>
      </c>
      <c r="L1082" t="s">
        <v>180</v>
      </c>
    </row>
    <row r="1083" spans="1:12" x14ac:dyDescent="0.25">
      <c r="A1083" t="s">
        <v>1283</v>
      </c>
      <c r="B1083" s="2">
        <v>1454</v>
      </c>
      <c r="C1083" s="2">
        <v>80</v>
      </c>
      <c r="D1083">
        <v>20</v>
      </c>
      <c r="E1083" t="s">
        <v>13</v>
      </c>
      <c r="F1083" t="s">
        <v>14</v>
      </c>
      <c r="G1083" t="s">
        <v>47</v>
      </c>
      <c r="H1083" s="1">
        <v>44764</v>
      </c>
      <c r="I1083" t="s">
        <v>1284</v>
      </c>
      <c r="J1083" s="10" t="s">
        <v>25</v>
      </c>
      <c r="K1083" t="s">
        <v>68</v>
      </c>
      <c r="L1083" t="s">
        <v>418</v>
      </c>
    </row>
    <row r="1084" spans="1:12" x14ac:dyDescent="0.25">
      <c r="A1084" t="s">
        <v>1285</v>
      </c>
      <c r="B1084" s="2">
        <v>6724</v>
      </c>
      <c r="C1084" s="2">
        <v>1539</v>
      </c>
      <c r="D1084">
        <v>19</v>
      </c>
      <c r="E1084" t="s">
        <v>45</v>
      </c>
      <c r="F1084" t="s">
        <v>109</v>
      </c>
      <c r="G1084" t="s">
        <v>65</v>
      </c>
      <c r="H1084" s="1">
        <v>44543</v>
      </c>
      <c r="I1084" t="s">
        <v>1286</v>
      </c>
      <c r="J1084" s="10" t="s">
        <v>42</v>
      </c>
      <c r="K1084" t="s">
        <v>92</v>
      </c>
      <c r="L1084" t="s">
        <v>90</v>
      </c>
    </row>
    <row r="1085" spans="1:12" x14ac:dyDescent="0.25">
      <c r="A1085" t="s">
        <v>1285</v>
      </c>
      <c r="B1085" s="2">
        <v>6724</v>
      </c>
      <c r="C1085" s="2">
        <v>1539</v>
      </c>
      <c r="D1085">
        <v>19</v>
      </c>
      <c r="E1085" t="s">
        <v>45</v>
      </c>
      <c r="F1085" t="s">
        <v>109</v>
      </c>
      <c r="G1085" t="s">
        <v>65</v>
      </c>
      <c r="H1085" s="1">
        <v>44350</v>
      </c>
      <c r="I1085" t="s">
        <v>1287</v>
      </c>
      <c r="J1085" s="10" t="s">
        <v>71</v>
      </c>
      <c r="K1085" t="s">
        <v>72</v>
      </c>
      <c r="L1085" t="s">
        <v>125</v>
      </c>
    </row>
    <row r="1086" spans="1:12" x14ac:dyDescent="0.25">
      <c r="A1086" t="s">
        <v>1288</v>
      </c>
      <c r="B1086" s="2">
        <v>9874</v>
      </c>
      <c r="C1086" s="2">
        <v>3895</v>
      </c>
      <c r="D1086">
        <v>4</v>
      </c>
      <c r="E1086" t="s">
        <v>30</v>
      </c>
      <c r="F1086" t="s">
        <v>78</v>
      </c>
      <c r="G1086" t="s">
        <v>40</v>
      </c>
      <c r="H1086" s="1">
        <v>45712</v>
      </c>
      <c r="I1086" t="s">
        <v>1289</v>
      </c>
      <c r="J1086" s="10" t="s">
        <v>98</v>
      </c>
      <c r="K1086" t="s">
        <v>117</v>
      </c>
      <c r="L1086" t="s">
        <v>73</v>
      </c>
    </row>
    <row r="1087" spans="1:12" x14ac:dyDescent="0.25">
      <c r="A1087" t="s">
        <v>1290</v>
      </c>
      <c r="B1087" s="2">
        <v>4918</v>
      </c>
      <c r="C1087" s="2">
        <v>1485</v>
      </c>
      <c r="D1087">
        <v>7</v>
      </c>
      <c r="E1087" t="s">
        <v>13</v>
      </c>
      <c r="F1087" t="s">
        <v>82</v>
      </c>
      <c r="G1087" t="s">
        <v>15</v>
      </c>
      <c r="H1087" s="1">
        <v>44959</v>
      </c>
      <c r="I1087" t="s">
        <v>1291</v>
      </c>
      <c r="J1087" s="10" t="s">
        <v>17</v>
      </c>
      <c r="K1087" t="s">
        <v>150</v>
      </c>
      <c r="L1087" t="s">
        <v>93</v>
      </c>
    </row>
    <row r="1088" spans="1:12" x14ac:dyDescent="0.25">
      <c r="A1088" t="s">
        <v>1292</v>
      </c>
      <c r="B1088" s="2">
        <v>3189</v>
      </c>
      <c r="C1088" s="2">
        <v>1180</v>
      </c>
      <c r="D1088">
        <v>19</v>
      </c>
      <c r="E1088" t="s">
        <v>30</v>
      </c>
      <c r="F1088" t="s">
        <v>64</v>
      </c>
      <c r="G1088" t="s">
        <v>47</v>
      </c>
      <c r="H1088" s="1">
        <v>44561</v>
      </c>
      <c r="I1088" t="s">
        <v>1293</v>
      </c>
      <c r="J1088" s="10" t="s">
        <v>25</v>
      </c>
      <c r="K1088" t="s">
        <v>51</v>
      </c>
      <c r="L1088" t="s">
        <v>90</v>
      </c>
    </row>
    <row r="1089" spans="1:12" x14ac:dyDescent="0.25">
      <c r="A1089" t="s">
        <v>1294</v>
      </c>
      <c r="B1089" s="2">
        <v>2684</v>
      </c>
      <c r="C1089" s="2">
        <v>713</v>
      </c>
      <c r="D1089">
        <v>2</v>
      </c>
      <c r="E1089" t="s">
        <v>13</v>
      </c>
      <c r="F1089" t="s">
        <v>14</v>
      </c>
      <c r="G1089" t="s">
        <v>15</v>
      </c>
      <c r="H1089" s="1">
        <v>45458</v>
      </c>
      <c r="I1089" t="s">
        <v>1295</v>
      </c>
      <c r="J1089" s="10" t="s">
        <v>25</v>
      </c>
      <c r="K1089" t="s">
        <v>51</v>
      </c>
      <c r="L1089" t="s">
        <v>262</v>
      </c>
    </row>
    <row r="1090" spans="1:12" x14ac:dyDescent="0.25">
      <c r="A1090" t="s">
        <v>1294</v>
      </c>
      <c r="B1090" s="2">
        <v>2684</v>
      </c>
      <c r="C1090" s="2">
        <v>713</v>
      </c>
      <c r="D1090">
        <v>2</v>
      </c>
      <c r="E1090" t="s">
        <v>13</v>
      </c>
      <c r="F1090" t="s">
        <v>14</v>
      </c>
      <c r="G1090" t="s">
        <v>15</v>
      </c>
      <c r="H1090" s="1">
        <v>44717</v>
      </c>
      <c r="I1090" t="s">
        <v>1296</v>
      </c>
      <c r="J1090" s="10" t="s">
        <v>25</v>
      </c>
      <c r="K1090" t="s">
        <v>26</v>
      </c>
      <c r="L1090" t="s">
        <v>165</v>
      </c>
    </row>
    <row r="1091" spans="1:12" x14ac:dyDescent="0.25">
      <c r="A1091" t="s">
        <v>1294</v>
      </c>
      <c r="B1091" s="2">
        <v>2684</v>
      </c>
      <c r="C1091" s="2">
        <v>713</v>
      </c>
      <c r="D1091">
        <v>2</v>
      </c>
      <c r="E1091" t="s">
        <v>13</v>
      </c>
      <c r="F1091" t="s">
        <v>14</v>
      </c>
      <c r="G1091" t="s">
        <v>15</v>
      </c>
      <c r="H1091" s="1">
        <v>43962</v>
      </c>
      <c r="I1091" t="s">
        <v>1297</v>
      </c>
      <c r="J1091" s="10" t="s">
        <v>71</v>
      </c>
      <c r="K1091" t="s">
        <v>72</v>
      </c>
      <c r="L1091" t="s">
        <v>59</v>
      </c>
    </row>
    <row r="1092" spans="1:12" x14ac:dyDescent="0.25">
      <c r="A1092" t="s">
        <v>1298</v>
      </c>
      <c r="B1092" s="2">
        <v>7626</v>
      </c>
      <c r="C1092" s="2">
        <v>229</v>
      </c>
      <c r="D1092">
        <v>5</v>
      </c>
      <c r="E1092" t="s">
        <v>30</v>
      </c>
      <c r="F1092" t="s">
        <v>31</v>
      </c>
      <c r="G1092" t="s">
        <v>40</v>
      </c>
      <c r="H1092" s="1">
        <v>45333</v>
      </c>
      <c r="I1092" t="s">
        <v>1299</v>
      </c>
      <c r="J1092" s="10" t="s">
        <v>21</v>
      </c>
      <c r="K1092" t="s">
        <v>63</v>
      </c>
      <c r="L1092" t="s">
        <v>218</v>
      </c>
    </row>
    <row r="1093" spans="1:12" x14ac:dyDescent="0.25">
      <c r="A1093" t="s">
        <v>1298</v>
      </c>
      <c r="B1093" s="2">
        <v>7626</v>
      </c>
      <c r="C1093" s="2">
        <v>229</v>
      </c>
      <c r="D1093">
        <v>5</v>
      </c>
      <c r="E1093" t="s">
        <v>30</v>
      </c>
      <c r="F1093" t="s">
        <v>31</v>
      </c>
      <c r="G1093" t="s">
        <v>40</v>
      </c>
      <c r="H1093" s="1">
        <v>44160</v>
      </c>
      <c r="I1093" t="s">
        <v>1300</v>
      </c>
      <c r="J1093" s="10" t="s">
        <v>98</v>
      </c>
      <c r="K1093" t="s">
        <v>99</v>
      </c>
      <c r="L1093" t="s">
        <v>80</v>
      </c>
    </row>
    <row r="1094" spans="1:12" x14ac:dyDescent="0.25">
      <c r="A1094" t="s">
        <v>1301</v>
      </c>
      <c r="B1094" s="2">
        <v>6669</v>
      </c>
      <c r="C1094" s="2">
        <v>3063</v>
      </c>
      <c r="D1094">
        <v>19</v>
      </c>
      <c r="E1094" t="s">
        <v>13</v>
      </c>
      <c r="F1094" t="s">
        <v>28</v>
      </c>
      <c r="G1094" t="s">
        <v>15</v>
      </c>
      <c r="H1094" s="1">
        <v>45150</v>
      </c>
      <c r="I1094" t="s">
        <v>1302</v>
      </c>
      <c r="J1094" s="10" t="s">
        <v>98</v>
      </c>
      <c r="K1094" t="s">
        <v>107</v>
      </c>
      <c r="L1094" t="s">
        <v>121</v>
      </c>
    </row>
    <row r="1095" spans="1:12" x14ac:dyDescent="0.25">
      <c r="A1095" t="s">
        <v>1303</v>
      </c>
      <c r="B1095" s="2">
        <v>6123</v>
      </c>
      <c r="C1095" s="2">
        <v>1686</v>
      </c>
      <c r="D1095">
        <v>3</v>
      </c>
      <c r="E1095" t="s">
        <v>30</v>
      </c>
      <c r="F1095" t="s">
        <v>57</v>
      </c>
      <c r="G1095" t="s">
        <v>47</v>
      </c>
      <c r="H1095" s="1">
        <v>44687</v>
      </c>
      <c r="I1095" t="s">
        <v>1304</v>
      </c>
      <c r="J1095" s="10" t="s">
        <v>98</v>
      </c>
      <c r="K1095" t="s">
        <v>107</v>
      </c>
      <c r="L1095" t="s">
        <v>180</v>
      </c>
    </row>
    <row r="1096" spans="1:12" x14ac:dyDescent="0.25">
      <c r="A1096" t="s">
        <v>1305</v>
      </c>
      <c r="B1096" s="2">
        <v>3265</v>
      </c>
      <c r="C1096" s="2">
        <v>1390</v>
      </c>
      <c r="D1096">
        <v>16</v>
      </c>
      <c r="E1096" t="s">
        <v>30</v>
      </c>
      <c r="F1096" t="s">
        <v>64</v>
      </c>
      <c r="G1096" t="s">
        <v>47</v>
      </c>
      <c r="H1096" s="1">
        <v>45308</v>
      </c>
      <c r="I1096" t="s">
        <v>1306</v>
      </c>
      <c r="J1096" s="10" t="s">
        <v>42</v>
      </c>
      <c r="K1096" t="s">
        <v>43</v>
      </c>
      <c r="L1096" t="s">
        <v>76</v>
      </c>
    </row>
    <row r="1097" spans="1:12" x14ac:dyDescent="0.25">
      <c r="A1097" t="s">
        <v>1307</v>
      </c>
      <c r="B1097" s="2">
        <v>8104</v>
      </c>
      <c r="C1097" s="2">
        <v>1039</v>
      </c>
      <c r="D1097">
        <v>6</v>
      </c>
      <c r="E1097" t="s">
        <v>30</v>
      </c>
      <c r="F1097" t="s">
        <v>57</v>
      </c>
      <c r="G1097" t="s">
        <v>65</v>
      </c>
      <c r="H1097" s="1">
        <v>44524</v>
      </c>
      <c r="I1097" t="s">
        <v>1308</v>
      </c>
      <c r="J1097" s="10" t="s">
        <v>17</v>
      </c>
      <c r="K1097" t="s">
        <v>34</v>
      </c>
      <c r="L1097" t="s">
        <v>175</v>
      </c>
    </row>
    <row r="1098" spans="1:12" x14ac:dyDescent="0.25">
      <c r="A1098" t="s">
        <v>1307</v>
      </c>
      <c r="B1098" s="2">
        <v>8104</v>
      </c>
      <c r="C1098" s="2">
        <v>1039</v>
      </c>
      <c r="D1098">
        <v>6</v>
      </c>
      <c r="E1098" t="s">
        <v>30</v>
      </c>
      <c r="F1098" t="s">
        <v>57</v>
      </c>
      <c r="G1098" t="s">
        <v>65</v>
      </c>
      <c r="H1098" s="1">
        <v>44475</v>
      </c>
      <c r="I1098" t="s">
        <v>1309</v>
      </c>
      <c r="J1098" s="10" t="s">
        <v>17</v>
      </c>
      <c r="K1098" t="s">
        <v>18</v>
      </c>
      <c r="L1098" t="s">
        <v>37</v>
      </c>
    </row>
    <row r="1099" spans="1:12" x14ac:dyDescent="0.25">
      <c r="A1099" t="s">
        <v>1307</v>
      </c>
      <c r="B1099" s="2">
        <v>8104</v>
      </c>
      <c r="C1099" s="2">
        <v>1039</v>
      </c>
      <c r="D1099">
        <v>6</v>
      </c>
      <c r="E1099" t="s">
        <v>30</v>
      </c>
      <c r="F1099" t="s">
        <v>57</v>
      </c>
      <c r="G1099" t="s">
        <v>65</v>
      </c>
      <c r="H1099" s="1">
        <v>45684</v>
      </c>
      <c r="I1099" t="s">
        <v>1310</v>
      </c>
      <c r="J1099" s="10" t="s">
        <v>42</v>
      </c>
      <c r="K1099" t="s">
        <v>92</v>
      </c>
      <c r="L1099" t="s">
        <v>308</v>
      </c>
    </row>
    <row r="1100" spans="1:12" x14ac:dyDescent="0.25">
      <c r="A1100" t="s">
        <v>1311</v>
      </c>
      <c r="B1100" s="2">
        <v>847</v>
      </c>
      <c r="C1100" s="2">
        <v>355</v>
      </c>
      <c r="D1100">
        <v>17</v>
      </c>
      <c r="E1100" t="s">
        <v>45</v>
      </c>
      <c r="F1100" t="s">
        <v>46</v>
      </c>
      <c r="G1100" t="s">
        <v>65</v>
      </c>
      <c r="H1100" s="1">
        <v>44704</v>
      </c>
      <c r="I1100" t="s">
        <v>1312</v>
      </c>
      <c r="J1100" s="10" t="s">
        <v>25</v>
      </c>
      <c r="K1100" t="s">
        <v>26</v>
      </c>
      <c r="L1100" t="s">
        <v>180</v>
      </c>
    </row>
    <row r="1101" spans="1:12" x14ac:dyDescent="0.25">
      <c r="A1101" t="s">
        <v>1311</v>
      </c>
      <c r="B1101" s="2">
        <v>847</v>
      </c>
      <c r="C1101" s="2">
        <v>355</v>
      </c>
      <c r="D1101">
        <v>17</v>
      </c>
      <c r="E1101" t="s">
        <v>45</v>
      </c>
      <c r="F1101" t="s">
        <v>46</v>
      </c>
      <c r="G1101" t="s">
        <v>65</v>
      </c>
      <c r="H1101" s="1">
        <v>45258</v>
      </c>
      <c r="I1101" t="s">
        <v>1313</v>
      </c>
      <c r="J1101" s="10" t="s">
        <v>71</v>
      </c>
      <c r="K1101" t="s">
        <v>86</v>
      </c>
      <c r="L1101" t="s">
        <v>52</v>
      </c>
    </row>
    <row r="1102" spans="1:12" x14ac:dyDescent="0.25">
      <c r="A1102" t="s">
        <v>1311</v>
      </c>
      <c r="B1102" s="2">
        <v>847</v>
      </c>
      <c r="C1102" s="2">
        <v>355</v>
      </c>
      <c r="D1102">
        <v>17</v>
      </c>
      <c r="E1102" t="s">
        <v>45</v>
      </c>
      <c r="F1102" t="s">
        <v>46</v>
      </c>
      <c r="G1102" t="s">
        <v>65</v>
      </c>
      <c r="H1102" s="1">
        <v>44944</v>
      </c>
      <c r="I1102" t="s">
        <v>1314</v>
      </c>
      <c r="J1102" s="10" t="s">
        <v>42</v>
      </c>
      <c r="K1102" t="s">
        <v>92</v>
      </c>
      <c r="L1102" t="s">
        <v>333</v>
      </c>
    </row>
    <row r="1103" spans="1:12" x14ac:dyDescent="0.25">
      <c r="A1103" t="s">
        <v>1315</v>
      </c>
      <c r="B1103" s="2">
        <v>3129</v>
      </c>
      <c r="C1103" s="2">
        <v>55</v>
      </c>
      <c r="D1103">
        <v>9</v>
      </c>
      <c r="E1103" t="s">
        <v>45</v>
      </c>
      <c r="F1103" t="s">
        <v>109</v>
      </c>
      <c r="G1103" t="s">
        <v>32</v>
      </c>
      <c r="H1103" s="1">
        <v>44445</v>
      </c>
      <c r="I1103" t="s">
        <v>1316</v>
      </c>
      <c r="J1103" s="10" t="s">
        <v>21</v>
      </c>
      <c r="K1103" t="s">
        <v>172</v>
      </c>
      <c r="L1103" t="s">
        <v>224</v>
      </c>
    </row>
    <row r="1104" spans="1:12" x14ac:dyDescent="0.25">
      <c r="A1104" t="s">
        <v>1315</v>
      </c>
      <c r="B1104" s="2">
        <v>7821</v>
      </c>
      <c r="C1104" s="2">
        <v>3821</v>
      </c>
      <c r="D1104">
        <v>13</v>
      </c>
      <c r="E1104" t="s">
        <v>13</v>
      </c>
      <c r="F1104" t="s">
        <v>39</v>
      </c>
      <c r="G1104" t="s">
        <v>40</v>
      </c>
      <c r="H1104" s="1">
        <v>44445</v>
      </c>
      <c r="I1104" t="s">
        <v>1316</v>
      </c>
      <c r="J1104" s="10" t="s">
        <v>21</v>
      </c>
      <c r="K1104" t="s">
        <v>172</v>
      </c>
      <c r="L1104" t="s">
        <v>224</v>
      </c>
    </row>
    <row r="1105" spans="1:12" x14ac:dyDescent="0.25">
      <c r="A1105" t="s">
        <v>1317</v>
      </c>
      <c r="B1105" s="2">
        <v>9498</v>
      </c>
      <c r="C1105" s="2">
        <v>256</v>
      </c>
      <c r="D1105">
        <v>12</v>
      </c>
      <c r="E1105" t="s">
        <v>13</v>
      </c>
      <c r="F1105" t="s">
        <v>82</v>
      </c>
      <c r="G1105" t="s">
        <v>65</v>
      </c>
      <c r="H1105" s="1">
        <v>44249</v>
      </c>
      <c r="I1105" t="s">
        <v>1318</v>
      </c>
      <c r="J1105" s="10" t="s">
        <v>21</v>
      </c>
      <c r="K1105" t="s">
        <v>172</v>
      </c>
      <c r="L1105" t="s">
        <v>292</v>
      </c>
    </row>
    <row r="1106" spans="1:12" x14ac:dyDescent="0.25">
      <c r="A1106" t="s">
        <v>1317</v>
      </c>
      <c r="B1106" s="2">
        <v>9498</v>
      </c>
      <c r="C1106" s="2">
        <v>256</v>
      </c>
      <c r="D1106">
        <v>12</v>
      </c>
      <c r="E1106" t="s">
        <v>13</v>
      </c>
      <c r="F1106" t="s">
        <v>82</v>
      </c>
      <c r="G1106" t="s">
        <v>65</v>
      </c>
      <c r="H1106" s="1">
        <v>44475</v>
      </c>
      <c r="I1106" t="s">
        <v>1319</v>
      </c>
      <c r="J1106" s="10" t="s">
        <v>25</v>
      </c>
      <c r="K1106" t="s">
        <v>51</v>
      </c>
      <c r="L1106" t="s">
        <v>37</v>
      </c>
    </row>
    <row r="1107" spans="1:12" x14ac:dyDescent="0.25">
      <c r="A1107" t="s">
        <v>1320</v>
      </c>
      <c r="B1107" s="2">
        <v>5461</v>
      </c>
      <c r="C1107" s="2">
        <v>1214</v>
      </c>
      <c r="D1107">
        <v>7</v>
      </c>
      <c r="E1107" t="s">
        <v>45</v>
      </c>
      <c r="F1107" t="s">
        <v>60</v>
      </c>
      <c r="G1107" t="s">
        <v>47</v>
      </c>
      <c r="H1107" s="1">
        <v>43989</v>
      </c>
      <c r="I1107" t="s">
        <v>1321</v>
      </c>
      <c r="J1107" s="10" t="s">
        <v>25</v>
      </c>
      <c r="K1107" t="s">
        <v>68</v>
      </c>
      <c r="L1107" t="s">
        <v>313</v>
      </c>
    </row>
    <row r="1108" spans="1:12" x14ac:dyDescent="0.25">
      <c r="A1108" t="s">
        <v>1322</v>
      </c>
      <c r="B1108" s="2">
        <v>3084</v>
      </c>
      <c r="C1108" s="2">
        <v>611</v>
      </c>
      <c r="D1108">
        <v>19</v>
      </c>
      <c r="E1108" t="s">
        <v>45</v>
      </c>
      <c r="F1108" t="s">
        <v>109</v>
      </c>
      <c r="G1108" t="s">
        <v>15</v>
      </c>
      <c r="H1108" s="1">
        <v>45433</v>
      </c>
      <c r="I1108" t="s">
        <v>1323</v>
      </c>
      <c r="J1108" s="10" t="s">
        <v>71</v>
      </c>
      <c r="K1108" t="s">
        <v>72</v>
      </c>
      <c r="L1108" t="s">
        <v>35</v>
      </c>
    </row>
    <row r="1109" spans="1:12" x14ac:dyDescent="0.25">
      <c r="A1109" t="s">
        <v>1324</v>
      </c>
      <c r="B1109" s="2">
        <v>6087</v>
      </c>
      <c r="C1109" s="2">
        <v>3043</v>
      </c>
      <c r="D1109">
        <v>1</v>
      </c>
      <c r="E1109" t="s">
        <v>45</v>
      </c>
      <c r="F1109" t="s">
        <v>60</v>
      </c>
      <c r="G1109" t="s">
        <v>65</v>
      </c>
      <c r="H1109" s="1">
        <v>44048</v>
      </c>
      <c r="I1109" t="s">
        <v>1325</v>
      </c>
      <c r="J1109" s="10" t="s">
        <v>25</v>
      </c>
      <c r="K1109" t="s">
        <v>26</v>
      </c>
      <c r="L1109" t="s">
        <v>185</v>
      </c>
    </row>
    <row r="1110" spans="1:12" x14ac:dyDescent="0.25">
      <c r="A1110" t="s">
        <v>1326</v>
      </c>
      <c r="B1110" s="2">
        <v>611</v>
      </c>
      <c r="C1110" s="2">
        <v>300</v>
      </c>
      <c r="D1110">
        <v>3</v>
      </c>
      <c r="E1110" t="s">
        <v>45</v>
      </c>
      <c r="F1110" t="s">
        <v>109</v>
      </c>
      <c r="G1110" t="s">
        <v>47</v>
      </c>
      <c r="H1110" s="1">
        <v>44119</v>
      </c>
      <c r="I1110" t="s">
        <v>1327</v>
      </c>
      <c r="J1110" s="10" t="s">
        <v>21</v>
      </c>
      <c r="K1110" t="s">
        <v>172</v>
      </c>
      <c r="L1110" t="s">
        <v>119</v>
      </c>
    </row>
    <row r="1111" spans="1:12" x14ac:dyDescent="0.25">
      <c r="A1111" t="s">
        <v>1328</v>
      </c>
      <c r="B1111" s="2">
        <v>9909</v>
      </c>
      <c r="C1111" s="2">
        <v>2999</v>
      </c>
      <c r="D1111">
        <v>18</v>
      </c>
      <c r="E1111" t="s">
        <v>30</v>
      </c>
      <c r="F1111" t="s">
        <v>57</v>
      </c>
      <c r="G1111" t="s">
        <v>65</v>
      </c>
      <c r="H1111" s="1">
        <v>44331</v>
      </c>
      <c r="I1111" t="s">
        <v>1329</v>
      </c>
      <c r="J1111" s="10" t="s">
        <v>98</v>
      </c>
      <c r="K1111" t="s">
        <v>117</v>
      </c>
      <c r="L1111" t="s">
        <v>108</v>
      </c>
    </row>
    <row r="1112" spans="1:12" x14ac:dyDescent="0.25">
      <c r="A1112" t="s">
        <v>1328</v>
      </c>
      <c r="B1112" s="2">
        <v>9909</v>
      </c>
      <c r="C1112" s="2">
        <v>2999</v>
      </c>
      <c r="D1112">
        <v>18</v>
      </c>
      <c r="E1112" t="s">
        <v>30</v>
      </c>
      <c r="F1112" t="s">
        <v>57</v>
      </c>
      <c r="G1112" t="s">
        <v>65</v>
      </c>
      <c r="H1112" s="1">
        <v>44574</v>
      </c>
      <c r="I1112" t="s">
        <v>1330</v>
      </c>
      <c r="J1112" s="10" t="s">
        <v>71</v>
      </c>
      <c r="K1112" t="s">
        <v>86</v>
      </c>
      <c r="L1112" t="s">
        <v>87</v>
      </c>
    </row>
    <row r="1113" spans="1:12" x14ac:dyDescent="0.25">
      <c r="A1113" t="s">
        <v>1331</v>
      </c>
      <c r="B1113" s="2">
        <v>6485</v>
      </c>
      <c r="C1113" s="2">
        <v>3178</v>
      </c>
      <c r="D1113">
        <v>18</v>
      </c>
      <c r="E1113" t="s">
        <v>45</v>
      </c>
      <c r="F1113" t="s">
        <v>60</v>
      </c>
      <c r="G1113" t="s">
        <v>15</v>
      </c>
      <c r="H1113" s="1">
        <v>45125</v>
      </c>
      <c r="I1113" t="s">
        <v>1332</v>
      </c>
      <c r="J1113" s="10" t="s">
        <v>98</v>
      </c>
      <c r="K1113" t="s">
        <v>99</v>
      </c>
      <c r="L1113" t="s">
        <v>105</v>
      </c>
    </row>
    <row r="1114" spans="1:12" x14ac:dyDescent="0.25">
      <c r="A1114" t="s">
        <v>1333</v>
      </c>
      <c r="B1114" s="2">
        <v>7259</v>
      </c>
      <c r="C1114" s="2">
        <v>1969</v>
      </c>
      <c r="D1114">
        <v>10</v>
      </c>
      <c r="E1114" t="s">
        <v>13</v>
      </c>
      <c r="F1114" t="s">
        <v>39</v>
      </c>
      <c r="G1114" t="s">
        <v>47</v>
      </c>
      <c r="H1114" s="1">
        <v>44903</v>
      </c>
      <c r="I1114" t="s">
        <v>1334</v>
      </c>
      <c r="J1114" s="10" t="s">
        <v>21</v>
      </c>
      <c r="K1114" t="s">
        <v>63</v>
      </c>
      <c r="L1114" t="s">
        <v>152</v>
      </c>
    </row>
    <row r="1115" spans="1:12" x14ac:dyDescent="0.25">
      <c r="A1115" t="s">
        <v>1335</v>
      </c>
      <c r="B1115" s="2">
        <v>3333</v>
      </c>
      <c r="C1115" s="2">
        <v>700</v>
      </c>
      <c r="D1115">
        <v>18</v>
      </c>
      <c r="E1115" t="s">
        <v>13</v>
      </c>
      <c r="F1115" t="s">
        <v>28</v>
      </c>
      <c r="G1115" t="s">
        <v>65</v>
      </c>
      <c r="H1115" s="1">
        <v>45033</v>
      </c>
      <c r="I1115" t="s">
        <v>1336</v>
      </c>
      <c r="J1115" s="10" t="s">
        <v>17</v>
      </c>
      <c r="K1115" t="s">
        <v>18</v>
      </c>
      <c r="L1115" t="s">
        <v>145</v>
      </c>
    </row>
    <row r="1116" spans="1:12" x14ac:dyDescent="0.25">
      <c r="A1116" t="s">
        <v>1337</v>
      </c>
      <c r="B1116" s="2">
        <v>7786</v>
      </c>
      <c r="C1116" s="2">
        <v>1202</v>
      </c>
      <c r="D1116">
        <v>4</v>
      </c>
      <c r="E1116" t="s">
        <v>45</v>
      </c>
      <c r="F1116" t="s">
        <v>60</v>
      </c>
      <c r="G1116" t="s">
        <v>40</v>
      </c>
      <c r="H1116" s="1">
        <v>44005</v>
      </c>
      <c r="I1116" t="s">
        <v>1338</v>
      </c>
      <c r="J1116" s="10" t="s">
        <v>21</v>
      </c>
      <c r="K1116" t="s">
        <v>172</v>
      </c>
      <c r="L1116" t="s">
        <v>313</v>
      </c>
    </row>
    <row r="1117" spans="1:12" x14ac:dyDescent="0.25">
      <c r="A1117" t="s">
        <v>1339</v>
      </c>
      <c r="B1117" s="2">
        <v>7644</v>
      </c>
      <c r="C1117" s="2">
        <v>2428</v>
      </c>
      <c r="D1117">
        <v>6</v>
      </c>
      <c r="E1117" t="s">
        <v>13</v>
      </c>
      <c r="F1117" t="s">
        <v>82</v>
      </c>
      <c r="G1117" t="s">
        <v>32</v>
      </c>
      <c r="H1117" s="1">
        <v>44581</v>
      </c>
      <c r="I1117" t="s">
        <v>1340</v>
      </c>
      <c r="J1117" s="10" t="s">
        <v>21</v>
      </c>
      <c r="K1117" t="s">
        <v>63</v>
      </c>
      <c r="L1117" t="s">
        <v>87</v>
      </c>
    </row>
    <row r="1118" spans="1:12" x14ac:dyDescent="0.25">
      <c r="A1118" t="s">
        <v>1341</v>
      </c>
      <c r="B1118" s="2">
        <v>1476</v>
      </c>
      <c r="C1118" s="2">
        <v>247</v>
      </c>
      <c r="D1118">
        <v>5</v>
      </c>
      <c r="E1118" t="s">
        <v>45</v>
      </c>
      <c r="F1118" t="s">
        <v>109</v>
      </c>
      <c r="G1118" t="s">
        <v>65</v>
      </c>
      <c r="H1118" s="1">
        <v>45248</v>
      </c>
      <c r="I1118" t="s">
        <v>1342</v>
      </c>
      <c r="J1118" s="10" t="s">
        <v>42</v>
      </c>
      <c r="K1118" t="s">
        <v>43</v>
      </c>
      <c r="L1118" t="s">
        <v>52</v>
      </c>
    </row>
    <row r="1119" spans="1:12" x14ac:dyDescent="0.25">
      <c r="A1119" t="s">
        <v>1341</v>
      </c>
      <c r="B1119" s="2">
        <v>1476</v>
      </c>
      <c r="C1119" s="2">
        <v>247</v>
      </c>
      <c r="D1119">
        <v>5</v>
      </c>
      <c r="E1119" t="s">
        <v>45</v>
      </c>
      <c r="F1119" t="s">
        <v>109</v>
      </c>
      <c r="G1119" t="s">
        <v>65</v>
      </c>
      <c r="H1119" s="1">
        <v>44580</v>
      </c>
      <c r="I1119" t="s">
        <v>1343</v>
      </c>
      <c r="J1119" s="10" t="s">
        <v>42</v>
      </c>
      <c r="K1119" t="s">
        <v>75</v>
      </c>
      <c r="L1119" t="s">
        <v>87</v>
      </c>
    </row>
    <row r="1120" spans="1:12" x14ac:dyDescent="0.25">
      <c r="A1120" t="s">
        <v>1344</v>
      </c>
      <c r="B1120" s="2">
        <v>3445</v>
      </c>
      <c r="C1120" s="2">
        <v>1405</v>
      </c>
      <c r="D1120">
        <v>16</v>
      </c>
      <c r="E1120" t="s">
        <v>45</v>
      </c>
      <c r="F1120" t="s">
        <v>60</v>
      </c>
      <c r="G1120" t="s">
        <v>40</v>
      </c>
      <c r="H1120" s="1">
        <v>44095</v>
      </c>
      <c r="I1120" t="s">
        <v>1345</v>
      </c>
      <c r="J1120" s="10" t="s">
        <v>42</v>
      </c>
      <c r="K1120" t="s">
        <v>92</v>
      </c>
      <c r="L1120" t="s">
        <v>389</v>
      </c>
    </row>
    <row r="1121" spans="1:12" x14ac:dyDescent="0.25">
      <c r="A1121" t="s">
        <v>1344</v>
      </c>
      <c r="B1121" s="2">
        <v>9837</v>
      </c>
      <c r="C1121" s="2">
        <v>384</v>
      </c>
      <c r="D1121">
        <v>1</v>
      </c>
      <c r="E1121" t="s">
        <v>13</v>
      </c>
      <c r="F1121" t="s">
        <v>39</v>
      </c>
      <c r="G1121" t="s">
        <v>15</v>
      </c>
      <c r="H1121" s="1">
        <v>44095</v>
      </c>
      <c r="I1121" t="s">
        <v>1345</v>
      </c>
      <c r="J1121" s="10" t="s">
        <v>42</v>
      </c>
      <c r="K1121" t="s">
        <v>92</v>
      </c>
      <c r="L1121" t="s">
        <v>389</v>
      </c>
    </row>
    <row r="1122" spans="1:12" x14ac:dyDescent="0.25">
      <c r="A1122" t="s">
        <v>1346</v>
      </c>
      <c r="B1122" s="2">
        <v>1314</v>
      </c>
      <c r="C1122" s="2">
        <v>457</v>
      </c>
      <c r="D1122">
        <v>8</v>
      </c>
      <c r="E1122" t="s">
        <v>45</v>
      </c>
      <c r="F1122" t="s">
        <v>60</v>
      </c>
      <c r="G1122" t="s">
        <v>40</v>
      </c>
      <c r="H1122" s="1">
        <v>44358</v>
      </c>
      <c r="I1122" t="s">
        <v>1347</v>
      </c>
      <c r="J1122" s="10" t="s">
        <v>42</v>
      </c>
      <c r="K1122" t="s">
        <v>75</v>
      </c>
      <c r="L1122" t="s">
        <v>125</v>
      </c>
    </row>
    <row r="1123" spans="1:12" x14ac:dyDescent="0.25">
      <c r="A1123" t="s">
        <v>1348</v>
      </c>
      <c r="B1123" s="2">
        <v>5951</v>
      </c>
      <c r="C1123" s="2">
        <v>936</v>
      </c>
      <c r="D1123">
        <v>6</v>
      </c>
      <c r="E1123" t="s">
        <v>13</v>
      </c>
      <c r="F1123" t="s">
        <v>39</v>
      </c>
      <c r="G1123" t="s">
        <v>32</v>
      </c>
      <c r="H1123" s="1">
        <v>45511</v>
      </c>
      <c r="I1123" t="s">
        <v>1349</v>
      </c>
      <c r="J1123" s="10" t="s">
        <v>71</v>
      </c>
      <c r="K1123" t="s">
        <v>72</v>
      </c>
      <c r="L1123" t="s">
        <v>114</v>
      </c>
    </row>
    <row r="1124" spans="1:12" x14ac:dyDescent="0.25">
      <c r="A1124" t="s">
        <v>1348</v>
      </c>
      <c r="B1124" s="2">
        <v>5951</v>
      </c>
      <c r="C1124" s="2">
        <v>936</v>
      </c>
      <c r="D1124">
        <v>6</v>
      </c>
      <c r="E1124" t="s">
        <v>13</v>
      </c>
      <c r="F1124" t="s">
        <v>39</v>
      </c>
      <c r="G1124" t="s">
        <v>32</v>
      </c>
      <c r="H1124" s="1">
        <v>44768</v>
      </c>
      <c r="I1124" t="s">
        <v>1350</v>
      </c>
      <c r="J1124" s="10" t="s">
        <v>98</v>
      </c>
      <c r="K1124" t="s">
        <v>99</v>
      </c>
      <c r="L1124" t="s">
        <v>418</v>
      </c>
    </row>
    <row r="1125" spans="1:12" x14ac:dyDescent="0.25">
      <c r="A1125" t="s">
        <v>1351</v>
      </c>
      <c r="B1125" s="2">
        <v>992</v>
      </c>
      <c r="C1125" s="2">
        <v>177</v>
      </c>
      <c r="D1125">
        <v>6</v>
      </c>
      <c r="E1125" t="s">
        <v>13</v>
      </c>
      <c r="F1125" t="s">
        <v>82</v>
      </c>
      <c r="G1125" t="s">
        <v>15</v>
      </c>
      <c r="H1125" s="1">
        <v>45304</v>
      </c>
      <c r="I1125" t="s">
        <v>1352</v>
      </c>
      <c r="J1125" s="10" t="s">
        <v>42</v>
      </c>
      <c r="K1125" t="s">
        <v>43</v>
      </c>
      <c r="L1125" t="s">
        <v>76</v>
      </c>
    </row>
    <row r="1126" spans="1:12" x14ac:dyDescent="0.25">
      <c r="A1126" t="s">
        <v>1351</v>
      </c>
      <c r="B1126" s="2">
        <v>4699</v>
      </c>
      <c r="C1126" s="2">
        <v>625</v>
      </c>
      <c r="D1126">
        <v>18</v>
      </c>
      <c r="E1126" t="s">
        <v>30</v>
      </c>
      <c r="F1126" t="s">
        <v>57</v>
      </c>
      <c r="G1126" t="s">
        <v>40</v>
      </c>
      <c r="H1126" s="1">
        <v>45304</v>
      </c>
      <c r="I1126" t="s">
        <v>1352</v>
      </c>
      <c r="J1126" s="10" t="s">
        <v>42</v>
      </c>
      <c r="K1126" t="s">
        <v>43</v>
      </c>
      <c r="L1126" t="s">
        <v>76</v>
      </c>
    </row>
    <row r="1127" spans="1:12" x14ac:dyDescent="0.25">
      <c r="A1127" t="s">
        <v>1353</v>
      </c>
      <c r="B1127" s="2">
        <v>5557</v>
      </c>
      <c r="C1127" s="2">
        <v>2114</v>
      </c>
      <c r="D1127">
        <v>17</v>
      </c>
      <c r="E1127" t="s">
        <v>13</v>
      </c>
      <c r="F1127" t="s">
        <v>39</v>
      </c>
      <c r="G1127" t="s">
        <v>40</v>
      </c>
      <c r="H1127" s="1">
        <v>44344</v>
      </c>
      <c r="I1127" t="s">
        <v>1354</v>
      </c>
      <c r="J1127" s="10" t="s">
        <v>98</v>
      </c>
      <c r="K1127" t="s">
        <v>117</v>
      </c>
      <c r="L1127" t="s">
        <v>108</v>
      </c>
    </row>
    <row r="1128" spans="1:12" x14ac:dyDescent="0.25">
      <c r="A1128" t="s">
        <v>1355</v>
      </c>
      <c r="B1128" s="2">
        <v>3436</v>
      </c>
      <c r="C1128" s="2">
        <v>933</v>
      </c>
      <c r="D1128">
        <v>3</v>
      </c>
      <c r="E1128" t="s">
        <v>13</v>
      </c>
      <c r="F1128" t="s">
        <v>14</v>
      </c>
      <c r="G1128" t="s">
        <v>47</v>
      </c>
      <c r="H1128" s="1">
        <v>44360</v>
      </c>
      <c r="I1128" t="s">
        <v>1356</v>
      </c>
      <c r="J1128" s="10" t="s">
        <v>71</v>
      </c>
      <c r="K1128" t="s">
        <v>72</v>
      </c>
      <c r="L1128" t="s">
        <v>125</v>
      </c>
    </row>
    <row r="1129" spans="1:12" x14ac:dyDescent="0.25">
      <c r="A1129" t="s">
        <v>1357</v>
      </c>
      <c r="B1129" s="2">
        <v>9840</v>
      </c>
      <c r="C1129" s="2">
        <v>3870</v>
      </c>
      <c r="D1129">
        <v>11</v>
      </c>
      <c r="E1129" t="s">
        <v>13</v>
      </c>
      <c r="F1129" t="s">
        <v>28</v>
      </c>
      <c r="G1129" t="s">
        <v>32</v>
      </c>
      <c r="H1129" s="1">
        <v>45041</v>
      </c>
      <c r="I1129" t="s">
        <v>1358</v>
      </c>
      <c r="J1129" s="10" t="s">
        <v>71</v>
      </c>
      <c r="K1129" t="s">
        <v>86</v>
      </c>
      <c r="L1129" t="s">
        <v>145</v>
      </c>
    </row>
    <row r="1130" spans="1:12" x14ac:dyDescent="0.25">
      <c r="A1130" t="s">
        <v>1359</v>
      </c>
      <c r="B1130" s="2">
        <v>7620</v>
      </c>
      <c r="C1130" s="2">
        <v>125</v>
      </c>
      <c r="D1130">
        <v>4</v>
      </c>
      <c r="E1130" t="s">
        <v>30</v>
      </c>
      <c r="F1130" t="s">
        <v>64</v>
      </c>
      <c r="G1130" t="s">
        <v>40</v>
      </c>
      <c r="H1130" s="1">
        <v>44382</v>
      </c>
      <c r="I1130" t="s">
        <v>1360</v>
      </c>
      <c r="J1130" s="10" t="s">
        <v>42</v>
      </c>
      <c r="K1130" t="s">
        <v>92</v>
      </c>
      <c r="L1130" t="s">
        <v>27</v>
      </c>
    </row>
    <row r="1131" spans="1:12" x14ac:dyDescent="0.25">
      <c r="A1131" t="s">
        <v>1359</v>
      </c>
      <c r="B1131" s="2">
        <v>7620</v>
      </c>
      <c r="C1131" s="2">
        <v>125</v>
      </c>
      <c r="D1131">
        <v>4</v>
      </c>
      <c r="E1131" t="s">
        <v>30</v>
      </c>
      <c r="F1131" t="s">
        <v>64</v>
      </c>
      <c r="G1131" t="s">
        <v>40</v>
      </c>
      <c r="H1131" s="1">
        <v>45577</v>
      </c>
      <c r="I1131" t="s">
        <v>1361</v>
      </c>
      <c r="J1131" s="10" t="s">
        <v>42</v>
      </c>
      <c r="K1131" t="s">
        <v>92</v>
      </c>
      <c r="L1131" t="s">
        <v>360</v>
      </c>
    </row>
    <row r="1132" spans="1:12" x14ac:dyDescent="0.25">
      <c r="A1132" t="s">
        <v>1362</v>
      </c>
      <c r="B1132" s="2">
        <v>4314</v>
      </c>
      <c r="C1132" s="2">
        <v>1591</v>
      </c>
      <c r="D1132">
        <v>5</v>
      </c>
      <c r="E1132" t="s">
        <v>45</v>
      </c>
      <c r="F1132" t="s">
        <v>46</v>
      </c>
      <c r="G1132" t="s">
        <v>32</v>
      </c>
      <c r="H1132" s="1">
        <v>44473</v>
      </c>
      <c r="I1132" t="s">
        <v>1363</v>
      </c>
      <c r="J1132" s="10" t="s">
        <v>25</v>
      </c>
      <c r="K1132" t="s">
        <v>26</v>
      </c>
      <c r="L1132" t="s">
        <v>37</v>
      </c>
    </row>
    <row r="1133" spans="1:12" x14ac:dyDescent="0.25">
      <c r="A1133" t="s">
        <v>1364</v>
      </c>
      <c r="B1133" s="2">
        <v>8851</v>
      </c>
      <c r="C1133" s="2">
        <v>999</v>
      </c>
      <c r="D1133">
        <v>12</v>
      </c>
      <c r="E1133" t="s">
        <v>13</v>
      </c>
      <c r="F1133" t="s">
        <v>39</v>
      </c>
      <c r="G1133" t="s">
        <v>15</v>
      </c>
      <c r="H1133" s="1">
        <v>45329</v>
      </c>
      <c r="I1133" t="s">
        <v>1365</v>
      </c>
      <c r="J1133" s="10" t="s">
        <v>98</v>
      </c>
      <c r="K1133" t="s">
        <v>107</v>
      </c>
      <c r="L1133" t="s">
        <v>218</v>
      </c>
    </row>
    <row r="1134" spans="1:12" x14ac:dyDescent="0.25">
      <c r="A1134" t="s">
        <v>1366</v>
      </c>
      <c r="B1134" s="2">
        <v>544</v>
      </c>
      <c r="C1134" s="2">
        <v>272</v>
      </c>
      <c r="D1134">
        <v>2</v>
      </c>
      <c r="E1134" t="s">
        <v>13</v>
      </c>
      <c r="F1134" t="s">
        <v>39</v>
      </c>
      <c r="G1134" t="s">
        <v>32</v>
      </c>
      <c r="H1134" s="1">
        <v>44260</v>
      </c>
      <c r="I1134" t="s">
        <v>1367</v>
      </c>
      <c r="J1134" s="10" t="s">
        <v>71</v>
      </c>
      <c r="K1134" t="s">
        <v>138</v>
      </c>
      <c r="L1134" t="s">
        <v>167</v>
      </c>
    </row>
    <row r="1135" spans="1:12" x14ac:dyDescent="0.25">
      <c r="A1135" t="s">
        <v>1366</v>
      </c>
      <c r="B1135" s="2">
        <v>544</v>
      </c>
      <c r="C1135" s="2">
        <v>272</v>
      </c>
      <c r="D1135">
        <v>2</v>
      </c>
      <c r="E1135" t="s">
        <v>13</v>
      </c>
      <c r="F1135" t="s">
        <v>39</v>
      </c>
      <c r="G1135" t="s">
        <v>32</v>
      </c>
      <c r="H1135" s="1">
        <v>45102</v>
      </c>
      <c r="I1135" t="s">
        <v>1368</v>
      </c>
      <c r="J1135" s="10" t="s">
        <v>25</v>
      </c>
      <c r="K1135" t="s">
        <v>26</v>
      </c>
      <c r="L1135" t="s">
        <v>19</v>
      </c>
    </row>
    <row r="1136" spans="1:12" x14ac:dyDescent="0.25">
      <c r="A1136" t="s">
        <v>1369</v>
      </c>
      <c r="B1136" s="2">
        <v>537</v>
      </c>
      <c r="C1136" s="2">
        <v>142</v>
      </c>
      <c r="D1136">
        <v>20</v>
      </c>
      <c r="E1136" t="s">
        <v>30</v>
      </c>
      <c r="F1136" t="s">
        <v>57</v>
      </c>
      <c r="G1136" t="s">
        <v>40</v>
      </c>
      <c r="H1136" s="1">
        <v>44410</v>
      </c>
      <c r="I1136" t="s">
        <v>1370</v>
      </c>
      <c r="J1136" s="10" t="s">
        <v>21</v>
      </c>
      <c r="K1136" t="s">
        <v>172</v>
      </c>
      <c r="L1136" t="s">
        <v>178</v>
      </c>
    </row>
    <row r="1137" spans="1:12" x14ac:dyDescent="0.25">
      <c r="A1137" t="s">
        <v>1371</v>
      </c>
      <c r="B1137" s="2">
        <v>5944</v>
      </c>
      <c r="C1137" s="2">
        <v>2661</v>
      </c>
      <c r="D1137">
        <v>7</v>
      </c>
      <c r="E1137" t="s">
        <v>13</v>
      </c>
      <c r="F1137" t="s">
        <v>39</v>
      </c>
      <c r="G1137" t="s">
        <v>40</v>
      </c>
      <c r="H1137" s="1">
        <v>44637</v>
      </c>
      <c r="I1137" t="s">
        <v>1372</v>
      </c>
      <c r="J1137" s="10" t="s">
        <v>71</v>
      </c>
      <c r="K1137" t="s">
        <v>86</v>
      </c>
      <c r="L1137" t="s">
        <v>134</v>
      </c>
    </row>
    <row r="1138" spans="1:12" x14ac:dyDescent="0.25">
      <c r="A1138" t="s">
        <v>1373</v>
      </c>
      <c r="B1138" s="2">
        <v>2258</v>
      </c>
      <c r="C1138" s="2">
        <v>135</v>
      </c>
      <c r="D1138">
        <v>18</v>
      </c>
      <c r="E1138" t="s">
        <v>13</v>
      </c>
      <c r="F1138" t="s">
        <v>28</v>
      </c>
      <c r="G1138" t="s">
        <v>47</v>
      </c>
      <c r="H1138" s="1">
        <v>45329</v>
      </c>
      <c r="I1138" t="s">
        <v>1374</v>
      </c>
      <c r="J1138" s="10" t="s">
        <v>17</v>
      </c>
      <c r="K1138" t="s">
        <v>18</v>
      </c>
      <c r="L1138" t="s">
        <v>218</v>
      </c>
    </row>
    <row r="1139" spans="1:12" x14ac:dyDescent="0.25">
      <c r="A1139" t="s">
        <v>1373</v>
      </c>
      <c r="B1139" s="2">
        <v>2258</v>
      </c>
      <c r="C1139" s="2">
        <v>135</v>
      </c>
      <c r="D1139">
        <v>18</v>
      </c>
      <c r="E1139" t="s">
        <v>13</v>
      </c>
      <c r="F1139" t="s">
        <v>28</v>
      </c>
      <c r="G1139" t="s">
        <v>47</v>
      </c>
      <c r="H1139" s="1">
        <v>44792</v>
      </c>
      <c r="I1139" t="s">
        <v>1375</v>
      </c>
      <c r="J1139" s="10" t="s">
        <v>42</v>
      </c>
      <c r="K1139" t="s">
        <v>75</v>
      </c>
      <c r="L1139" t="s">
        <v>209</v>
      </c>
    </row>
    <row r="1140" spans="1:12" x14ac:dyDescent="0.25">
      <c r="A1140" t="s">
        <v>1376</v>
      </c>
      <c r="B1140" s="2">
        <v>9609</v>
      </c>
      <c r="C1140" s="2">
        <v>4339</v>
      </c>
      <c r="D1140">
        <v>3</v>
      </c>
      <c r="E1140" t="s">
        <v>45</v>
      </c>
      <c r="F1140" t="s">
        <v>60</v>
      </c>
      <c r="G1140" t="s">
        <v>32</v>
      </c>
      <c r="H1140" s="1">
        <v>45554</v>
      </c>
      <c r="I1140" t="s">
        <v>1377</v>
      </c>
      <c r="J1140" s="10" t="s">
        <v>71</v>
      </c>
      <c r="K1140" t="s">
        <v>138</v>
      </c>
      <c r="L1140" t="s">
        <v>159</v>
      </c>
    </row>
    <row r="1141" spans="1:12" x14ac:dyDescent="0.25">
      <c r="A1141" t="s">
        <v>1376</v>
      </c>
      <c r="B1141" s="2">
        <v>9609</v>
      </c>
      <c r="C1141" s="2">
        <v>4339</v>
      </c>
      <c r="D1141">
        <v>3</v>
      </c>
      <c r="E1141" t="s">
        <v>45</v>
      </c>
      <c r="F1141" t="s">
        <v>60</v>
      </c>
      <c r="G1141" t="s">
        <v>32</v>
      </c>
      <c r="H1141" s="1">
        <v>43926</v>
      </c>
      <c r="I1141" t="s">
        <v>1378</v>
      </c>
      <c r="J1141" s="10" t="s">
        <v>98</v>
      </c>
      <c r="K1141" t="s">
        <v>107</v>
      </c>
      <c r="L1141" t="s">
        <v>162</v>
      </c>
    </row>
    <row r="1142" spans="1:12" x14ac:dyDescent="0.25">
      <c r="A1142" t="s">
        <v>1379</v>
      </c>
      <c r="B1142" s="2">
        <v>9952</v>
      </c>
      <c r="C1142" s="2">
        <v>3301</v>
      </c>
      <c r="D1142">
        <v>15</v>
      </c>
      <c r="E1142" t="s">
        <v>13</v>
      </c>
      <c r="F1142" t="s">
        <v>14</v>
      </c>
      <c r="G1142" t="s">
        <v>32</v>
      </c>
      <c r="H1142" s="1">
        <v>44995</v>
      </c>
      <c r="I1142" t="s">
        <v>1380</v>
      </c>
      <c r="J1142" s="10" t="s">
        <v>71</v>
      </c>
      <c r="K1142" t="s">
        <v>72</v>
      </c>
      <c r="L1142" t="s">
        <v>245</v>
      </c>
    </row>
    <row r="1143" spans="1:12" x14ac:dyDescent="0.25">
      <c r="A1143" t="s">
        <v>1381</v>
      </c>
      <c r="B1143" s="2">
        <v>9873</v>
      </c>
      <c r="C1143" s="2">
        <v>4585</v>
      </c>
      <c r="D1143">
        <v>7</v>
      </c>
      <c r="E1143" t="s">
        <v>30</v>
      </c>
      <c r="F1143" t="s">
        <v>64</v>
      </c>
      <c r="G1143" t="s">
        <v>47</v>
      </c>
      <c r="H1143" s="1">
        <v>44053</v>
      </c>
      <c r="I1143" t="s">
        <v>1382</v>
      </c>
      <c r="J1143" s="10" t="s">
        <v>98</v>
      </c>
      <c r="K1143" t="s">
        <v>99</v>
      </c>
      <c r="L1143" t="s">
        <v>185</v>
      </c>
    </row>
    <row r="1144" spans="1:12" x14ac:dyDescent="0.25">
      <c r="A1144" t="s">
        <v>1383</v>
      </c>
      <c r="B1144" s="2">
        <v>3560</v>
      </c>
      <c r="C1144" s="2">
        <v>1335</v>
      </c>
      <c r="D1144">
        <v>15</v>
      </c>
      <c r="E1144" t="s">
        <v>13</v>
      </c>
      <c r="F1144" t="s">
        <v>14</v>
      </c>
      <c r="G1144" t="s">
        <v>65</v>
      </c>
      <c r="H1144" s="1">
        <v>43950</v>
      </c>
      <c r="I1144" t="s">
        <v>1384</v>
      </c>
      <c r="J1144" s="10" t="s">
        <v>25</v>
      </c>
      <c r="K1144" t="s">
        <v>51</v>
      </c>
      <c r="L1144" t="s">
        <v>162</v>
      </c>
    </row>
    <row r="1145" spans="1:12" x14ac:dyDescent="0.25">
      <c r="A1145" t="s">
        <v>1383</v>
      </c>
      <c r="B1145" s="2">
        <v>3560</v>
      </c>
      <c r="C1145" s="2">
        <v>1335</v>
      </c>
      <c r="D1145">
        <v>15</v>
      </c>
      <c r="E1145" t="s">
        <v>13</v>
      </c>
      <c r="F1145" t="s">
        <v>14</v>
      </c>
      <c r="G1145" t="s">
        <v>65</v>
      </c>
      <c r="H1145" s="1">
        <v>45001</v>
      </c>
      <c r="I1145" t="s">
        <v>1385</v>
      </c>
      <c r="J1145" s="10" t="s">
        <v>21</v>
      </c>
      <c r="K1145" t="s">
        <v>63</v>
      </c>
      <c r="L1145" t="s">
        <v>245</v>
      </c>
    </row>
    <row r="1146" spans="1:12" x14ac:dyDescent="0.25">
      <c r="A1146" t="s">
        <v>1386</v>
      </c>
      <c r="B1146" s="2">
        <v>6528</v>
      </c>
      <c r="C1146" s="2">
        <v>76</v>
      </c>
      <c r="D1146">
        <v>9</v>
      </c>
      <c r="E1146" t="s">
        <v>13</v>
      </c>
      <c r="F1146" t="s">
        <v>82</v>
      </c>
      <c r="G1146" t="s">
        <v>32</v>
      </c>
      <c r="H1146" s="1">
        <v>43955</v>
      </c>
      <c r="I1146" t="s">
        <v>1387</v>
      </c>
      <c r="J1146" s="10" t="s">
        <v>25</v>
      </c>
      <c r="K1146" t="s">
        <v>26</v>
      </c>
      <c r="L1146" t="s">
        <v>59</v>
      </c>
    </row>
    <row r="1147" spans="1:12" x14ac:dyDescent="0.25">
      <c r="A1147" t="s">
        <v>1386</v>
      </c>
      <c r="B1147" s="2">
        <v>8930</v>
      </c>
      <c r="C1147" s="2">
        <v>3374</v>
      </c>
      <c r="D1147">
        <v>12</v>
      </c>
      <c r="E1147" t="s">
        <v>45</v>
      </c>
      <c r="F1147" t="s">
        <v>60</v>
      </c>
      <c r="G1147" t="s">
        <v>32</v>
      </c>
      <c r="H1147" s="1">
        <v>43955</v>
      </c>
      <c r="I1147" t="s">
        <v>1387</v>
      </c>
      <c r="J1147" s="10" t="s">
        <v>25</v>
      </c>
      <c r="K1147" t="s">
        <v>26</v>
      </c>
      <c r="L1147" t="s">
        <v>59</v>
      </c>
    </row>
    <row r="1148" spans="1:12" x14ac:dyDescent="0.25">
      <c r="A1148" t="s">
        <v>1388</v>
      </c>
      <c r="B1148" s="2">
        <v>4521</v>
      </c>
      <c r="C1148" s="2">
        <v>1778</v>
      </c>
      <c r="D1148">
        <v>9</v>
      </c>
      <c r="E1148" t="s">
        <v>30</v>
      </c>
      <c r="F1148" t="s">
        <v>64</v>
      </c>
      <c r="G1148" t="s">
        <v>32</v>
      </c>
      <c r="H1148" s="1">
        <v>45580</v>
      </c>
      <c r="I1148" t="s">
        <v>1389</v>
      </c>
      <c r="J1148" s="10" t="s">
        <v>17</v>
      </c>
      <c r="K1148" t="s">
        <v>150</v>
      </c>
      <c r="L1148" t="s">
        <v>360</v>
      </c>
    </row>
    <row r="1149" spans="1:12" x14ac:dyDescent="0.25">
      <c r="A1149" t="s">
        <v>1390</v>
      </c>
      <c r="B1149" s="2">
        <v>7091</v>
      </c>
      <c r="C1149" s="2">
        <v>2317</v>
      </c>
      <c r="D1149">
        <v>10</v>
      </c>
      <c r="E1149" t="s">
        <v>45</v>
      </c>
      <c r="F1149" t="s">
        <v>60</v>
      </c>
      <c r="G1149" t="s">
        <v>47</v>
      </c>
      <c r="H1149" s="1">
        <v>44721</v>
      </c>
      <c r="I1149" t="s">
        <v>1391</v>
      </c>
      <c r="J1149" s="10" t="s">
        <v>42</v>
      </c>
      <c r="K1149" t="s">
        <v>75</v>
      </c>
      <c r="L1149" t="s">
        <v>165</v>
      </c>
    </row>
    <row r="1150" spans="1:12" x14ac:dyDescent="0.25">
      <c r="A1150" t="s">
        <v>1392</v>
      </c>
      <c r="B1150" s="2">
        <v>2101</v>
      </c>
      <c r="C1150" s="2">
        <v>287</v>
      </c>
      <c r="D1150">
        <v>8</v>
      </c>
      <c r="E1150" t="s">
        <v>30</v>
      </c>
      <c r="F1150" t="s">
        <v>31</v>
      </c>
      <c r="G1150" t="s">
        <v>65</v>
      </c>
      <c r="H1150" s="1">
        <v>44016</v>
      </c>
      <c r="I1150" t="s">
        <v>703</v>
      </c>
      <c r="J1150" s="10" t="s">
        <v>98</v>
      </c>
      <c r="K1150" t="s">
        <v>117</v>
      </c>
      <c r="L1150" t="s">
        <v>462</v>
      </c>
    </row>
    <row r="1151" spans="1:12" x14ac:dyDescent="0.25">
      <c r="A1151" t="s">
        <v>1392</v>
      </c>
      <c r="B1151" s="2">
        <v>2101</v>
      </c>
      <c r="C1151" s="2">
        <v>287</v>
      </c>
      <c r="D1151">
        <v>8</v>
      </c>
      <c r="E1151" t="s">
        <v>30</v>
      </c>
      <c r="F1151" t="s">
        <v>31</v>
      </c>
      <c r="G1151" t="s">
        <v>65</v>
      </c>
      <c r="H1151" s="1">
        <v>45025</v>
      </c>
      <c r="I1151" t="s">
        <v>1393</v>
      </c>
      <c r="J1151" s="10" t="s">
        <v>21</v>
      </c>
      <c r="K1151" t="s">
        <v>22</v>
      </c>
      <c r="L1151" t="s">
        <v>145</v>
      </c>
    </row>
    <row r="1152" spans="1:12" x14ac:dyDescent="0.25">
      <c r="A1152" t="s">
        <v>1394</v>
      </c>
      <c r="B1152" s="2">
        <v>8644</v>
      </c>
      <c r="C1152" s="2">
        <v>1968</v>
      </c>
      <c r="D1152">
        <v>9</v>
      </c>
      <c r="E1152" t="s">
        <v>30</v>
      </c>
      <c r="F1152" t="s">
        <v>64</v>
      </c>
      <c r="G1152" t="s">
        <v>32</v>
      </c>
      <c r="H1152" s="1">
        <v>45254</v>
      </c>
      <c r="I1152" t="s">
        <v>1395</v>
      </c>
      <c r="J1152" s="10" t="s">
        <v>21</v>
      </c>
      <c r="K1152" t="s">
        <v>22</v>
      </c>
      <c r="L1152" t="s">
        <v>52</v>
      </c>
    </row>
    <row r="1153" spans="1:12" x14ac:dyDescent="0.25">
      <c r="A1153" t="s">
        <v>1396</v>
      </c>
      <c r="B1153" s="2">
        <v>6672</v>
      </c>
      <c r="C1153" s="2">
        <v>3319</v>
      </c>
      <c r="D1153">
        <v>4</v>
      </c>
      <c r="E1153" t="s">
        <v>45</v>
      </c>
      <c r="F1153" t="s">
        <v>46</v>
      </c>
      <c r="G1153" t="s">
        <v>15</v>
      </c>
      <c r="H1153" s="1">
        <v>45259</v>
      </c>
      <c r="I1153" t="s">
        <v>1397</v>
      </c>
      <c r="J1153" s="10" t="s">
        <v>71</v>
      </c>
      <c r="K1153" t="s">
        <v>72</v>
      </c>
      <c r="L1153" t="s">
        <v>52</v>
      </c>
    </row>
    <row r="1154" spans="1:12" x14ac:dyDescent="0.25">
      <c r="A1154" t="s">
        <v>1396</v>
      </c>
      <c r="B1154" s="2">
        <v>6672</v>
      </c>
      <c r="C1154" s="2">
        <v>3319</v>
      </c>
      <c r="D1154">
        <v>4</v>
      </c>
      <c r="E1154" t="s">
        <v>45</v>
      </c>
      <c r="F1154" t="s">
        <v>46</v>
      </c>
      <c r="G1154" t="s">
        <v>15</v>
      </c>
      <c r="H1154" s="1">
        <v>45432</v>
      </c>
      <c r="I1154" t="s">
        <v>1398</v>
      </c>
      <c r="J1154" s="10" t="s">
        <v>42</v>
      </c>
      <c r="K1154" t="s">
        <v>75</v>
      </c>
      <c r="L1154" t="s">
        <v>35</v>
      </c>
    </row>
    <row r="1155" spans="1:12" x14ac:dyDescent="0.25">
      <c r="A1155" t="s">
        <v>1399</v>
      </c>
      <c r="B1155" s="2">
        <v>4699</v>
      </c>
      <c r="C1155" s="2">
        <v>103</v>
      </c>
      <c r="D1155">
        <v>12</v>
      </c>
      <c r="E1155" t="s">
        <v>30</v>
      </c>
      <c r="F1155" t="s">
        <v>78</v>
      </c>
      <c r="G1155" t="s">
        <v>15</v>
      </c>
      <c r="H1155" s="1">
        <v>45433</v>
      </c>
      <c r="I1155" t="s">
        <v>1400</v>
      </c>
      <c r="J1155" s="10" t="s">
        <v>98</v>
      </c>
      <c r="K1155" t="s">
        <v>107</v>
      </c>
      <c r="L1155" t="s">
        <v>35</v>
      </c>
    </row>
    <row r="1156" spans="1:12" x14ac:dyDescent="0.25">
      <c r="A1156" t="s">
        <v>1401</v>
      </c>
      <c r="B1156" s="2">
        <v>4897</v>
      </c>
      <c r="C1156" s="2">
        <v>1001</v>
      </c>
      <c r="D1156">
        <v>14</v>
      </c>
      <c r="E1156" t="s">
        <v>45</v>
      </c>
      <c r="F1156" t="s">
        <v>60</v>
      </c>
      <c r="G1156" t="s">
        <v>32</v>
      </c>
      <c r="H1156" s="1">
        <v>44537</v>
      </c>
      <c r="I1156" t="s">
        <v>1402</v>
      </c>
      <c r="J1156" s="10" t="s">
        <v>71</v>
      </c>
      <c r="K1156" t="s">
        <v>138</v>
      </c>
      <c r="L1156" t="s">
        <v>90</v>
      </c>
    </row>
    <row r="1157" spans="1:12" x14ac:dyDescent="0.25">
      <c r="A1157" t="s">
        <v>1401</v>
      </c>
      <c r="B1157" s="2">
        <v>4897</v>
      </c>
      <c r="C1157" s="2">
        <v>1001</v>
      </c>
      <c r="D1157">
        <v>14</v>
      </c>
      <c r="E1157" t="s">
        <v>45</v>
      </c>
      <c r="F1157" t="s">
        <v>60</v>
      </c>
      <c r="G1157" t="s">
        <v>32</v>
      </c>
      <c r="H1157" s="1">
        <v>45663</v>
      </c>
      <c r="I1157" t="s">
        <v>1403</v>
      </c>
      <c r="J1157" s="10" t="s">
        <v>98</v>
      </c>
      <c r="K1157" t="s">
        <v>107</v>
      </c>
      <c r="L1157" t="s">
        <v>308</v>
      </c>
    </row>
    <row r="1158" spans="1:12" x14ac:dyDescent="0.25">
      <c r="A1158" t="s">
        <v>1404</v>
      </c>
      <c r="B1158" s="2">
        <v>5460</v>
      </c>
      <c r="C1158" s="2">
        <v>2088</v>
      </c>
      <c r="D1158">
        <v>14</v>
      </c>
      <c r="E1158" t="s">
        <v>45</v>
      </c>
      <c r="F1158" t="s">
        <v>46</v>
      </c>
      <c r="G1158" t="s">
        <v>32</v>
      </c>
      <c r="H1158" s="1">
        <v>44755</v>
      </c>
      <c r="I1158" t="s">
        <v>1405</v>
      </c>
      <c r="J1158" s="10" t="s">
        <v>25</v>
      </c>
      <c r="K1158" t="s">
        <v>26</v>
      </c>
      <c r="L1158" t="s">
        <v>418</v>
      </c>
    </row>
    <row r="1159" spans="1:12" x14ac:dyDescent="0.25">
      <c r="A1159" t="s">
        <v>1404</v>
      </c>
      <c r="B1159" s="2">
        <v>5460</v>
      </c>
      <c r="C1159" s="2">
        <v>2088</v>
      </c>
      <c r="D1159">
        <v>14</v>
      </c>
      <c r="E1159" t="s">
        <v>45</v>
      </c>
      <c r="F1159" t="s">
        <v>46</v>
      </c>
      <c r="G1159" t="s">
        <v>32</v>
      </c>
      <c r="H1159" s="1">
        <v>43940</v>
      </c>
      <c r="I1159" t="s">
        <v>1406</v>
      </c>
      <c r="J1159" s="10" t="s">
        <v>98</v>
      </c>
      <c r="K1159" t="s">
        <v>107</v>
      </c>
      <c r="L1159" t="s">
        <v>162</v>
      </c>
    </row>
    <row r="1160" spans="1:12" x14ac:dyDescent="0.25">
      <c r="A1160" t="s">
        <v>1407</v>
      </c>
      <c r="B1160" s="2">
        <v>9272</v>
      </c>
      <c r="C1160" s="2">
        <v>1771</v>
      </c>
      <c r="D1160">
        <v>19</v>
      </c>
      <c r="E1160" t="s">
        <v>30</v>
      </c>
      <c r="F1160" t="s">
        <v>57</v>
      </c>
      <c r="G1160" t="s">
        <v>15</v>
      </c>
      <c r="H1160" s="1">
        <v>45610</v>
      </c>
      <c r="I1160" t="s">
        <v>1408</v>
      </c>
      <c r="J1160" s="10" t="s">
        <v>21</v>
      </c>
      <c r="K1160" t="s">
        <v>63</v>
      </c>
      <c r="L1160" t="s">
        <v>255</v>
      </c>
    </row>
    <row r="1161" spans="1:12" x14ac:dyDescent="0.25">
      <c r="A1161" t="s">
        <v>1407</v>
      </c>
      <c r="B1161" s="2">
        <v>9272</v>
      </c>
      <c r="C1161" s="2">
        <v>1771</v>
      </c>
      <c r="D1161">
        <v>19</v>
      </c>
      <c r="E1161" t="s">
        <v>30</v>
      </c>
      <c r="F1161" t="s">
        <v>57</v>
      </c>
      <c r="G1161" t="s">
        <v>15</v>
      </c>
      <c r="H1161" s="1">
        <v>43939</v>
      </c>
      <c r="I1161" t="s">
        <v>1409</v>
      </c>
      <c r="J1161" s="10" t="s">
        <v>71</v>
      </c>
      <c r="K1161" t="s">
        <v>72</v>
      </c>
      <c r="L1161" t="s">
        <v>162</v>
      </c>
    </row>
    <row r="1162" spans="1:12" x14ac:dyDescent="0.25">
      <c r="A1162" t="s">
        <v>1410</v>
      </c>
      <c r="B1162" s="2">
        <v>7870</v>
      </c>
      <c r="C1162" s="2">
        <v>1057</v>
      </c>
      <c r="D1162">
        <v>15</v>
      </c>
      <c r="E1162" t="s">
        <v>30</v>
      </c>
      <c r="F1162" t="s">
        <v>31</v>
      </c>
      <c r="G1162" t="s">
        <v>47</v>
      </c>
      <c r="H1162" s="1">
        <v>45217</v>
      </c>
      <c r="I1162" t="s">
        <v>1411</v>
      </c>
      <c r="J1162" s="10" t="s">
        <v>71</v>
      </c>
      <c r="K1162" t="s">
        <v>138</v>
      </c>
      <c r="L1162" t="s">
        <v>442</v>
      </c>
    </row>
    <row r="1163" spans="1:12" x14ac:dyDescent="0.25">
      <c r="A1163" t="s">
        <v>1410</v>
      </c>
      <c r="B1163" s="2">
        <v>7870</v>
      </c>
      <c r="C1163" s="2">
        <v>1057</v>
      </c>
      <c r="D1163">
        <v>15</v>
      </c>
      <c r="E1163" t="s">
        <v>30</v>
      </c>
      <c r="F1163" t="s">
        <v>31</v>
      </c>
      <c r="G1163" t="s">
        <v>47</v>
      </c>
      <c r="H1163" s="1">
        <v>44276</v>
      </c>
      <c r="I1163" t="s">
        <v>1412</v>
      </c>
      <c r="J1163" s="10" t="s">
        <v>98</v>
      </c>
      <c r="K1163" t="s">
        <v>117</v>
      </c>
      <c r="L1163" t="s">
        <v>167</v>
      </c>
    </row>
    <row r="1164" spans="1:12" x14ac:dyDescent="0.25">
      <c r="A1164" t="s">
        <v>1413</v>
      </c>
      <c r="B1164" s="2">
        <v>7992</v>
      </c>
      <c r="C1164" s="2">
        <v>893</v>
      </c>
      <c r="D1164">
        <v>12</v>
      </c>
      <c r="E1164" t="s">
        <v>13</v>
      </c>
      <c r="F1164" t="s">
        <v>39</v>
      </c>
      <c r="G1164" t="s">
        <v>47</v>
      </c>
      <c r="H1164" s="1">
        <v>45548</v>
      </c>
      <c r="I1164" t="s">
        <v>1414</v>
      </c>
      <c r="J1164" s="10" t="s">
        <v>98</v>
      </c>
      <c r="K1164" t="s">
        <v>117</v>
      </c>
      <c r="L1164" t="s">
        <v>159</v>
      </c>
    </row>
    <row r="1165" spans="1:12" x14ac:dyDescent="0.25">
      <c r="A1165" t="s">
        <v>1413</v>
      </c>
      <c r="B1165" s="2">
        <v>7992</v>
      </c>
      <c r="C1165" s="2">
        <v>893</v>
      </c>
      <c r="D1165">
        <v>12</v>
      </c>
      <c r="E1165" t="s">
        <v>13</v>
      </c>
      <c r="F1165" t="s">
        <v>39</v>
      </c>
      <c r="G1165" t="s">
        <v>47</v>
      </c>
      <c r="H1165" s="1">
        <v>45050</v>
      </c>
      <c r="I1165" t="s">
        <v>1415</v>
      </c>
      <c r="J1165" s="10" t="s">
        <v>25</v>
      </c>
      <c r="K1165" t="s">
        <v>51</v>
      </c>
      <c r="L1165" t="s">
        <v>127</v>
      </c>
    </row>
    <row r="1166" spans="1:12" x14ac:dyDescent="0.25">
      <c r="A1166" t="s">
        <v>1413</v>
      </c>
      <c r="B1166" s="2">
        <v>7992</v>
      </c>
      <c r="C1166" s="2">
        <v>893</v>
      </c>
      <c r="D1166">
        <v>12</v>
      </c>
      <c r="E1166" t="s">
        <v>13</v>
      </c>
      <c r="F1166" t="s">
        <v>39</v>
      </c>
      <c r="G1166" t="s">
        <v>47</v>
      </c>
      <c r="H1166" s="1">
        <v>45077</v>
      </c>
      <c r="I1166" t="s">
        <v>1416</v>
      </c>
      <c r="J1166" s="10" t="s">
        <v>21</v>
      </c>
      <c r="K1166" t="s">
        <v>22</v>
      </c>
      <c r="L1166" t="s">
        <v>127</v>
      </c>
    </row>
    <row r="1167" spans="1:12" x14ac:dyDescent="0.25">
      <c r="A1167" t="s">
        <v>1417</v>
      </c>
      <c r="B1167" s="2">
        <v>6499</v>
      </c>
      <c r="C1167" s="2">
        <v>2189</v>
      </c>
      <c r="D1167">
        <v>18</v>
      </c>
      <c r="E1167" t="s">
        <v>13</v>
      </c>
      <c r="F1167" t="s">
        <v>14</v>
      </c>
      <c r="G1167" t="s">
        <v>40</v>
      </c>
      <c r="H1167" s="1">
        <v>45458</v>
      </c>
      <c r="I1167" t="s">
        <v>1418</v>
      </c>
      <c r="J1167" s="10" t="s">
        <v>25</v>
      </c>
      <c r="K1167" t="s">
        <v>51</v>
      </c>
      <c r="L1167" t="s">
        <v>262</v>
      </c>
    </row>
    <row r="1168" spans="1:12" x14ac:dyDescent="0.25">
      <c r="A1168" t="s">
        <v>1417</v>
      </c>
      <c r="B1168" s="2">
        <v>6499</v>
      </c>
      <c r="C1168" s="2">
        <v>2189</v>
      </c>
      <c r="D1168">
        <v>18</v>
      </c>
      <c r="E1168" t="s">
        <v>13</v>
      </c>
      <c r="F1168" t="s">
        <v>14</v>
      </c>
      <c r="G1168" t="s">
        <v>40</v>
      </c>
      <c r="H1168" s="1">
        <v>44289</v>
      </c>
      <c r="I1168" t="s">
        <v>1419</v>
      </c>
      <c r="J1168" s="10" t="s">
        <v>17</v>
      </c>
      <c r="K1168" t="s">
        <v>34</v>
      </c>
      <c r="L1168" t="s">
        <v>139</v>
      </c>
    </row>
    <row r="1169" spans="1:12" x14ac:dyDescent="0.25">
      <c r="A1169" t="s">
        <v>1420</v>
      </c>
      <c r="B1169" s="2">
        <v>8848</v>
      </c>
      <c r="C1169" s="2">
        <v>2090</v>
      </c>
      <c r="D1169">
        <v>9</v>
      </c>
      <c r="E1169" t="s">
        <v>30</v>
      </c>
      <c r="F1169" t="s">
        <v>31</v>
      </c>
      <c r="G1169" t="s">
        <v>32</v>
      </c>
      <c r="H1169" s="1">
        <v>45671</v>
      </c>
      <c r="I1169" t="s">
        <v>1421</v>
      </c>
      <c r="J1169" s="10" t="s">
        <v>42</v>
      </c>
      <c r="K1169" t="s">
        <v>75</v>
      </c>
      <c r="L1169" t="s">
        <v>308</v>
      </c>
    </row>
    <row r="1170" spans="1:12" x14ac:dyDescent="0.25">
      <c r="A1170" t="s">
        <v>1422</v>
      </c>
      <c r="B1170" s="2">
        <v>8044</v>
      </c>
      <c r="C1170" s="2">
        <v>3634</v>
      </c>
      <c r="D1170">
        <v>3</v>
      </c>
      <c r="E1170" t="s">
        <v>30</v>
      </c>
      <c r="F1170" t="s">
        <v>57</v>
      </c>
      <c r="G1170" t="s">
        <v>65</v>
      </c>
      <c r="H1170" s="1">
        <v>44189</v>
      </c>
      <c r="I1170" t="s">
        <v>1423</v>
      </c>
      <c r="J1170" s="10" t="s">
        <v>17</v>
      </c>
      <c r="K1170" t="s">
        <v>34</v>
      </c>
      <c r="L1170" t="s">
        <v>287</v>
      </c>
    </row>
    <row r="1171" spans="1:12" x14ac:dyDescent="0.25">
      <c r="A1171" t="s">
        <v>1422</v>
      </c>
      <c r="B1171" s="2">
        <v>8044</v>
      </c>
      <c r="C1171" s="2">
        <v>3634</v>
      </c>
      <c r="D1171">
        <v>3</v>
      </c>
      <c r="E1171" t="s">
        <v>30</v>
      </c>
      <c r="F1171" t="s">
        <v>57</v>
      </c>
      <c r="G1171" t="s">
        <v>65</v>
      </c>
      <c r="H1171" s="1">
        <v>44841</v>
      </c>
      <c r="I1171" t="s">
        <v>1424</v>
      </c>
      <c r="J1171" s="10" t="s">
        <v>42</v>
      </c>
      <c r="K1171" t="s">
        <v>75</v>
      </c>
      <c r="L1171" t="s">
        <v>96</v>
      </c>
    </row>
    <row r="1172" spans="1:12" x14ac:dyDescent="0.25">
      <c r="A1172" t="s">
        <v>1425</v>
      </c>
      <c r="B1172" s="2">
        <v>7417</v>
      </c>
      <c r="C1172" s="2">
        <v>1334</v>
      </c>
      <c r="D1172">
        <v>16</v>
      </c>
      <c r="E1172" t="s">
        <v>45</v>
      </c>
      <c r="F1172" t="s">
        <v>109</v>
      </c>
      <c r="G1172" t="s">
        <v>65</v>
      </c>
      <c r="H1172" s="1">
        <v>44474</v>
      </c>
      <c r="I1172" t="s">
        <v>1426</v>
      </c>
      <c r="J1172" s="10" t="s">
        <v>17</v>
      </c>
      <c r="K1172" t="s">
        <v>150</v>
      </c>
      <c r="L1172" t="s">
        <v>37</v>
      </c>
    </row>
    <row r="1173" spans="1:12" x14ac:dyDescent="0.25">
      <c r="A1173" t="s">
        <v>1427</v>
      </c>
      <c r="B1173" s="2">
        <v>3451</v>
      </c>
      <c r="C1173" s="2">
        <v>658</v>
      </c>
      <c r="D1173">
        <v>3</v>
      </c>
      <c r="E1173" t="s">
        <v>30</v>
      </c>
      <c r="F1173" t="s">
        <v>57</v>
      </c>
      <c r="G1173" t="s">
        <v>15</v>
      </c>
      <c r="H1173" s="1">
        <v>45654</v>
      </c>
      <c r="I1173" t="s">
        <v>1428</v>
      </c>
      <c r="J1173" s="10" t="s">
        <v>21</v>
      </c>
      <c r="K1173" t="s">
        <v>22</v>
      </c>
      <c r="L1173" t="s">
        <v>23</v>
      </c>
    </row>
    <row r="1174" spans="1:12" x14ac:dyDescent="0.25">
      <c r="A1174" t="s">
        <v>1429</v>
      </c>
      <c r="B1174" s="2">
        <v>8531</v>
      </c>
      <c r="C1174" s="2">
        <v>2555</v>
      </c>
      <c r="D1174">
        <v>4</v>
      </c>
      <c r="E1174" t="s">
        <v>13</v>
      </c>
      <c r="F1174" t="s">
        <v>39</v>
      </c>
      <c r="G1174" t="s">
        <v>40</v>
      </c>
      <c r="H1174" s="1">
        <v>44695</v>
      </c>
      <c r="I1174" t="s">
        <v>1430</v>
      </c>
      <c r="J1174" s="10" t="s">
        <v>71</v>
      </c>
      <c r="K1174" t="s">
        <v>86</v>
      </c>
      <c r="L1174" t="s">
        <v>180</v>
      </c>
    </row>
    <row r="1175" spans="1:12" x14ac:dyDescent="0.25">
      <c r="A1175" t="s">
        <v>1431</v>
      </c>
      <c r="B1175" s="2">
        <v>6646</v>
      </c>
      <c r="C1175" s="2">
        <v>848</v>
      </c>
      <c r="D1175">
        <v>15</v>
      </c>
      <c r="E1175" t="s">
        <v>45</v>
      </c>
      <c r="F1175" t="s">
        <v>60</v>
      </c>
      <c r="G1175" t="s">
        <v>32</v>
      </c>
      <c r="H1175" s="1">
        <v>45157</v>
      </c>
      <c r="I1175" t="s">
        <v>1432</v>
      </c>
      <c r="J1175" s="10" t="s">
        <v>25</v>
      </c>
      <c r="K1175" t="s">
        <v>51</v>
      </c>
      <c r="L1175" t="s">
        <v>121</v>
      </c>
    </row>
    <row r="1176" spans="1:12" x14ac:dyDescent="0.25">
      <c r="A1176" t="s">
        <v>1431</v>
      </c>
      <c r="B1176" s="2">
        <v>6646</v>
      </c>
      <c r="C1176" s="2">
        <v>848</v>
      </c>
      <c r="D1176">
        <v>15</v>
      </c>
      <c r="E1176" t="s">
        <v>45</v>
      </c>
      <c r="F1176" t="s">
        <v>60</v>
      </c>
      <c r="G1176" t="s">
        <v>32</v>
      </c>
      <c r="H1176" s="1">
        <v>45121</v>
      </c>
      <c r="I1176" t="s">
        <v>1433</v>
      </c>
      <c r="J1176" s="10" t="s">
        <v>25</v>
      </c>
      <c r="K1176" t="s">
        <v>26</v>
      </c>
      <c r="L1176" t="s">
        <v>105</v>
      </c>
    </row>
    <row r="1177" spans="1:12" x14ac:dyDescent="0.25">
      <c r="A1177" t="s">
        <v>1434</v>
      </c>
      <c r="B1177" s="2">
        <v>2553</v>
      </c>
      <c r="C1177" s="2">
        <v>907</v>
      </c>
      <c r="D1177">
        <v>6</v>
      </c>
      <c r="E1177" t="s">
        <v>13</v>
      </c>
      <c r="F1177" t="s">
        <v>39</v>
      </c>
      <c r="G1177" t="s">
        <v>47</v>
      </c>
      <c r="H1177" s="1">
        <v>45099</v>
      </c>
      <c r="I1177" t="s">
        <v>1435</v>
      </c>
      <c r="J1177" s="10" t="s">
        <v>71</v>
      </c>
      <c r="K1177" t="s">
        <v>72</v>
      </c>
      <c r="L1177" t="s">
        <v>19</v>
      </c>
    </row>
    <row r="1178" spans="1:12" x14ac:dyDescent="0.25">
      <c r="A1178" t="s">
        <v>1436</v>
      </c>
      <c r="B1178" s="2">
        <v>8490</v>
      </c>
      <c r="C1178" s="2">
        <v>3485</v>
      </c>
      <c r="D1178">
        <v>3</v>
      </c>
      <c r="E1178" t="s">
        <v>13</v>
      </c>
      <c r="F1178" t="s">
        <v>82</v>
      </c>
      <c r="G1178" t="s">
        <v>47</v>
      </c>
      <c r="H1178" s="1">
        <v>45006</v>
      </c>
      <c r="I1178" t="s">
        <v>1437</v>
      </c>
      <c r="J1178" s="10" t="s">
        <v>25</v>
      </c>
      <c r="K1178" t="s">
        <v>51</v>
      </c>
      <c r="L1178" t="s">
        <v>245</v>
      </c>
    </row>
    <row r="1179" spans="1:12" x14ac:dyDescent="0.25">
      <c r="A1179" t="s">
        <v>1438</v>
      </c>
      <c r="B1179" s="2">
        <v>2689</v>
      </c>
      <c r="C1179" s="2">
        <v>1330</v>
      </c>
      <c r="D1179">
        <v>3</v>
      </c>
      <c r="E1179" t="s">
        <v>45</v>
      </c>
      <c r="F1179" t="s">
        <v>46</v>
      </c>
      <c r="G1179" t="s">
        <v>15</v>
      </c>
      <c r="H1179" s="1">
        <v>44178</v>
      </c>
      <c r="I1179" t="s">
        <v>1439</v>
      </c>
      <c r="J1179" s="10" t="s">
        <v>42</v>
      </c>
      <c r="K1179" t="s">
        <v>43</v>
      </c>
      <c r="L1179" t="s">
        <v>287</v>
      </c>
    </row>
    <row r="1180" spans="1:12" x14ac:dyDescent="0.25">
      <c r="A1180" t="s">
        <v>1438</v>
      </c>
      <c r="B1180" s="2">
        <v>2689</v>
      </c>
      <c r="C1180" s="2">
        <v>1330</v>
      </c>
      <c r="D1180">
        <v>3</v>
      </c>
      <c r="E1180" t="s">
        <v>45</v>
      </c>
      <c r="F1180" t="s">
        <v>46</v>
      </c>
      <c r="G1180" t="s">
        <v>15</v>
      </c>
      <c r="H1180" s="1">
        <v>45441</v>
      </c>
      <c r="I1180" t="s">
        <v>1440</v>
      </c>
      <c r="J1180" s="10" t="s">
        <v>17</v>
      </c>
      <c r="K1180" t="s">
        <v>18</v>
      </c>
      <c r="L1180" t="s">
        <v>35</v>
      </c>
    </row>
    <row r="1181" spans="1:12" x14ac:dyDescent="0.25">
      <c r="A1181" t="s">
        <v>1441</v>
      </c>
      <c r="B1181" s="2">
        <v>815</v>
      </c>
      <c r="C1181" s="2">
        <v>54</v>
      </c>
      <c r="D1181">
        <v>14</v>
      </c>
      <c r="E1181" t="s">
        <v>45</v>
      </c>
      <c r="F1181" t="s">
        <v>46</v>
      </c>
      <c r="G1181" t="s">
        <v>32</v>
      </c>
      <c r="H1181" s="1">
        <v>44341</v>
      </c>
      <c r="I1181" t="s">
        <v>1442</v>
      </c>
      <c r="J1181" s="10" t="s">
        <v>42</v>
      </c>
      <c r="K1181" t="s">
        <v>92</v>
      </c>
      <c r="L1181" t="s">
        <v>108</v>
      </c>
    </row>
    <row r="1182" spans="1:12" x14ac:dyDescent="0.25">
      <c r="A1182" t="s">
        <v>1443</v>
      </c>
      <c r="B1182" s="2">
        <v>5024</v>
      </c>
      <c r="C1182" s="2">
        <v>379</v>
      </c>
      <c r="D1182">
        <v>2</v>
      </c>
      <c r="E1182" t="s">
        <v>30</v>
      </c>
      <c r="F1182" t="s">
        <v>64</v>
      </c>
      <c r="G1182" t="s">
        <v>15</v>
      </c>
      <c r="H1182" s="1">
        <v>45384</v>
      </c>
      <c r="I1182" t="s">
        <v>1444</v>
      </c>
      <c r="J1182" s="10" t="s">
        <v>71</v>
      </c>
      <c r="K1182" t="s">
        <v>72</v>
      </c>
      <c r="L1182" t="s">
        <v>235</v>
      </c>
    </row>
    <row r="1183" spans="1:12" x14ac:dyDescent="0.25">
      <c r="A1183" t="s">
        <v>1443</v>
      </c>
      <c r="B1183" s="2">
        <v>5024</v>
      </c>
      <c r="C1183" s="2">
        <v>379</v>
      </c>
      <c r="D1183">
        <v>2</v>
      </c>
      <c r="E1183" t="s">
        <v>30</v>
      </c>
      <c r="F1183" t="s">
        <v>64</v>
      </c>
      <c r="G1183" t="s">
        <v>15</v>
      </c>
      <c r="H1183" s="1">
        <v>44898</v>
      </c>
      <c r="I1183" t="s">
        <v>1445</v>
      </c>
      <c r="J1183" s="10" t="s">
        <v>21</v>
      </c>
      <c r="K1183" t="s">
        <v>172</v>
      </c>
      <c r="L1183" t="s">
        <v>152</v>
      </c>
    </row>
    <row r="1184" spans="1:12" x14ac:dyDescent="0.25">
      <c r="A1184" t="s">
        <v>1446</v>
      </c>
      <c r="B1184" s="2">
        <v>8962</v>
      </c>
      <c r="C1184" s="2">
        <v>2444</v>
      </c>
      <c r="D1184">
        <v>18</v>
      </c>
      <c r="E1184" t="s">
        <v>13</v>
      </c>
      <c r="F1184" t="s">
        <v>14</v>
      </c>
      <c r="G1184" t="s">
        <v>32</v>
      </c>
      <c r="H1184" s="1">
        <v>44389</v>
      </c>
      <c r="I1184" t="s">
        <v>1447</v>
      </c>
      <c r="J1184" s="10" t="s">
        <v>98</v>
      </c>
      <c r="K1184" t="s">
        <v>117</v>
      </c>
      <c r="L1184" t="s">
        <v>27</v>
      </c>
    </row>
    <row r="1185" spans="1:12" x14ac:dyDescent="0.25">
      <c r="A1185" t="s">
        <v>1446</v>
      </c>
      <c r="B1185" s="2">
        <v>8962</v>
      </c>
      <c r="C1185" s="2">
        <v>2444</v>
      </c>
      <c r="D1185">
        <v>18</v>
      </c>
      <c r="E1185" t="s">
        <v>13</v>
      </c>
      <c r="F1185" t="s">
        <v>14</v>
      </c>
      <c r="G1185" t="s">
        <v>32</v>
      </c>
      <c r="H1185" s="1">
        <v>43912</v>
      </c>
      <c r="I1185" t="s">
        <v>1448</v>
      </c>
      <c r="J1185" s="10" t="s">
        <v>21</v>
      </c>
      <c r="K1185" t="s">
        <v>172</v>
      </c>
      <c r="L1185" t="s">
        <v>55</v>
      </c>
    </row>
    <row r="1186" spans="1:12" x14ac:dyDescent="0.25">
      <c r="A1186" t="s">
        <v>1449</v>
      </c>
      <c r="B1186" s="2">
        <v>1961</v>
      </c>
      <c r="C1186" s="2">
        <v>59</v>
      </c>
      <c r="D1186">
        <v>12</v>
      </c>
      <c r="E1186" t="s">
        <v>30</v>
      </c>
      <c r="F1186" t="s">
        <v>78</v>
      </c>
      <c r="G1186" t="s">
        <v>15</v>
      </c>
      <c r="H1186" s="1">
        <v>44052</v>
      </c>
      <c r="I1186" t="s">
        <v>1450</v>
      </c>
      <c r="J1186" s="10" t="s">
        <v>17</v>
      </c>
      <c r="K1186" t="s">
        <v>34</v>
      </c>
      <c r="L1186" t="s">
        <v>185</v>
      </c>
    </row>
    <row r="1187" spans="1:12" x14ac:dyDescent="0.25">
      <c r="A1187" t="s">
        <v>1451</v>
      </c>
      <c r="B1187" s="2">
        <v>526</v>
      </c>
      <c r="C1187" s="2">
        <v>83</v>
      </c>
      <c r="D1187">
        <v>4</v>
      </c>
      <c r="E1187" t="s">
        <v>45</v>
      </c>
      <c r="F1187" t="s">
        <v>60</v>
      </c>
      <c r="G1187" t="s">
        <v>47</v>
      </c>
      <c r="H1187" s="1">
        <v>44610</v>
      </c>
      <c r="I1187" t="s">
        <v>1452</v>
      </c>
      <c r="J1187" s="10" t="s">
        <v>21</v>
      </c>
      <c r="K1187" t="s">
        <v>22</v>
      </c>
      <c r="L1187" t="s">
        <v>137</v>
      </c>
    </row>
    <row r="1188" spans="1:12" x14ac:dyDescent="0.25">
      <c r="A1188" t="s">
        <v>1453</v>
      </c>
      <c r="B1188" s="2">
        <v>6093</v>
      </c>
      <c r="C1188" s="2">
        <v>3042</v>
      </c>
      <c r="D1188">
        <v>9</v>
      </c>
      <c r="E1188" t="s">
        <v>45</v>
      </c>
      <c r="F1188" t="s">
        <v>109</v>
      </c>
      <c r="G1188" t="s">
        <v>32</v>
      </c>
      <c r="H1188" s="1">
        <v>44361</v>
      </c>
      <c r="I1188" t="s">
        <v>1454</v>
      </c>
      <c r="J1188" s="10" t="s">
        <v>42</v>
      </c>
      <c r="K1188" t="s">
        <v>92</v>
      </c>
      <c r="L1188" t="s">
        <v>125</v>
      </c>
    </row>
    <row r="1189" spans="1:12" x14ac:dyDescent="0.25">
      <c r="A1189" t="s">
        <v>1453</v>
      </c>
      <c r="B1189" s="2">
        <v>6093</v>
      </c>
      <c r="C1189" s="2">
        <v>3042</v>
      </c>
      <c r="D1189">
        <v>9</v>
      </c>
      <c r="E1189" t="s">
        <v>45</v>
      </c>
      <c r="F1189" t="s">
        <v>109</v>
      </c>
      <c r="G1189" t="s">
        <v>32</v>
      </c>
      <c r="H1189" s="1">
        <v>44256</v>
      </c>
      <c r="I1189" t="s">
        <v>1455</v>
      </c>
      <c r="J1189" s="10" t="s">
        <v>42</v>
      </c>
      <c r="K1189" t="s">
        <v>75</v>
      </c>
      <c r="L1189" t="s">
        <v>167</v>
      </c>
    </row>
    <row r="1190" spans="1:12" x14ac:dyDescent="0.25">
      <c r="A1190" t="s">
        <v>1456</v>
      </c>
      <c r="B1190" s="2">
        <v>7699</v>
      </c>
      <c r="C1190" s="2">
        <v>246</v>
      </c>
      <c r="D1190">
        <v>5</v>
      </c>
      <c r="E1190" t="s">
        <v>13</v>
      </c>
      <c r="F1190" t="s">
        <v>14</v>
      </c>
      <c r="G1190" t="s">
        <v>32</v>
      </c>
      <c r="H1190" s="1">
        <v>45192</v>
      </c>
      <c r="I1190" t="s">
        <v>1457</v>
      </c>
      <c r="J1190" s="10" t="s">
        <v>71</v>
      </c>
      <c r="K1190" t="s">
        <v>86</v>
      </c>
      <c r="L1190" t="s">
        <v>273</v>
      </c>
    </row>
    <row r="1191" spans="1:12" x14ac:dyDescent="0.25">
      <c r="A1191" t="s">
        <v>1458</v>
      </c>
      <c r="B1191" s="2">
        <v>8825</v>
      </c>
      <c r="C1191" s="2">
        <v>3594</v>
      </c>
      <c r="D1191">
        <v>15</v>
      </c>
      <c r="E1191" t="s">
        <v>45</v>
      </c>
      <c r="F1191" t="s">
        <v>46</v>
      </c>
      <c r="G1191" t="s">
        <v>32</v>
      </c>
      <c r="H1191" s="1">
        <v>45504</v>
      </c>
      <c r="I1191" t="s">
        <v>1459</v>
      </c>
      <c r="J1191" s="10" t="s">
        <v>25</v>
      </c>
      <c r="K1191" t="s">
        <v>51</v>
      </c>
      <c r="L1191" t="s">
        <v>215</v>
      </c>
    </row>
    <row r="1192" spans="1:12" x14ac:dyDescent="0.25">
      <c r="A1192" t="s">
        <v>1460</v>
      </c>
      <c r="B1192" s="2">
        <v>2082</v>
      </c>
      <c r="C1192" s="2">
        <v>642</v>
      </c>
      <c r="D1192">
        <v>8</v>
      </c>
      <c r="E1192" t="s">
        <v>13</v>
      </c>
      <c r="F1192" t="s">
        <v>82</v>
      </c>
      <c r="G1192" t="s">
        <v>40</v>
      </c>
      <c r="H1192" s="1">
        <v>43984</v>
      </c>
      <c r="I1192" t="s">
        <v>1461</v>
      </c>
      <c r="J1192" s="10" t="s">
        <v>25</v>
      </c>
      <c r="K1192" t="s">
        <v>68</v>
      </c>
      <c r="L1192" t="s">
        <v>313</v>
      </c>
    </row>
    <row r="1193" spans="1:12" x14ac:dyDescent="0.25">
      <c r="A1193" t="s">
        <v>1460</v>
      </c>
      <c r="B1193" s="2">
        <v>2082</v>
      </c>
      <c r="C1193" s="2">
        <v>642</v>
      </c>
      <c r="D1193">
        <v>8</v>
      </c>
      <c r="E1193" t="s">
        <v>13</v>
      </c>
      <c r="F1193" t="s">
        <v>82</v>
      </c>
      <c r="G1193" t="s">
        <v>40</v>
      </c>
      <c r="H1193" s="1">
        <v>44910</v>
      </c>
      <c r="I1193" t="s">
        <v>1462</v>
      </c>
      <c r="J1193" s="10" t="s">
        <v>71</v>
      </c>
      <c r="K1193" t="s">
        <v>86</v>
      </c>
      <c r="L1193" t="s">
        <v>152</v>
      </c>
    </row>
    <row r="1194" spans="1:12" x14ac:dyDescent="0.25">
      <c r="A1194" t="s">
        <v>1460</v>
      </c>
      <c r="B1194" s="2">
        <v>2082</v>
      </c>
      <c r="C1194" s="2">
        <v>642</v>
      </c>
      <c r="D1194">
        <v>8</v>
      </c>
      <c r="E1194" t="s">
        <v>13</v>
      </c>
      <c r="F1194" t="s">
        <v>82</v>
      </c>
      <c r="G1194" t="s">
        <v>40</v>
      </c>
      <c r="H1194" s="1">
        <v>44050</v>
      </c>
      <c r="I1194" t="s">
        <v>1463</v>
      </c>
      <c r="J1194" s="10" t="s">
        <v>25</v>
      </c>
      <c r="K1194" t="s">
        <v>26</v>
      </c>
      <c r="L1194" t="s">
        <v>185</v>
      </c>
    </row>
    <row r="1195" spans="1:12" x14ac:dyDescent="0.25">
      <c r="A1195" t="s">
        <v>1464</v>
      </c>
      <c r="B1195" s="2">
        <v>914</v>
      </c>
      <c r="C1195" s="2">
        <v>163</v>
      </c>
      <c r="D1195">
        <v>13</v>
      </c>
      <c r="E1195" t="s">
        <v>30</v>
      </c>
      <c r="F1195" t="s">
        <v>57</v>
      </c>
      <c r="G1195" t="s">
        <v>15</v>
      </c>
      <c r="H1195" s="1">
        <v>45591</v>
      </c>
      <c r="I1195" t="s">
        <v>1465</v>
      </c>
      <c r="J1195" s="10" t="s">
        <v>21</v>
      </c>
      <c r="K1195" t="s">
        <v>22</v>
      </c>
      <c r="L1195" t="s">
        <v>360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C306-5C24-4728-97A6-B99016812DE5}">
  <dimension ref="A1:M1195"/>
  <sheetViews>
    <sheetView workbookViewId="0">
      <selection sqref="A1:M1195"/>
    </sheetView>
  </sheetViews>
  <sheetFormatPr defaultRowHeight="15" x14ac:dyDescent="0.25"/>
  <cols>
    <col min="1" max="1" width="10.7109375" bestFit="1" customWidth="1"/>
    <col min="2" max="2" width="10.42578125" bestFit="1" customWidth="1"/>
    <col min="3" max="3" width="8.28515625" bestFit="1" customWidth="1"/>
    <col min="4" max="4" width="11" bestFit="1" customWidth="1"/>
    <col min="5" max="5" width="14.5703125" bestFit="1" customWidth="1"/>
    <col min="6" max="6" width="16.28515625" bestFit="1" customWidth="1"/>
    <col min="7" max="7" width="16.5703125" bestFit="1" customWidth="1"/>
    <col min="8" max="8" width="15.85546875" bestFit="1" customWidth="1"/>
    <col min="9" max="9" width="23.28515625" bestFit="1" customWidth="1"/>
    <col min="10" max="10" width="9.5703125" bestFit="1" customWidth="1"/>
    <col min="11" max="11" width="13.42578125" bestFit="1" customWidth="1"/>
    <col min="12" max="12" width="14" bestFit="1" customWidth="1"/>
    <col min="13" max="13" width="7.28515625" bestFit="1" customWidth="1"/>
  </cols>
  <sheetData>
    <row r="1" spans="1:13" x14ac:dyDescent="0.25">
      <c r="A1" t="s">
        <v>0</v>
      </c>
      <c r="B1" t="s">
        <v>1</v>
      </c>
      <c r="C1" t="s">
        <v>2</v>
      </c>
      <c r="D1" t="s">
        <v>3</v>
      </c>
      <c r="E1" t="s">
        <v>4</v>
      </c>
      <c r="F1" t="s">
        <v>5</v>
      </c>
      <c r="G1" t="s">
        <v>6</v>
      </c>
      <c r="H1" t="s">
        <v>7</v>
      </c>
      <c r="I1" t="s">
        <v>8</v>
      </c>
      <c r="J1" t="s">
        <v>9</v>
      </c>
      <c r="K1" t="s">
        <v>10</v>
      </c>
      <c r="L1" t="s">
        <v>11</v>
      </c>
      <c r="M1" t="s">
        <v>1476</v>
      </c>
    </row>
    <row r="2" spans="1:13" x14ac:dyDescent="0.25">
      <c r="A2" t="s">
        <v>38</v>
      </c>
      <c r="B2">
        <v>883</v>
      </c>
      <c r="C2">
        <v>117</v>
      </c>
      <c r="D2">
        <v>10</v>
      </c>
      <c r="E2" t="s">
        <v>13</v>
      </c>
      <c r="F2" t="s">
        <v>39</v>
      </c>
      <c r="G2" t="s">
        <v>40</v>
      </c>
      <c r="H2" s="5">
        <v>44883</v>
      </c>
      <c r="I2" t="s">
        <v>41</v>
      </c>
      <c r="J2" t="s">
        <v>42</v>
      </c>
      <c r="K2" t="s">
        <v>43</v>
      </c>
      <c r="L2" s="1">
        <v>44866</v>
      </c>
      <c r="M2">
        <v>2022</v>
      </c>
    </row>
    <row r="3" spans="1:13" x14ac:dyDescent="0.25">
      <c r="A3" t="s">
        <v>38</v>
      </c>
      <c r="B3">
        <v>8127</v>
      </c>
      <c r="C3">
        <v>3551</v>
      </c>
      <c r="D3">
        <v>16</v>
      </c>
      <c r="E3" t="s">
        <v>45</v>
      </c>
      <c r="F3" t="s">
        <v>46</v>
      </c>
      <c r="G3" t="s">
        <v>47</v>
      </c>
      <c r="H3" s="5">
        <v>44883</v>
      </c>
      <c r="I3" t="s">
        <v>41</v>
      </c>
      <c r="J3" t="s">
        <v>42</v>
      </c>
      <c r="K3" t="s">
        <v>43</v>
      </c>
      <c r="L3" s="1">
        <v>44866</v>
      </c>
      <c r="M3">
        <v>2022</v>
      </c>
    </row>
    <row r="4" spans="1:13" x14ac:dyDescent="0.25">
      <c r="A4" t="s">
        <v>84</v>
      </c>
      <c r="B4">
        <v>4206</v>
      </c>
      <c r="C4">
        <v>1821</v>
      </c>
      <c r="D4">
        <v>17</v>
      </c>
      <c r="E4" t="s">
        <v>13</v>
      </c>
      <c r="F4" t="s">
        <v>14</v>
      </c>
      <c r="G4" t="s">
        <v>40</v>
      </c>
      <c r="H4" s="5">
        <v>44584</v>
      </c>
      <c r="I4" t="s">
        <v>85</v>
      </c>
      <c r="J4" t="s">
        <v>71</v>
      </c>
      <c r="K4" t="s">
        <v>86</v>
      </c>
      <c r="L4" s="1">
        <v>44562</v>
      </c>
      <c r="M4">
        <v>2022</v>
      </c>
    </row>
    <row r="5" spans="1:13" x14ac:dyDescent="0.25">
      <c r="A5" t="s">
        <v>94</v>
      </c>
      <c r="B5">
        <v>3686</v>
      </c>
      <c r="C5">
        <v>760</v>
      </c>
      <c r="D5">
        <v>20</v>
      </c>
      <c r="E5" t="s">
        <v>30</v>
      </c>
      <c r="F5" t="s">
        <v>31</v>
      </c>
      <c r="G5" t="s">
        <v>32</v>
      </c>
      <c r="H5" s="5">
        <v>44864</v>
      </c>
      <c r="I5" t="s">
        <v>95</v>
      </c>
      <c r="J5" t="s">
        <v>42</v>
      </c>
      <c r="K5" t="s">
        <v>92</v>
      </c>
      <c r="L5" s="1">
        <v>44835</v>
      </c>
      <c r="M5">
        <v>2022</v>
      </c>
    </row>
    <row r="6" spans="1:13" x14ac:dyDescent="0.25">
      <c r="A6" t="s">
        <v>94</v>
      </c>
      <c r="B6">
        <v>3686</v>
      </c>
      <c r="C6">
        <v>760</v>
      </c>
      <c r="D6">
        <v>20</v>
      </c>
      <c r="E6" t="s">
        <v>30</v>
      </c>
      <c r="F6" t="s">
        <v>31</v>
      </c>
      <c r="G6" t="s">
        <v>32</v>
      </c>
      <c r="H6" s="5">
        <v>44576</v>
      </c>
      <c r="I6" t="s">
        <v>97</v>
      </c>
      <c r="J6" t="s">
        <v>98</v>
      </c>
      <c r="K6" t="s">
        <v>99</v>
      </c>
      <c r="L6" s="1">
        <v>44562</v>
      </c>
      <c r="M6">
        <v>2022</v>
      </c>
    </row>
    <row r="7" spans="1:13" x14ac:dyDescent="0.25">
      <c r="A7" t="s">
        <v>110</v>
      </c>
      <c r="B7">
        <v>3958</v>
      </c>
      <c r="C7">
        <v>630</v>
      </c>
      <c r="D7">
        <v>15</v>
      </c>
      <c r="E7" t="s">
        <v>45</v>
      </c>
      <c r="F7" t="s">
        <v>60</v>
      </c>
      <c r="G7" t="s">
        <v>40</v>
      </c>
      <c r="H7" s="5">
        <v>44841</v>
      </c>
      <c r="I7" t="s">
        <v>111</v>
      </c>
      <c r="J7" t="s">
        <v>17</v>
      </c>
      <c r="K7" t="s">
        <v>34</v>
      </c>
      <c r="L7" s="1">
        <v>44835</v>
      </c>
      <c r="M7">
        <v>2022</v>
      </c>
    </row>
    <row r="8" spans="1:13" x14ac:dyDescent="0.25">
      <c r="A8" t="s">
        <v>110</v>
      </c>
      <c r="B8">
        <v>3132</v>
      </c>
      <c r="C8">
        <v>963</v>
      </c>
      <c r="D8">
        <v>1</v>
      </c>
      <c r="E8" t="s">
        <v>45</v>
      </c>
      <c r="F8" t="s">
        <v>46</v>
      </c>
      <c r="G8" t="s">
        <v>32</v>
      </c>
      <c r="H8" s="5">
        <v>44841</v>
      </c>
      <c r="I8" t="s">
        <v>111</v>
      </c>
      <c r="J8" t="s">
        <v>17</v>
      </c>
      <c r="K8" t="s">
        <v>34</v>
      </c>
      <c r="L8" s="1">
        <v>44835</v>
      </c>
      <c r="M8">
        <v>2022</v>
      </c>
    </row>
    <row r="9" spans="1:13" x14ac:dyDescent="0.25">
      <c r="A9" t="s">
        <v>115</v>
      </c>
      <c r="B9">
        <v>8293</v>
      </c>
      <c r="C9">
        <v>2632</v>
      </c>
      <c r="D9">
        <v>8</v>
      </c>
      <c r="E9" t="s">
        <v>30</v>
      </c>
      <c r="F9" t="s">
        <v>78</v>
      </c>
      <c r="G9" t="s">
        <v>65</v>
      </c>
      <c r="H9" s="5">
        <v>44566</v>
      </c>
      <c r="I9" t="s">
        <v>116</v>
      </c>
      <c r="J9" t="s">
        <v>98</v>
      </c>
      <c r="K9" t="s">
        <v>117</v>
      </c>
      <c r="L9" s="1">
        <v>44562</v>
      </c>
      <c r="M9">
        <v>2022</v>
      </c>
    </row>
    <row r="10" spans="1:13" x14ac:dyDescent="0.25">
      <c r="A10" t="s">
        <v>115</v>
      </c>
      <c r="B10">
        <v>2863</v>
      </c>
      <c r="C10">
        <v>205</v>
      </c>
      <c r="D10">
        <v>17</v>
      </c>
      <c r="E10" t="s">
        <v>13</v>
      </c>
      <c r="F10" t="s">
        <v>82</v>
      </c>
      <c r="G10" t="s">
        <v>15</v>
      </c>
      <c r="H10" s="5">
        <v>44566</v>
      </c>
      <c r="I10" t="s">
        <v>116</v>
      </c>
      <c r="J10" t="s">
        <v>98</v>
      </c>
      <c r="K10" t="s">
        <v>117</v>
      </c>
      <c r="L10" s="1">
        <v>44562</v>
      </c>
      <c r="M10">
        <v>2022</v>
      </c>
    </row>
    <row r="11" spans="1:13" x14ac:dyDescent="0.25">
      <c r="A11" t="s">
        <v>129</v>
      </c>
      <c r="B11">
        <v>2463</v>
      </c>
      <c r="C11">
        <v>648</v>
      </c>
      <c r="D11">
        <v>18</v>
      </c>
      <c r="E11" t="s">
        <v>45</v>
      </c>
      <c r="F11" t="s">
        <v>46</v>
      </c>
      <c r="G11" t="s">
        <v>40</v>
      </c>
      <c r="H11" s="5">
        <v>44823</v>
      </c>
      <c r="I11" t="s">
        <v>130</v>
      </c>
      <c r="J11" t="s">
        <v>98</v>
      </c>
      <c r="K11" t="s">
        <v>107</v>
      </c>
      <c r="L11" s="1">
        <v>44805</v>
      </c>
      <c r="M11">
        <v>2022</v>
      </c>
    </row>
    <row r="12" spans="1:13" x14ac:dyDescent="0.25">
      <c r="A12" t="s">
        <v>132</v>
      </c>
      <c r="B12">
        <v>7811</v>
      </c>
      <c r="C12">
        <v>1538</v>
      </c>
      <c r="D12">
        <v>12</v>
      </c>
      <c r="E12" t="s">
        <v>45</v>
      </c>
      <c r="F12" t="s">
        <v>60</v>
      </c>
      <c r="G12" t="s">
        <v>65</v>
      </c>
      <c r="H12" s="5">
        <v>44645</v>
      </c>
      <c r="I12" t="s">
        <v>133</v>
      </c>
      <c r="J12" t="s">
        <v>17</v>
      </c>
      <c r="K12" t="s">
        <v>18</v>
      </c>
      <c r="L12" s="1">
        <v>44621</v>
      </c>
      <c r="M12">
        <v>2022</v>
      </c>
    </row>
    <row r="13" spans="1:13" x14ac:dyDescent="0.25">
      <c r="A13" t="s">
        <v>135</v>
      </c>
      <c r="B13">
        <v>6139</v>
      </c>
      <c r="C13">
        <v>451</v>
      </c>
      <c r="D13">
        <v>10</v>
      </c>
      <c r="E13" t="s">
        <v>45</v>
      </c>
      <c r="F13" t="s">
        <v>46</v>
      </c>
      <c r="G13" t="s">
        <v>32</v>
      </c>
      <c r="H13" s="5">
        <v>44618</v>
      </c>
      <c r="I13" t="s">
        <v>136</v>
      </c>
      <c r="J13" t="s">
        <v>17</v>
      </c>
      <c r="K13" t="s">
        <v>34</v>
      </c>
      <c r="L13" s="1">
        <v>44593</v>
      </c>
      <c r="M13">
        <v>2022</v>
      </c>
    </row>
    <row r="14" spans="1:13" x14ac:dyDescent="0.25">
      <c r="A14" t="s">
        <v>135</v>
      </c>
      <c r="B14">
        <v>8636</v>
      </c>
      <c r="C14">
        <v>3192</v>
      </c>
      <c r="D14">
        <v>3</v>
      </c>
      <c r="E14" t="s">
        <v>45</v>
      </c>
      <c r="F14" t="s">
        <v>49</v>
      </c>
      <c r="G14" t="s">
        <v>65</v>
      </c>
      <c r="H14" s="5">
        <v>44618</v>
      </c>
      <c r="I14" t="s">
        <v>136</v>
      </c>
      <c r="J14" t="s">
        <v>17</v>
      </c>
      <c r="K14" t="s">
        <v>34</v>
      </c>
      <c r="L14" s="1">
        <v>44593</v>
      </c>
      <c r="M14">
        <v>2022</v>
      </c>
    </row>
    <row r="15" spans="1:13" x14ac:dyDescent="0.25">
      <c r="A15" t="s">
        <v>135</v>
      </c>
      <c r="B15">
        <v>4439</v>
      </c>
      <c r="C15">
        <v>1712</v>
      </c>
      <c r="D15">
        <v>19</v>
      </c>
      <c r="E15" t="s">
        <v>45</v>
      </c>
      <c r="F15" t="s">
        <v>60</v>
      </c>
      <c r="G15" t="s">
        <v>47</v>
      </c>
      <c r="H15" s="5">
        <v>44618</v>
      </c>
      <c r="I15" t="s">
        <v>136</v>
      </c>
      <c r="J15" t="s">
        <v>17</v>
      </c>
      <c r="K15" t="s">
        <v>34</v>
      </c>
      <c r="L15" s="1">
        <v>44593</v>
      </c>
      <c r="M15">
        <v>2022</v>
      </c>
    </row>
    <row r="16" spans="1:13" x14ac:dyDescent="0.25">
      <c r="A16" t="s">
        <v>148</v>
      </c>
      <c r="B16">
        <v>1126</v>
      </c>
      <c r="C16">
        <v>55</v>
      </c>
      <c r="D16">
        <v>1</v>
      </c>
      <c r="E16" t="s">
        <v>45</v>
      </c>
      <c r="F16" t="s">
        <v>109</v>
      </c>
      <c r="G16" t="s">
        <v>15</v>
      </c>
      <c r="H16" s="5">
        <v>44577</v>
      </c>
      <c r="I16" t="s">
        <v>149</v>
      </c>
      <c r="J16" t="s">
        <v>17</v>
      </c>
      <c r="K16" t="s">
        <v>150</v>
      </c>
      <c r="L16" s="1">
        <v>44562</v>
      </c>
      <c r="M16">
        <v>2022</v>
      </c>
    </row>
    <row r="17" spans="1:13" x14ac:dyDescent="0.25">
      <c r="A17" t="s">
        <v>148</v>
      </c>
      <c r="B17">
        <v>1126</v>
      </c>
      <c r="C17">
        <v>55</v>
      </c>
      <c r="D17">
        <v>1</v>
      </c>
      <c r="E17" t="s">
        <v>45</v>
      </c>
      <c r="F17" t="s">
        <v>109</v>
      </c>
      <c r="G17" t="s">
        <v>15</v>
      </c>
      <c r="H17" s="5">
        <v>44911</v>
      </c>
      <c r="I17" t="s">
        <v>151</v>
      </c>
      <c r="J17" t="s">
        <v>25</v>
      </c>
      <c r="K17" t="s">
        <v>26</v>
      </c>
      <c r="L17" s="1">
        <v>44896</v>
      </c>
      <c r="M17">
        <v>2022</v>
      </c>
    </row>
    <row r="18" spans="1:13" x14ac:dyDescent="0.25">
      <c r="A18" t="s">
        <v>163</v>
      </c>
      <c r="B18">
        <v>1591</v>
      </c>
      <c r="C18">
        <v>727</v>
      </c>
      <c r="D18">
        <v>5</v>
      </c>
      <c r="E18" t="s">
        <v>13</v>
      </c>
      <c r="F18" t="s">
        <v>14</v>
      </c>
      <c r="G18" t="s">
        <v>47</v>
      </c>
      <c r="H18" s="5">
        <v>44739</v>
      </c>
      <c r="I18" t="s">
        <v>164</v>
      </c>
      <c r="J18" t="s">
        <v>21</v>
      </c>
      <c r="K18" t="s">
        <v>63</v>
      </c>
      <c r="L18" s="1">
        <v>44713</v>
      </c>
      <c r="M18">
        <v>2022</v>
      </c>
    </row>
    <row r="19" spans="1:13" x14ac:dyDescent="0.25">
      <c r="A19" t="s">
        <v>163</v>
      </c>
      <c r="B19">
        <v>1591</v>
      </c>
      <c r="C19">
        <v>727</v>
      </c>
      <c r="D19">
        <v>5</v>
      </c>
      <c r="E19" t="s">
        <v>13</v>
      </c>
      <c r="F19" t="s">
        <v>14</v>
      </c>
      <c r="G19" t="s">
        <v>47</v>
      </c>
      <c r="H19" s="5">
        <v>44615</v>
      </c>
      <c r="I19" t="s">
        <v>168</v>
      </c>
      <c r="J19" t="s">
        <v>98</v>
      </c>
      <c r="K19" t="s">
        <v>107</v>
      </c>
      <c r="L19" s="1">
        <v>44593</v>
      </c>
      <c r="M19">
        <v>2022</v>
      </c>
    </row>
    <row r="20" spans="1:13" x14ac:dyDescent="0.25">
      <c r="A20" t="s">
        <v>169</v>
      </c>
      <c r="B20">
        <v>1757</v>
      </c>
      <c r="C20">
        <v>622</v>
      </c>
      <c r="D20">
        <v>10</v>
      </c>
      <c r="E20" t="s">
        <v>45</v>
      </c>
      <c r="F20" t="s">
        <v>49</v>
      </c>
      <c r="G20" t="s">
        <v>15</v>
      </c>
      <c r="H20" s="5">
        <v>44649</v>
      </c>
      <c r="I20" t="s">
        <v>170</v>
      </c>
      <c r="J20" t="s">
        <v>98</v>
      </c>
      <c r="K20" t="s">
        <v>117</v>
      </c>
      <c r="L20" s="1">
        <v>44621</v>
      </c>
      <c r="M20">
        <v>2022</v>
      </c>
    </row>
    <row r="21" spans="1:13" x14ac:dyDescent="0.25">
      <c r="A21" t="s">
        <v>169</v>
      </c>
      <c r="B21">
        <v>1757</v>
      </c>
      <c r="C21">
        <v>622</v>
      </c>
      <c r="D21">
        <v>10</v>
      </c>
      <c r="E21" t="s">
        <v>45</v>
      </c>
      <c r="F21" t="s">
        <v>49</v>
      </c>
      <c r="G21" t="s">
        <v>15</v>
      </c>
      <c r="H21" s="5">
        <v>44885</v>
      </c>
      <c r="I21" t="s">
        <v>171</v>
      </c>
      <c r="J21" t="s">
        <v>21</v>
      </c>
      <c r="K21" t="s">
        <v>172</v>
      </c>
      <c r="L21" s="1">
        <v>44866</v>
      </c>
      <c r="M21">
        <v>2022</v>
      </c>
    </row>
    <row r="22" spans="1:13" x14ac:dyDescent="0.25">
      <c r="A22" t="s">
        <v>176</v>
      </c>
      <c r="B22">
        <v>5578</v>
      </c>
      <c r="C22">
        <v>277</v>
      </c>
      <c r="D22">
        <v>16</v>
      </c>
      <c r="E22" t="s">
        <v>45</v>
      </c>
      <c r="F22" t="s">
        <v>46</v>
      </c>
      <c r="G22" t="s">
        <v>65</v>
      </c>
      <c r="H22" s="5">
        <v>44697</v>
      </c>
      <c r="I22" t="s">
        <v>179</v>
      </c>
      <c r="J22" t="s">
        <v>98</v>
      </c>
      <c r="K22" t="s">
        <v>99</v>
      </c>
      <c r="L22" s="1">
        <v>44682</v>
      </c>
      <c r="M22">
        <v>2022</v>
      </c>
    </row>
    <row r="23" spans="1:13" x14ac:dyDescent="0.25">
      <c r="A23" t="s">
        <v>183</v>
      </c>
      <c r="B23">
        <v>7595</v>
      </c>
      <c r="C23">
        <v>2873</v>
      </c>
      <c r="D23">
        <v>4</v>
      </c>
      <c r="E23" t="s">
        <v>45</v>
      </c>
      <c r="F23" t="s">
        <v>49</v>
      </c>
      <c r="G23" t="s">
        <v>32</v>
      </c>
      <c r="H23" s="5">
        <v>44670</v>
      </c>
      <c r="I23" t="s">
        <v>186</v>
      </c>
      <c r="J23" t="s">
        <v>25</v>
      </c>
      <c r="K23" t="s">
        <v>68</v>
      </c>
      <c r="L23" s="1">
        <v>44652</v>
      </c>
      <c r="M23">
        <v>2022</v>
      </c>
    </row>
    <row r="24" spans="1:13" x14ac:dyDescent="0.25">
      <c r="A24" t="s">
        <v>188</v>
      </c>
      <c r="B24">
        <v>1954</v>
      </c>
      <c r="C24">
        <v>294</v>
      </c>
      <c r="D24">
        <v>7</v>
      </c>
      <c r="E24" t="s">
        <v>45</v>
      </c>
      <c r="F24" t="s">
        <v>60</v>
      </c>
      <c r="G24" t="s">
        <v>32</v>
      </c>
      <c r="H24" s="5">
        <v>44918</v>
      </c>
      <c r="I24" t="s">
        <v>189</v>
      </c>
      <c r="J24" t="s">
        <v>71</v>
      </c>
      <c r="K24" t="s">
        <v>86</v>
      </c>
      <c r="L24" s="1">
        <v>44896</v>
      </c>
      <c r="M24">
        <v>2022</v>
      </c>
    </row>
    <row r="25" spans="1:13" x14ac:dyDescent="0.25">
      <c r="A25" t="s">
        <v>192</v>
      </c>
      <c r="B25">
        <v>5704</v>
      </c>
      <c r="C25">
        <v>714</v>
      </c>
      <c r="D25">
        <v>13</v>
      </c>
      <c r="E25" t="s">
        <v>13</v>
      </c>
      <c r="F25" t="s">
        <v>39</v>
      </c>
      <c r="G25" t="s">
        <v>40</v>
      </c>
      <c r="H25" s="5">
        <v>44595</v>
      </c>
      <c r="I25" t="s">
        <v>193</v>
      </c>
      <c r="J25" t="s">
        <v>71</v>
      </c>
      <c r="K25" t="s">
        <v>86</v>
      </c>
      <c r="L25" s="1">
        <v>44593</v>
      </c>
      <c r="M25">
        <v>2022</v>
      </c>
    </row>
    <row r="26" spans="1:13" x14ac:dyDescent="0.25">
      <c r="A26" t="s">
        <v>192</v>
      </c>
      <c r="B26">
        <v>8797</v>
      </c>
      <c r="C26">
        <v>1010</v>
      </c>
      <c r="D26">
        <v>8</v>
      </c>
      <c r="E26" t="s">
        <v>45</v>
      </c>
      <c r="F26" t="s">
        <v>46</v>
      </c>
      <c r="G26" t="s">
        <v>15</v>
      </c>
      <c r="H26" s="5">
        <v>44595</v>
      </c>
      <c r="I26" t="s">
        <v>193</v>
      </c>
      <c r="J26" t="s">
        <v>71</v>
      </c>
      <c r="K26" t="s">
        <v>86</v>
      </c>
      <c r="L26" s="1">
        <v>44593</v>
      </c>
      <c r="M26">
        <v>2022</v>
      </c>
    </row>
    <row r="27" spans="1:13" x14ac:dyDescent="0.25">
      <c r="A27" t="s">
        <v>192</v>
      </c>
      <c r="B27">
        <v>9236</v>
      </c>
      <c r="C27">
        <v>2899</v>
      </c>
      <c r="D27">
        <v>5</v>
      </c>
      <c r="E27" t="s">
        <v>13</v>
      </c>
      <c r="F27" t="s">
        <v>39</v>
      </c>
      <c r="G27" t="s">
        <v>32</v>
      </c>
      <c r="H27" s="5">
        <v>44595</v>
      </c>
      <c r="I27" t="s">
        <v>193</v>
      </c>
      <c r="J27" t="s">
        <v>71</v>
      </c>
      <c r="K27" t="s">
        <v>86</v>
      </c>
      <c r="L27" s="1">
        <v>44593</v>
      </c>
      <c r="M27">
        <v>2022</v>
      </c>
    </row>
    <row r="28" spans="1:13" x14ac:dyDescent="0.25">
      <c r="A28" t="s">
        <v>197</v>
      </c>
      <c r="B28">
        <v>4358</v>
      </c>
      <c r="C28">
        <v>526</v>
      </c>
      <c r="D28">
        <v>19</v>
      </c>
      <c r="E28" t="s">
        <v>13</v>
      </c>
      <c r="F28" t="s">
        <v>82</v>
      </c>
      <c r="G28" t="s">
        <v>47</v>
      </c>
      <c r="H28" s="5">
        <v>44900</v>
      </c>
      <c r="I28" t="s">
        <v>198</v>
      </c>
      <c r="J28" t="s">
        <v>71</v>
      </c>
      <c r="K28" t="s">
        <v>72</v>
      </c>
      <c r="L28" s="1">
        <v>44896</v>
      </c>
      <c r="M28">
        <v>2022</v>
      </c>
    </row>
    <row r="29" spans="1:13" x14ac:dyDescent="0.25">
      <c r="A29" t="s">
        <v>197</v>
      </c>
      <c r="B29">
        <v>6459</v>
      </c>
      <c r="C29">
        <v>825</v>
      </c>
      <c r="D29">
        <v>8</v>
      </c>
      <c r="E29" t="s">
        <v>13</v>
      </c>
      <c r="F29" t="s">
        <v>82</v>
      </c>
      <c r="G29" t="s">
        <v>47</v>
      </c>
      <c r="H29" s="5">
        <v>44900</v>
      </c>
      <c r="I29" t="s">
        <v>198</v>
      </c>
      <c r="J29" t="s">
        <v>71</v>
      </c>
      <c r="K29" t="s">
        <v>72</v>
      </c>
      <c r="L29" s="1">
        <v>44896</v>
      </c>
      <c r="M29">
        <v>2022</v>
      </c>
    </row>
    <row r="30" spans="1:13" x14ac:dyDescent="0.25">
      <c r="A30" t="s">
        <v>205</v>
      </c>
      <c r="B30">
        <v>9992</v>
      </c>
      <c r="C30">
        <v>3696</v>
      </c>
      <c r="D30">
        <v>20</v>
      </c>
      <c r="E30" t="s">
        <v>30</v>
      </c>
      <c r="F30" t="s">
        <v>31</v>
      </c>
      <c r="G30" t="s">
        <v>32</v>
      </c>
      <c r="H30" s="5">
        <v>44666</v>
      </c>
      <c r="I30" t="s">
        <v>207</v>
      </c>
      <c r="J30" t="s">
        <v>71</v>
      </c>
      <c r="K30" t="s">
        <v>86</v>
      </c>
      <c r="L30" s="1">
        <v>44652</v>
      </c>
      <c r="M30">
        <v>2022</v>
      </c>
    </row>
    <row r="31" spans="1:13" x14ac:dyDescent="0.25">
      <c r="A31" t="s">
        <v>205</v>
      </c>
      <c r="B31">
        <v>9992</v>
      </c>
      <c r="C31">
        <v>3696</v>
      </c>
      <c r="D31">
        <v>20</v>
      </c>
      <c r="E31" t="s">
        <v>30</v>
      </c>
      <c r="F31" t="s">
        <v>31</v>
      </c>
      <c r="G31" t="s">
        <v>32</v>
      </c>
      <c r="H31" s="5">
        <v>44802</v>
      </c>
      <c r="I31" t="s">
        <v>208</v>
      </c>
      <c r="J31" t="s">
        <v>25</v>
      </c>
      <c r="K31" t="s">
        <v>68</v>
      </c>
      <c r="L31" s="1">
        <v>44774</v>
      </c>
      <c r="M31">
        <v>2022</v>
      </c>
    </row>
    <row r="32" spans="1:13" x14ac:dyDescent="0.25">
      <c r="A32" t="s">
        <v>205</v>
      </c>
      <c r="B32">
        <v>9619</v>
      </c>
      <c r="C32">
        <v>3420</v>
      </c>
      <c r="D32">
        <v>7</v>
      </c>
      <c r="E32" t="s">
        <v>30</v>
      </c>
      <c r="F32" t="s">
        <v>78</v>
      </c>
      <c r="G32" t="s">
        <v>15</v>
      </c>
      <c r="H32" s="5">
        <v>44666</v>
      </c>
      <c r="I32" t="s">
        <v>207</v>
      </c>
      <c r="J32" t="s">
        <v>71</v>
      </c>
      <c r="K32" t="s">
        <v>86</v>
      </c>
      <c r="L32" s="1">
        <v>44652</v>
      </c>
      <c r="M32">
        <v>2022</v>
      </c>
    </row>
    <row r="33" spans="1:13" x14ac:dyDescent="0.25">
      <c r="A33" t="s">
        <v>205</v>
      </c>
      <c r="B33">
        <v>9619</v>
      </c>
      <c r="C33">
        <v>3420</v>
      </c>
      <c r="D33">
        <v>7</v>
      </c>
      <c r="E33" t="s">
        <v>30</v>
      </c>
      <c r="F33" t="s">
        <v>78</v>
      </c>
      <c r="G33" t="s">
        <v>15</v>
      </c>
      <c r="H33" s="5">
        <v>44802</v>
      </c>
      <c r="I33" t="s">
        <v>208</v>
      </c>
      <c r="J33" t="s">
        <v>25</v>
      </c>
      <c r="K33" t="s">
        <v>68</v>
      </c>
      <c r="L33" s="1">
        <v>44774</v>
      </c>
      <c r="M33">
        <v>2022</v>
      </c>
    </row>
    <row r="34" spans="1:13" x14ac:dyDescent="0.25">
      <c r="A34" t="s">
        <v>230</v>
      </c>
      <c r="B34">
        <v>8903</v>
      </c>
      <c r="C34">
        <v>4401</v>
      </c>
      <c r="D34">
        <v>18</v>
      </c>
      <c r="E34" t="s">
        <v>30</v>
      </c>
      <c r="F34" t="s">
        <v>31</v>
      </c>
      <c r="G34" t="s">
        <v>47</v>
      </c>
      <c r="H34" s="5">
        <v>44781</v>
      </c>
      <c r="I34" t="s">
        <v>231</v>
      </c>
      <c r="J34" t="s">
        <v>98</v>
      </c>
      <c r="K34" t="s">
        <v>99</v>
      </c>
      <c r="L34" s="1">
        <v>44774</v>
      </c>
      <c r="M34">
        <v>2022</v>
      </c>
    </row>
    <row r="35" spans="1:13" x14ac:dyDescent="0.25">
      <c r="A35" t="s">
        <v>232</v>
      </c>
      <c r="B35">
        <v>6009</v>
      </c>
      <c r="C35">
        <v>2107</v>
      </c>
      <c r="D35">
        <v>7</v>
      </c>
      <c r="E35" t="s">
        <v>13</v>
      </c>
      <c r="F35" t="s">
        <v>82</v>
      </c>
      <c r="G35" t="s">
        <v>15</v>
      </c>
      <c r="H35" s="5">
        <v>44902</v>
      </c>
      <c r="I35" t="s">
        <v>233</v>
      </c>
      <c r="J35" t="s">
        <v>21</v>
      </c>
      <c r="K35" t="s">
        <v>22</v>
      </c>
      <c r="L35" s="1">
        <v>44896</v>
      </c>
      <c r="M35">
        <v>2022</v>
      </c>
    </row>
    <row r="36" spans="1:13" x14ac:dyDescent="0.25">
      <c r="A36" t="s">
        <v>232</v>
      </c>
      <c r="B36">
        <v>2858</v>
      </c>
      <c r="C36">
        <v>230</v>
      </c>
      <c r="D36">
        <v>3</v>
      </c>
      <c r="E36" t="s">
        <v>45</v>
      </c>
      <c r="F36" t="s">
        <v>46</v>
      </c>
      <c r="G36" t="s">
        <v>47</v>
      </c>
      <c r="H36" s="5">
        <v>44902</v>
      </c>
      <c r="I36" t="s">
        <v>233</v>
      </c>
      <c r="J36" t="s">
        <v>21</v>
      </c>
      <c r="K36" t="s">
        <v>22</v>
      </c>
      <c r="L36" s="1">
        <v>44896</v>
      </c>
      <c r="M36">
        <v>2022</v>
      </c>
    </row>
    <row r="37" spans="1:13" x14ac:dyDescent="0.25">
      <c r="A37" t="s">
        <v>232</v>
      </c>
      <c r="B37">
        <v>8175</v>
      </c>
      <c r="C37">
        <v>525</v>
      </c>
      <c r="D37">
        <v>7</v>
      </c>
      <c r="E37" t="s">
        <v>45</v>
      </c>
      <c r="F37" t="s">
        <v>60</v>
      </c>
      <c r="G37" t="s">
        <v>47</v>
      </c>
      <c r="H37" s="5">
        <v>44902</v>
      </c>
      <c r="I37" t="s">
        <v>233</v>
      </c>
      <c r="J37" t="s">
        <v>21</v>
      </c>
      <c r="K37" t="s">
        <v>22</v>
      </c>
      <c r="L37" s="1">
        <v>44896</v>
      </c>
      <c r="M37">
        <v>2022</v>
      </c>
    </row>
    <row r="38" spans="1:13" x14ac:dyDescent="0.25">
      <c r="A38" t="s">
        <v>232</v>
      </c>
      <c r="B38">
        <v>5846</v>
      </c>
      <c r="C38">
        <v>586</v>
      </c>
      <c r="D38">
        <v>18</v>
      </c>
      <c r="E38" t="s">
        <v>45</v>
      </c>
      <c r="F38" t="s">
        <v>60</v>
      </c>
      <c r="G38" t="s">
        <v>15</v>
      </c>
      <c r="H38" s="5">
        <v>44902</v>
      </c>
      <c r="I38" t="s">
        <v>233</v>
      </c>
      <c r="J38" t="s">
        <v>21</v>
      </c>
      <c r="K38" t="s">
        <v>22</v>
      </c>
      <c r="L38" s="1">
        <v>44896</v>
      </c>
      <c r="M38">
        <v>2022</v>
      </c>
    </row>
    <row r="39" spans="1:13" x14ac:dyDescent="0.25">
      <c r="A39" t="s">
        <v>236</v>
      </c>
      <c r="B39">
        <v>706</v>
      </c>
      <c r="C39">
        <v>197</v>
      </c>
      <c r="D39">
        <v>11</v>
      </c>
      <c r="E39" t="s">
        <v>13</v>
      </c>
      <c r="F39" t="s">
        <v>39</v>
      </c>
      <c r="G39" t="s">
        <v>47</v>
      </c>
      <c r="H39" s="5">
        <v>44563</v>
      </c>
      <c r="I39" t="s">
        <v>237</v>
      </c>
      <c r="J39" t="s">
        <v>71</v>
      </c>
      <c r="K39" t="s">
        <v>86</v>
      </c>
      <c r="L39" s="1">
        <v>44562</v>
      </c>
      <c r="M39">
        <v>2022</v>
      </c>
    </row>
    <row r="40" spans="1:13" x14ac:dyDescent="0.25">
      <c r="A40" t="s">
        <v>238</v>
      </c>
      <c r="B40">
        <v>9835</v>
      </c>
      <c r="C40">
        <v>2571</v>
      </c>
      <c r="D40">
        <v>16</v>
      </c>
      <c r="E40" t="s">
        <v>45</v>
      </c>
      <c r="F40" t="s">
        <v>46</v>
      </c>
      <c r="G40" t="s">
        <v>65</v>
      </c>
      <c r="H40" s="5">
        <v>44722</v>
      </c>
      <c r="I40" t="s">
        <v>239</v>
      </c>
      <c r="J40" t="s">
        <v>71</v>
      </c>
      <c r="K40" t="s">
        <v>72</v>
      </c>
      <c r="L40" s="1">
        <v>44713</v>
      </c>
      <c r="M40">
        <v>2022</v>
      </c>
    </row>
    <row r="41" spans="1:13" x14ac:dyDescent="0.25">
      <c r="A41" t="s">
        <v>238</v>
      </c>
      <c r="B41">
        <v>9835</v>
      </c>
      <c r="C41">
        <v>2571</v>
      </c>
      <c r="D41">
        <v>16</v>
      </c>
      <c r="E41" t="s">
        <v>45</v>
      </c>
      <c r="F41" t="s">
        <v>46</v>
      </c>
      <c r="G41" t="s">
        <v>65</v>
      </c>
      <c r="H41" s="5">
        <v>44790</v>
      </c>
      <c r="I41" t="s">
        <v>241</v>
      </c>
      <c r="J41" t="s">
        <v>42</v>
      </c>
      <c r="K41" t="s">
        <v>43</v>
      </c>
      <c r="L41" s="1">
        <v>44774</v>
      </c>
      <c r="M41">
        <v>2022</v>
      </c>
    </row>
    <row r="42" spans="1:13" x14ac:dyDescent="0.25">
      <c r="A42" t="s">
        <v>238</v>
      </c>
      <c r="B42">
        <v>9691</v>
      </c>
      <c r="C42">
        <v>3056</v>
      </c>
      <c r="D42">
        <v>13</v>
      </c>
      <c r="E42" t="s">
        <v>30</v>
      </c>
      <c r="F42" t="s">
        <v>57</v>
      </c>
      <c r="G42" t="s">
        <v>47</v>
      </c>
      <c r="H42" s="5">
        <v>44722</v>
      </c>
      <c r="I42" t="s">
        <v>239</v>
      </c>
      <c r="J42" t="s">
        <v>71</v>
      </c>
      <c r="K42" t="s">
        <v>72</v>
      </c>
      <c r="L42" s="1">
        <v>44713</v>
      </c>
      <c r="M42">
        <v>2022</v>
      </c>
    </row>
    <row r="43" spans="1:13" x14ac:dyDescent="0.25">
      <c r="A43" t="s">
        <v>238</v>
      </c>
      <c r="B43">
        <v>9691</v>
      </c>
      <c r="C43">
        <v>3056</v>
      </c>
      <c r="D43">
        <v>13</v>
      </c>
      <c r="E43" t="s">
        <v>30</v>
      </c>
      <c r="F43" t="s">
        <v>57</v>
      </c>
      <c r="G43" t="s">
        <v>47</v>
      </c>
      <c r="H43" s="5">
        <v>44790</v>
      </c>
      <c r="I43" t="s">
        <v>241</v>
      </c>
      <c r="J43" t="s">
        <v>42</v>
      </c>
      <c r="K43" t="s">
        <v>43</v>
      </c>
      <c r="L43" s="1">
        <v>44774</v>
      </c>
      <c r="M43">
        <v>2022</v>
      </c>
    </row>
    <row r="44" spans="1:13" x14ac:dyDescent="0.25">
      <c r="A44" t="s">
        <v>238</v>
      </c>
      <c r="B44">
        <v>7826</v>
      </c>
      <c r="C44">
        <v>1221</v>
      </c>
      <c r="D44">
        <v>14</v>
      </c>
      <c r="E44" t="s">
        <v>45</v>
      </c>
      <c r="F44" t="s">
        <v>109</v>
      </c>
      <c r="G44" t="s">
        <v>15</v>
      </c>
      <c r="H44" s="5">
        <v>44722</v>
      </c>
      <c r="I44" t="s">
        <v>239</v>
      </c>
      <c r="J44" t="s">
        <v>71</v>
      </c>
      <c r="K44" t="s">
        <v>72</v>
      </c>
      <c r="L44" s="1">
        <v>44713</v>
      </c>
      <c r="M44">
        <v>2022</v>
      </c>
    </row>
    <row r="45" spans="1:13" x14ac:dyDescent="0.25">
      <c r="A45" t="s">
        <v>238</v>
      </c>
      <c r="B45">
        <v>7826</v>
      </c>
      <c r="C45">
        <v>1221</v>
      </c>
      <c r="D45">
        <v>14</v>
      </c>
      <c r="E45" t="s">
        <v>45</v>
      </c>
      <c r="F45" t="s">
        <v>109</v>
      </c>
      <c r="G45" t="s">
        <v>15</v>
      </c>
      <c r="H45" s="5">
        <v>44790</v>
      </c>
      <c r="I45" t="s">
        <v>241</v>
      </c>
      <c r="J45" t="s">
        <v>42</v>
      </c>
      <c r="K45" t="s">
        <v>43</v>
      </c>
      <c r="L45" s="1">
        <v>44774</v>
      </c>
      <c r="M45">
        <v>2022</v>
      </c>
    </row>
    <row r="46" spans="1:13" x14ac:dyDescent="0.25">
      <c r="A46" t="s">
        <v>265</v>
      </c>
      <c r="B46">
        <v>9883</v>
      </c>
      <c r="C46">
        <v>4812</v>
      </c>
      <c r="D46">
        <v>16</v>
      </c>
      <c r="E46" t="s">
        <v>30</v>
      </c>
      <c r="F46" t="s">
        <v>64</v>
      </c>
      <c r="G46" t="s">
        <v>15</v>
      </c>
      <c r="H46" s="5">
        <v>44784</v>
      </c>
      <c r="I46" t="s">
        <v>267</v>
      </c>
      <c r="J46" t="s">
        <v>17</v>
      </c>
      <c r="K46" t="s">
        <v>34</v>
      </c>
      <c r="L46" s="1">
        <v>44774</v>
      </c>
      <c r="M46">
        <v>2022</v>
      </c>
    </row>
    <row r="47" spans="1:13" x14ac:dyDescent="0.25">
      <c r="A47" t="s">
        <v>265</v>
      </c>
      <c r="B47">
        <v>5210</v>
      </c>
      <c r="C47">
        <v>1185</v>
      </c>
      <c r="D47">
        <v>7</v>
      </c>
      <c r="E47" t="s">
        <v>30</v>
      </c>
      <c r="F47" t="s">
        <v>64</v>
      </c>
      <c r="G47" t="s">
        <v>15</v>
      </c>
      <c r="H47" s="5">
        <v>44784</v>
      </c>
      <c r="I47" t="s">
        <v>267</v>
      </c>
      <c r="J47" t="s">
        <v>17</v>
      </c>
      <c r="K47" t="s">
        <v>34</v>
      </c>
      <c r="L47" s="1">
        <v>44774</v>
      </c>
      <c r="M47">
        <v>2022</v>
      </c>
    </row>
    <row r="48" spans="1:13" x14ac:dyDescent="0.25">
      <c r="A48" t="s">
        <v>269</v>
      </c>
      <c r="B48">
        <v>3574</v>
      </c>
      <c r="C48">
        <v>851</v>
      </c>
      <c r="D48">
        <v>4</v>
      </c>
      <c r="E48" t="s">
        <v>13</v>
      </c>
      <c r="F48" t="s">
        <v>28</v>
      </c>
      <c r="G48" t="s">
        <v>47</v>
      </c>
      <c r="H48" s="5">
        <v>44615</v>
      </c>
      <c r="I48" t="s">
        <v>270</v>
      </c>
      <c r="J48" t="s">
        <v>42</v>
      </c>
      <c r="K48" t="s">
        <v>43</v>
      </c>
      <c r="L48" s="1">
        <v>44593</v>
      </c>
      <c r="M48">
        <v>2022</v>
      </c>
    </row>
    <row r="49" spans="1:13" x14ac:dyDescent="0.25">
      <c r="A49" t="s">
        <v>269</v>
      </c>
      <c r="B49">
        <v>576</v>
      </c>
      <c r="C49">
        <v>76</v>
      </c>
      <c r="D49">
        <v>13</v>
      </c>
      <c r="E49" t="s">
        <v>45</v>
      </c>
      <c r="F49" t="s">
        <v>60</v>
      </c>
      <c r="G49" t="s">
        <v>15</v>
      </c>
      <c r="H49" s="5">
        <v>44615</v>
      </c>
      <c r="I49" t="s">
        <v>270</v>
      </c>
      <c r="J49" t="s">
        <v>42</v>
      </c>
      <c r="K49" t="s">
        <v>43</v>
      </c>
      <c r="L49" s="1">
        <v>44593</v>
      </c>
      <c r="M49">
        <v>2022</v>
      </c>
    </row>
    <row r="50" spans="1:13" x14ac:dyDescent="0.25">
      <c r="A50" t="s">
        <v>281</v>
      </c>
      <c r="B50">
        <v>3234</v>
      </c>
      <c r="C50">
        <v>1029</v>
      </c>
      <c r="D50">
        <v>20</v>
      </c>
      <c r="E50" t="s">
        <v>30</v>
      </c>
      <c r="F50" t="s">
        <v>57</v>
      </c>
      <c r="G50" t="s">
        <v>47</v>
      </c>
      <c r="H50" s="5">
        <v>44640</v>
      </c>
      <c r="I50" t="s">
        <v>282</v>
      </c>
      <c r="J50" t="s">
        <v>17</v>
      </c>
      <c r="K50" t="s">
        <v>18</v>
      </c>
      <c r="L50" s="1">
        <v>44621</v>
      </c>
      <c r="M50">
        <v>2022</v>
      </c>
    </row>
    <row r="51" spans="1:13" x14ac:dyDescent="0.25">
      <c r="A51" t="s">
        <v>289</v>
      </c>
      <c r="B51">
        <v>5047</v>
      </c>
      <c r="C51">
        <v>2211</v>
      </c>
      <c r="D51">
        <v>13</v>
      </c>
      <c r="E51" t="s">
        <v>45</v>
      </c>
      <c r="F51" t="s">
        <v>60</v>
      </c>
      <c r="G51" t="s">
        <v>40</v>
      </c>
      <c r="H51" s="5">
        <v>44820</v>
      </c>
      <c r="I51" t="s">
        <v>293</v>
      </c>
      <c r="J51" t="s">
        <v>21</v>
      </c>
      <c r="K51" t="s">
        <v>172</v>
      </c>
      <c r="L51" s="1">
        <v>44805</v>
      </c>
      <c r="M51">
        <v>2022</v>
      </c>
    </row>
    <row r="52" spans="1:13" x14ac:dyDescent="0.25">
      <c r="A52" t="s">
        <v>289</v>
      </c>
      <c r="B52">
        <v>5047</v>
      </c>
      <c r="C52">
        <v>2211</v>
      </c>
      <c r="D52">
        <v>13</v>
      </c>
      <c r="E52" t="s">
        <v>45</v>
      </c>
      <c r="F52" t="s">
        <v>60</v>
      </c>
      <c r="G52" t="s">
        <v>40</v>
      </c>
      <c r="H52" s="5">
        <v>44687</v>
      </c>
      <c r="I52" t="s">
        <v>294</v>
      </c>
      <c r="J52" t="s">
        <v>25</v>
      </c>
      <c r="K52" t="s">
        <v>26</v>
      </c>
      <c r="L52" s="1">
        <v>44682</v>
      </c>
      <c r="M52">
        <v>2022</v>
      </c>
    </row>
    <row r="53" spans="1:13" x14ac:dyDescent="0.25">
      <c r="A53" t="s">
        <v>301</v>
      </c>
      <c r="B53">
        <v>6671</v>
      </c>
      <c r="C53">
        <v>2797</v>
      </c>
      <c r="D53">
        <v>10</v>
      </c>
      <c r="E53" t="s">
        <v>13</v>
      </c>
      <c r="F53" t="s">
        <v>82</v>
      </c>
      <c r="G53" t="s">
        <v>15</v>
      </c>
      <c r="H53" s="5">
        <v>44907</v>
      </c>
      <c r="I53" t="s">
        <v>302</v>
      </c>
      <c r="J53" t="s">
        <v>21</v>
      </c>
      <c r="K53" t="s">
        <v>172</v>
      </c>
      <c r="L53" s="1">
        <v>44896</v>
      </c>
      <c r="M53">
        <v>2022</v>
      </c>
    </row>
    <row r="54" spans="1:13" x14ac:dyDescent="0.25">
      <c r="A54" t="s">
        <v>303</v>
      </c>
      <c r="B54">
        <v>7472</v>
      </c>
      <c r="C54">
        <v>1037</v>
      </c>
      <c r="D54">
        <v>3</v>
      </c>
      <c r="E54" t="s">
        <v>30</v>
      </c>
      <c r="F54" t="s">
        <v>64</v>
      </c>
      <c r="G54" t="s">
        <v>65</v>
      </c>
      <c r="H54" s="5">
        <v>44854</v>
      </c>
      <c r="I54" t="s">
        <v>304</v>
      </c>
      <c r="J54" t="s">
        <v>21</v>
      </c>
      <c r="K54" t="s">
        <v>63</v>
      </c>
      <c r="L54" s="1">
        <v>44835</v>
      </c>
      <c r="M54">
        <v>2022</v>
      </c>
    </row>
    <row r="55" spans="1:13" x14ac:dyDescent="0.25">
      <c r="A55" t="s">
        <v>303</v>
      </c>
      <c r="B55">
        <v>9548</v>
      </c>
      <c r="C55">
        <v>1806</v>
      </c>
      <c r="D55">
        <v>9</v>
      </c>
      <c r="E55" t="s">
        <v>13</v>
      </c>
      <c r="F55" t="s">
        <v>28</v>
      </c>
      <c r="G55" t="s">
        <v>65</v>
      </c>
      <c r="H55" s="5">
        <v>44854</v>
      </c>
      <c r="I55" t="s">
        <v>304</v>
      </c>
      <c r="J55" t="s">
        <v>21</v>
      </c>
      <c r="K55" t="s">
        <v>63</v>
      </c>
      <c r="L55" s="1">
        <v>44835</v>
      </c>
      <c r="M55">
        <v>2022</v>
      </c>
    </row>
    <row r="56" spans="1:13" x14ac:dyDescent="0.25">
      <c r="A56" t="s">
        <v>323</v>
      </c>
      <c r="B56">
        <v>1341</v>
      </c>
      <c r="C56">
        <v>615</v>
      </c>
      <c r="D56">
        <v>4</v>
      </c>
      <c r="E56" t="s">
        <v>13</v>
      </c>
      <c r="F56" t="s">
        <v>39</v>
      </c>
      <c r="G56" t="s">
        <v>15</v>
      </c>
      <c r="H56" s="5">
        <v>44785</v>
      </c>
      <c r="I56" t="s">
        <v>324</v>
      </c>
      <c r="J56" t="s">
        <v>17</v>
      </c>
      <c r="K56" t="s">
        <v>34</v>
      </c>
      <c r="L56" s="1">
        <v>44774</v>
      </c>
      <c r="M56">
        <v>2022</v>
      </c>
    </row>
    <row r="57" spans="1:13" x14ac:dyDescent="0.25">
      <c r="A57" t="s">
        <v>325</v>
      </c>
      <c r="B57">
        <v>9851</v>
      </c>
      <c r="C57">
        <v>2669</v>
      </c>
      <c r="D57">
        <v>19</v>
      </c>
      <c r="E57" t="s">
        <v>13</v>
      </c>
      <c r="F57" t="s">
        <v>14</v>
      </c>
      <c r="G57" t="s">
        <v>32</v>
      </c>
      <c r="H57" s="5">
        <v>44648</v>
      </c>
      <c r="I57" t="s">
        <v>326</v>
      </c>
      <c r="J57" t="s">
        <v>98</v>
      </c>
      <c r="K57" t="s">
        <v>117</v>
      </c>
      <c r="L57" s="1">
        <v>44621</v>
      </c>
      <c r="M57">
        <v>2022</v>
      </c>
    </row>
    <row r="58" spans="1:13" x14ac:dyDescent="0.25">
      <c r="A58" t="s">
        <v>325</v>
      </c>
      <c r="B58">
        <v>9851</v>
      </c>
      <c r="C58">
        <v>2669</v>
      </c>
      <c r="D58">
        <v>19</v>
      </c>
      <c r="E58" t="s">
        <v>13</v>
      </c>
      <c r="F58" t="s">
        <v>14</v>
      </c>
      <c r="G58" t="s">
        <v>32</v>
      </c>
      <c r="H58" s="5">
        <v>44826</v>
      </c>
      <c r="I58" t="s">
        <v>328</v>
      </c>
      <c r="J58" t="s">
        <v>17</v>
      </c>
      <c r="K58" t="s">
        <v>34</v>
      </c>
      <c r="L58" s="1">
        <v>44805</v>
      </c>
      <c r="M58">
        <v>2022</v>
      </c>
    </row>
    <row r="59" spans="1:13" x14ac:dyDescent="0.25">
      <c r="A59" t="s">
        <v>325</v>
      </c>
      <c r="B59">
        <v>9989</v>
      </c>
      <c r="C59">
        <v>3930</v>
      </c>
      <c r="D59">
        <v>14</v>
      </c>
      <c r="E59" t="s">
        <v>45</v>
      </c>
      <c r="F59" t="s">
        <v>46</v>
      </c>
      <c r="G59" t="s">
        <v>32</v>
      </c>
      <c r="H59" s="5">
        <v>44648</v>
      </c>
      <c r="I59" t="s">
        <v>326</v>
      </c>
      <c r="J59" t="s">
        <v>98</v>
      </c>
      <c r="K59" t="s">
        <v>117</v>
      </c>
      <c r="L59" s="1">
        <v>44621</v>
      </c>
      <c r="M59">
        <v>2022</v>
      </c>
    </row>
    <row r="60" spans="1:13" x14ac:dyDescent="0.25">
      <c r="A60" t="s">
        <v>325</v>
      </c>
      <c r="B60">
        <v>9989</v>
      </c>
      <c r="C60">
        <v>3930</v>
      </c>
      <c r="D60">
        <v>14</v>
      </c>
      <c r="E60" t="s">
        <v>45</v>
      </c>
      <c r="F60" t="s">
        <v>46</v>
      </c>
      <c r="G60" t="s">
        <v>32</v>
      </c>
      <c r="H60" s="5">
        <v>44826</v>
      </c>
      <c r="I60" t="s">
        <v>328</v>
      </c>
      <c r="J60" t="s">
        <v>17</v>
      </c>
      <c r="K60" t="s">
        <v>34</v>
      </c>
      <c r="L60" s="1">
        <v>44805</v>
      </c>
      <c r="M60">
        <v>2022</v>
      </c>
    </row>
    <row r="61" spans="1:13" x14ac:dyDescent="0.25">
      <c r="A61" t="s">
        <v>329</v>
      </c>
      <c r="B61">
        <v>7421</v>
      </c>
      <c r="C61">
        <v>958</v>
      </c>
      <c r="D61">
        <v>10</v>
      </c>
      <c r="E61" t="s">
        <v>45</v>
      </c>
      <c r="F61" t="s">
        <v>46</v>
      </c>
      <c r="G61" t="s">
        <v>65</v>
      </c>
      <c r="H61" s="5">
        <v>44915</v>
      </c>
      <c r="I61" t="s">
        <v>330</v>
      </c>
      <c r="J61" t="s">
        <v>71</v>
      </c>
      <c r="K61" t="s">
        <v>138</v>
      </c>
      <c r="L61" s="1">
        <v>44896</v>
      </c>
      <c r="M61">
        <v>2022</v>
      </c>
    </row>
    <row r="62" spans="1:13" x14ac:dyDescent="0.25">
      <c r="A62" t="s">
        <v>329</v>
      </c>
      <c r="B62">
        <v>7421</v>
      </c>
      <c r="C62">
        <v>958</v>
      </c>
      <c r="D62">
        <v>10</v>
      </c>
      <c r="E62" t="s">
        <v>45</v>
      </c>
      <c r="F62" t="s">
        <v>46</v>
      </c>
      <c r="G62" t="s">
        <v>65</v>
      </c>
      <c r="H62" s="5">
        <v>44577</v>
      </c>
      <c r="I62" t="s">
        <v>331</v>
      </c>
      <c r="J62" t="s">
        <v>71</v>
      </c>
      <c r="K62" t="s">
        <v>138</v>
      </c>
      <c r="L62" s="1">
        <v>44562</v>
      </c>
      <c r="M62">
        <v>2022</v>
      </c>
    </row>
    <row r="63" spans="1:13" x14ac:dyDescent="0.25">
      <c r="A63" t="s">
        <v>334</v>
      </c>
      <c r="B63">
        <v>3099</v>
      </c>
      <c r="C63">
        <v>479</v>
      </c>
      <c r="D63">
        <v>1</v>
      </c>
      <c r="E63" t="s">
        <v>30</v>
      </c>
      <c r="F63" t="s">
        <v>64</v>
      </c>
      <c r="G63" t="s">
        <v>65</v>
      </c>
      <c r="H63" s="5">
        <v>44576</v>
      </c>
      <c r="I63" t="s">
        <v>335</v>
      </c>
      <c r="J63" t="s">
        <v>25</v>
      </c>
      <c r="K63" t="s">
        <v>26</v>
      </c>
      <c r="L63" s="1">
        <v>44562</v>
      </c>
      <c r="M63">
        <v>2022</v>
      </c>
    </row>
    <row r="64" spans="1:13" x14ac:dyDescent="0.25">
      <c r="A64" t="s">
        <v>334</v>
      </c>
      <c r="B64">
        <v>2521</v>
      </c>
      <c r="C64">
        <v>906</v>
      </c>
      <c r="D64">
        <v>7</v>
      </c>
      <c r="E64" t="s">
        <v>13</v>
      </c>
      <c r="F64" t="s">
        <v>82</v>
      </c>
      <c r="G64" t="s">
        <v>65</v>
      </c>
      <c r="H64" s="5">
        <v>44576</v>
      </c>
      <c r="I64" t="s">
        <v>335</v>
      </c>
      <c r="J64" t="s">
        <v>25</v>
      </c>
      <c r="K64" t="s">
        <v>26</v>
      </c>
      <c r="L64" s="1">
        <v>44562</v>
      </c>
      <c r="M64">
        <v>2022</v>
      </c>
    </row>
    <row r="65" spans="1:13" x14ac:dyDescent="0.25">
      <c r="A65" t="s">
        <v>342</v>
      </c>
      <c r="B65">
        <v>738</v>
      </c>
      <c r="C65">
        <v>342</v>
      </c>
      <c r="D65">
        <v>2</v>
      </c>
      <c r="E65" t="s">
        <v>45</v>
      </c>
      <c r="F65" t="s">
        <v>49</v>
      </c>
      <c r="G65" t="s">
        <v>32</v>
      </c>
      <c r="H65" s="5">
        <v>44579</v>
      </c>
      <c r="I65" t="s">
        <v>346</v>
      </c>
      <c r="J65" t="s">
        <v>25</v>
      </c>
      <c r="K65" t="s">
        <v>51</v>
      </c>
      <c r="L65" s="1">
        <v>44562</v>
      </c>
      <c r="M65">
        <v>2022</v>
      </c>
    </row>
    <row r="66" spans="1:13" x14ac:dyDescent="0.25">
      <c r="A66" t="s">
        <v>354</v>
      </c>
      <c r="B66">
        <v>2701</v>
      </c>
      <c r="C66">
        <v>322</v>
      </c>
      <c r="D66">
        <v>11</v>
      </c>
      <c r="E66" t="s">
        <v>13</v>
      </c>
      <c r="F66" t="s">
        <v>28</v>
      </c>
      <c r="G66" t="s">
        <v>15</v>
      </c>
      <c r="H66" s="5">
        <v>44730</v>
      </c>
      <c r="I66" t="s">
        <v>355</v>
      </c>
      <c r="J66" t="s">
        <v>25</v>
      </c>
      <c r="K66" t="s">
        <v>51</v>
      </c>
      <c r="L66" s="1">
        <v>44713</v>
      </c>
      <c r="M66">
        <v>2022</v>
      </c>
    </row>
    <row r="67" spans="1:13" x14ac:dyDescent="0.25">
      <c r="A67" t="s">
        <v>354</v>
      </c>
      <c r="B67">
        <v>7273</v>
      </c>
      <c r="C67">
        <v>2702</v>
      </c>
      <c r="D67">
        <v>18</v>
      </c>
      <c r="E67" t="s">
        <v>30</v>
      </c>
      <c r="F67" t="s">
        <v>64</v>
      </c>
      <c r="G67" t="s">
        <v>65</v>
      </c>
      <c r="H67" s="5">
        <v>44730</v>
      </c>
      <c r="I67" t="s">
        <v>355</v>
      </c>
      <c r="J67" t="s">
        <v>25</v>
      </c>
      <c r="K67" t="s">
        <v>51</v>
      </c>
      <c r="L67" s="1">
        <v>44713</v>
      </c>
      <c r="M67">
        <v>2022</v>
      </c>
    </row>
    <row r="68" spans="1:13" x14ac:dyDescent="0.25">
      <c r="A68" t="s">
        <v>361</v>
      </c>
      <c r="B68">
        <v>4957</v>
      </c>
      <c r="C68">
        <v>1152</v>
      </c>
      <c r="D68">
        <v>8</v>
      </c>
      <c r="E68" t="s">
        <v>30</v>
      </c>
      <c r="F68" t="s">
        <v>57</v>
      </c>
      <c r="G68" t="s">
        <v>47</v>
      </c>
      <c r="H68" s="5">
        <v>44642</v>
      </c>
      <c r="I68" t="s">
        <v>362</v>
      </c>
      <c r="J68" t="s">
        <v>98</v>
      </c>
      <c r="K68" t="s">
        <v>117</v>
      </c>
      <c r="L68" s="1">
        <v>44621</v>
      </c>
      <c r="M68">
        <v>2022</v>
      </c>
    </row>
    <row r="69" spans="1:13" x14ac:dyDescent="0.25">
      <c r="A69" t="s">
        <v>380</v>
      </c>
      <c r="B69">
        <v>2999</v>
      </c>
      <c r="C69">
        <v>145</v>
      </c>
      <c r="D69">
        <v>13</v>
      </c>
      <c r="E69" t="s">
        <v>30</v>
      </c>
      <c r="F69" t="s">
        <v>78</v>
      </c>
      <c r="G69" t="s">
        <v>65</v>
      </c>
      <c r="H69" s="5">
        <v>44796</v>
      </c>
      <c r="I69" t="s">
        <v>381</v>
      </c>
      <c r="J69" t="s">
        <v>21</v>
      </c>
      <c r="K69" t="s">
        <v>22</v>
      </c>
      <c r="L69" s="1">
        <v>44774</v>
      </c>
      <c r="M69">
        <v>2022</v>
      </c>
    </row>
    <row r="70" spans="1:13" x14ac:dyDescent="0.25">
      <c r="A70" t="s">
        <v>380</v>
      </c>
      <c r="B70">
        <v>5142</v>
      </c>
      <c r="C70">
        <v>1916</v>
      </c>
      <c r="D70">
        <v>20</v>
      </c>
      <c r="E70" t="s">
        <v>30</v>
      </c>
      <c r="F70" t="s">
        <v>64</v>
      </c>
      <c r="G70" t="s">
        <v>40</v>
      </c>
      <c r="H70" s="5">
        <v>44796</v>
      </c>
      <c r="I70" t="s">
        <v>381</v>
      </c>
      <c r="J70" t="s">
        <v>21</v>
      </c>
      <c r="K70" t="s">
        <v>22</v>
      </c>
      <c r="L70" s="1">
        <v>44774</v>
      </c>
      <c r="M70">
        <v>2022</v>
      </c>
    </row>
    <row r="71" spans="1:13" x14ac:dyDescent="0.25">
      <c r="A71" t="s">
        <v>382</v>
      </c>
      <c r="B71">
        <v>1239</v>
      </c>
      <c r="C71">
        <v>575</v>
      </c>
      <c r="D71">
        <v>17</v>
      </c>
      <c r="E71" t="s">
        <v>13</v>
      </c>
      <c r="F71" t="s">
        <v>39</v>
      </c>
      <c r="G71" t="s">
        <v>15</v>
      </c>
      <c r="H71" s="5">
        <v>44912</v>
      </c>
      <c r="I71" t="s">
        <v>383</v>
      </c>
      <c r="J71" t="s">
        <v>25</v>
      </c>
      <c r="K71" t="s">
        <v>68</v>
      </c>
      <c r="L71" s="1">
        <v>44896</v>
      </c>
      <c r="M71">
        <v>2022</v>
      </c>
    </row>
    <row r="72" spans="1:13" x14ac:dyDescent="0.25">
      <c r="A72" t="s">
        <v>382</v>
      </c>
      <c r="B72">
        <v>1239</v>
      </c>
      <c r="C72">
        <v>575</v>
      </c>
      <c r="D72">
        <v>17</v>
      </c>
      <c r="E72" t="s">
        <v>13</v>
      </c>
      <c r="F72" t="s">
        <v>39</v>
      </c>
      <c r="G72" t="s">
        <v>15</v>
      </c>
      <c r="H72" s="5">
        <v>44720</v>
      </c>
      <c r="I72" t="s">
        <v>384</v>
      </c>
      <c r="J72" t="s">
        <v>21</v>
      </c>
      <c r="K72" t="s">
        <v>63</v>
      </c>
      <c r="L72" s="1">
        <v>44713</v>
      </c>
      <c r="M72">
        <v>2022</v>
      </c>
    </row>
    <row r="73" spans="1:13" x14ac:dyDescent="0.25">
      <c r="A73" t="s">
        <v>382</v>
      </c>
      <c r="B73">
        <v>1262</v>
      </c>
      <c r="C73">
        <v>515</v>
      </c>
      <c r="D73">
        <v>16</v>
      </c>
      <c r="E73" t="s">
        <v>13</v>
      </c>
      <c r="F73" t="s">
        <v>14</v>
      </c>
      <c r="G73" t="s">
        <v>40</v>
      </c>
      <c r="H73" s="5">
        <v>44912</v>
      </c>
      <c r="I73" t="s">
        <v>383</v>
      </c>
      <c r="J73" t="s">
        <v>25</v>
      </c>
      <c r="K73" t="s">
        <v>68</v>
      </c>
      <c r="L73" s="1">
        <v>44896</v>
      </c>
      <c r="M73">
        <v>2022</v>
      </c>
    </row>
    <row r="74" spans="1:13" x14ac:dyDescent="0.25">
      <c r="A74" t="s">
        <v>382</v>
      </c>
      <c r="B74">
        <v>1262</v>
      </c>
      <c r="C74">
        <v>515</v>
      </c>
      <c r="D74">
        <v>16</v>
      </c>
      <c r="E74" t="s">
        <v>13</v>
      </c>
      <c r="F74" t="s">
        <v>14</v>
      </c>
      <c r="G74" t="s">
        <v>40</v>
      </c>
      <c r="H74" s="5">
        <v>44720</v>
      </c>
      <c r="I74" t="s">
        <v>384</v>
      </c>
      <c r="J74" t="s">
        <v>21</v>
      </c>
      <c r="K74" t="s">
        <v>63</v>
      </c>
      <c r="L74" s="1">
        <v>44713</v>
      </c>
      <c r="M74">
        <v>2022</v>
      </c>
    </row>
    <row r="75" spans="1:13" x14ac:dyDescent="0.25">
      <c r="A75" t="s">
        <v>400</v>
      </c>
      <c r="B75">
        <v>2174</v>
      </c>
      <c r="C75">
        <v>265</v>
      </c>
      <c r="D75">
        <v>19</v>
      </c>
      <c r="E75" t="s">
        <v>30</v>
      </c>
      <c r="F75" t="s">
        <v>31</v>
      </c>
      <c r="G75" t="s">
        <v>47</v>
      </c>
      <c r="H75" s="5">
        <v>44662</v>
      </c>
      <c r="I75" t="s">
        <v>401</v>
      </c>
      <c r="J75" t="s">
        <v>98</v>
      </c>
      <c r="K75" t="s">
        <v>107</v>
      </c>
      <c r="L75" s="1">
        <v>44652</v>
      </c>
      <c r="M75">
        <v>2022</v>
      </c>
    </row>
    <row r="76" spans="1:13" x14ac:dyDescent="0.25">
      <c r="A76" t="s">
        <v>400</v>
      </c>
      <c r="B76">
        <v>8541</v>
      </c>
      <c r="C76">
        <v>2029</v>
      </c>
      <c r="D76">
        <v>12</v>
      </c>
      <c r="E76" t="s">
        <v>13</v>
      </c>
      <c r="F76" t="s">
        <v>14</v>
      </c>
      <c r="G76" t="s">
        <v>47</v>
      </c>
      <c r="H76" s="5">
        <v>44662</v>
      </c>
      <c r="I76" t="s">
        <v>401</v>
      </c>
      <c r="J76" t="s">
        <v>98</v>
      </c>
      <c r="K76" t="s">
        <v>107</v>
      </c>
      <c r="L76" s="1">
        <v>44652</v>
      </c>
      <c r="M76">
        <v>2022</v>
      </c>
    </row>
    <row r="77" spans="1:13" x14ac:dyDescent="0.25">
      <c r="A77" t="s">
        <v>400</v>
      </c>
      <c r="B77">
        <v>1931</v>
      </c>
      <c r="C77">
        <v>551</v>
      </c>
      <c r="D77">
        <v>3</v>
      </c>
      <c r="E77" t="s">
        <v>45</v>
      </c>
      <c r="F77" t="s">
        <v>109</v>
      </c>
      <c r="G77" t="s">
        <v>40</v>
      </c>
      <c r="H77" s="5">
        <v>44662</v>
      </c>
      <c r="I77" t="s">
        <v>401</v>
      </c>
      <c r="J77" t="s">
        <v>98</v>
      </c>
      <c r="K77" t="s">
        <v>107</v>
      </c>
      <c r="L77" s="1">
        <v>44652</v>
      </c>
      <c r="M77">
        <v>2022</v>
      </c>
    </row>
    <row r="78" spans="1:13" x14ac:dyDescent="0.25">
      <c r="A78" t="s">
        <v>408</v>
      </c>
      <c r="B78">
        <v>2323</v>
      </c>
      <c r="C78">
        <v>727</v>
      </c>
      <c r="D78">
        <v>7</v>
      </c>
      <c r="E78" t="s">
        <v>45</v>
      </c>
      <c r="F78" t="s">
        <v>46</v>
      </c>
      <c r="G78" t="s">
        <v>65</v>
      </c>
      <c r="H78" s="5">
        <v>44616</v>
      </c>
      <c r="I78" t="s">
        <v>409</v>
      </c>
      <c r="J78" t="s">
        <v>71</v>
      </c>
      <c r="K78" t="s">
        <v>72</v>
      </c>
      <c r="L78" s="1">
        <v>44593</v>
      </c>
      <c r="M78">
        <v>2022</v>
      </c>
    </row>
    <row r="79" spans="1:13" x14ac:dyDescent="0.25">
      <c r="A79" t="s">
        <v>408</v>
      </c>
      <c r="B79">
        <v>1368</v>
      </c>
      <c r="C79">
        <v>406</v>
      </c>
      <c r="D79">
        <v>9</v>
      </c>
      <c r="E79" t="s">
        <v>45</v>
      </c>
      <c r="F79" t="s">
        <v>109</v>
      </c>
      <c r="G79" t="s">
        <v>15</v>
      </c>
      <c r="H79" s="5">
        <v>44616</v>
      </c>
      <c r="I79" t="s">
        <v>409</v>
      </c>
      <c r="J79" t="s">
        <v>71</v>
      </c>
      <c r="K79" t="s">
        <v>72</v>
      </c>
      <c r="L79" s="1">
        <v>44593</v>
      </c>
      <c r="M79">
        <v>2022</v>
      </c>
    </row>
    <row r="80" spans="1:13" x14ac:dyDescent="0.25">
      <c r="A80" t="s">
        <v>413</v>
      </c>
      <c r="B80">
        <v>5322</v>
      </c>
      <c r="C80">
        <v>1423</v>
      </c>
      <c r="D80">
        <v>18</v>
      </c>
      <c r="E80" t="s">
        <v>45</v>
      </c>
      <c r="F80" t="s">
        <v>60</v>
      </c>
      <c r="G80" t="s">
        <v>65</v>
      </c>
      <c r="H80" s="5">
        <v>44903</v>
      </c>
      <c r="I80" t="s">
        <v>414</v>
      </c>
      <c r="J80" t="s">
        <v>71</v>
      </c>
      <c r="K80" t="s">
        <v>138</v>
      </c>
      <c r="L80" s="1">
        <v>44896</v>
      </c>
      <c r="M80">
        <v>2022</v>
      </c>
    </row>
    <row r="81" spans="1:13" x14ac:dyDescent="0.25">
      <c r="A81" t="s">
        <v>416</v>
      </c>
      <c r="B81">
        <v>2666</v>
      </c>
      <c r="C81">
        <v>559</v>
      </c>
      <c r="D81">
        <v>14</v>
      </c>
      <c r="E81" t="s">
        <v>45</v>
      </c>
      <c r="F81" t="s">
        <v>49</v>
      </c>
      <c r="G81" t="s">
        <v>65</v>
      </c>
      <c r="H81" s="5">
        <v>44758</v>
      </c>
      <c r="I81" t="s">
        <v>417</v>
      </c>
      <c r="J81" t="s">
        <v>98</v>
      </c>
      <c r="K81" t="s">
        <v>117</v>
      </c>
      <c r="L81" s="1">
        <v>44743</v>
      </c>
      <c r="M81">
        <v>2022</v>
      </c>
    </row>
    <row r="82" spans="1:13" x14ac:dyDescent="0.25">
      <c r="A82" t="s">
        <v>443</v>
      </c>
      <c r="B82">
        <v>2791</v>
      </c>
      <c r="C82">
        <v>894</v>
      </c>
      <c r="D82">
        <v>14</v>
      </c>
      <c r="E82" t="s">
        <v>13</v>
      </c>
      <c r="F82" t="s">
        <v>39</v>
      </c>
      <c r="G82" t="s">
        <v>65</v>
      </c>
      <c r="H82" s="5">
        <v>44842</v>
      </c>
      <c r="I82" t="s">
        <v>444</v>
      </c>
      <c r="J82" t="s">
        <v>71</v>
      </c>
      <c r="K82" t="s">
        <v>86</v>
      </c>
      <c r="L82" s="1">
        <v>44835</v>
      </c>
      <c r="M82">
        <v>2022</v>
      </c>
    </row>
    <row r="83" spans="1:13" x14ac:dyDescent="0.25">
      <c r="A83" t="s">
        <v>443</v>
      </c>
      <c r="B83">
        <v>6223</v>
      </c>
      <c r="C83">
        <v>1478</v>
      </c>
      <c r="D83">
        <v>3</v>
      </c>
      <c r="E83" t="s">
        <v>45</v>
      </c>
      <c r="F83" t="s">
        <v>60</v>
      </c>
      <c r="G83" t="s">
        <v>32</v>
      </c>
      <c r="H83" s="5">
        <v>44842</v>
      </c>
      <c r="I83" t="s">
        <v>444</v>
      </c>
      <c r="J83" t="s">
        <v>71</v>
      </c>
      <c r="K83" t="s">
        <v>86</v>
      </c>
      <c r="L83" s="1">
        <v>44835</v>
      </c>
      <c r="M83">
        <v>2022</v>
      </c>
    </row>
    <row r="84" spans="1:13" x14ac:dyDescent="0.25">
      <c r="A84" t="s">
        <v>443</v>
      </c>
      <c r="B84">
        <v>8943</v>
      </c>
      <c r="C84">
        <v>3121</v>
      </c>
      <c r="D84">
        <v>17</v>
      </c>
      <c r="E84" t="s">
        <v>45</v>
      </c>
      <c r="F84" t="s">
        <v>49</v>
      </c>
      <c r="G84" t="s">
        <v>32</v>
      </c>
      <c r="H84" s="5">
        <v>44842</v>
      </c>
      <c r="I84" t="s">
        <v>444</v>
      </c>
      <c r="J84" t="s">
        <v>71</v>
      </c>
      <c r="K84" t="s">
        <v>86</v>
      </c>
      <c r="L84" s="1">
        <v>44835</v>
      </c>
      <c r="M84">
        <v>2022</v>
      </c>
    </row>
    <row r="85" spans="1:13" x14ac:dyDescent="0.25">
      <c r="A85" t="s">
        <v>443</v>
      </c>
      <c r="B85">
        <v>3297</v>
      </c>
      <c r="C85">
        <v>102</v>
      </c>
      <c r="D85">
        <v>12</v>
      </c>
      <c r="E85" t="s">
        <v>13</v>
      </c>
      <c r="F85" t="s">
        <v>82</v>
      </c>
      <c r="G85" t="s">
        <v>47</v>
      </c>
      <c r="H85" s="5">
        <v>44842</v>
      </c>
      <c r="I85" t="s">
        <v>444</v>
      </c>
      <c r="J85" t="s">
        <v>71</v>
      </c>
      <c r="K85" t="s">
        <v>86</v>
      </c>
      <c r="L85" s="1">
        <v>44835</v>
      </c>
      <c r="M85">
        <v>2022</v>
      </c>
    </row>
    <row r="86" spans="1:13" x14ac:dyDescent="0.25">
      <c r="A86" t="s">
        <v>449</v>
      </c>
      <c r="B86">
        <v>9057</v>
      </c>
      <c r="C86">
        <v>1888</v>
      </c>
      <c r="D86">
        <v>19</v>
      </c>
      <c r="E86" t="s">
        <v>13</v>
      </c>
      <c r="F86" t="s">
        <v>28</v>
      </c>
      <c r="G86" t="s">
        <v>65</v>
      </c>
      <c r="H86" s="5">
        <v>44711</v>
      </c>
      <c r="I86" t="s">
        <v>450</v>
      </c>
      <c r="J86" t="s">
        <v>17</v>
      </c>
      <c r="K86" t="s">
        <v>34</v>
      </c>
      <c r="L86" s="1">
        <v>44682</v>
      </c>
      <c r="M86">
        <v>2022</v>
      </c>
    </row>
    <row r="87" spans="1:13" x14ac:dyDescent="0.25">
      <c r="A87" t="s">
        <v>449</v>
      </c>
      <c r="B87">
        <v>6864</v>
      </c>
      <c r="C87">
        <v>3275</v>
      </c>
      <c r="D87">
        <v>11</v>
      </c>
      <c r="E87" t="s">
        <v>45</v>
      </c>
      <c r="F87" t="s">
        <v>46</v>
      </c>
      <c r="G87" t="s">
        <v>47</v>
      </c>
      <c r="H87" s="5">
        <v>44711</v>
      </c>
      <c r="I87" t="s">
        <v>450</v>
      </c>
      <c r="J87" t="s">
        <v>17</v>
      </c>
      <c r="K87" t="s">
        <v>34</v>
      </c>
      <c r="L87" s="1">
        <v>44682</v>
      </c>
      <c r="M87">
        <v>2022</v>
      </c>
    </row>
    <row r="88" spans="1:13" x14ac:dyDescent="0.25">
      <c r="A88" t="s">
        <v>449</v>
      </c>
      <c r="B88">
        <v>9200</v>
      </c>
      <c r="C88">
        <v>809</v>
      </c>
      <c r="D88">
        <v>13</v>
      </c>
      <c r="E88" t="s">
        <v>13</v>
      </c>
      <c r="F88" t="s">
        <v>39</v>
      </c>
      <c r="G88" t="s">
        <v>65</v>
      </c>
      <c r="H88" s="5">
        <v>44711</v>
      </c>
      <c r="I88" t="s">
        <v>450</v>
      </c>
      <c r="J88" t="s">
        <v>17</v>
      </c>
      <c r="K88" t="s">
        <v>34</v>
      </c>
      <c r="L88" s="1">
        <v>44682</v>
      </c>
      <c r="M88">
        <v>2022</v>
      </c>
    </row>
    <row r="89" spans="1:13" x14ac:dyDescent="0.25">
      <c r="A89" t="s">
        <v>453</v>
      </c>
      <c r="B89">
        <v>4364</v>
      </c>
      <c r="C89">
        <v>148</v>
      </c>
      <c r="D89">
        <v>18</v>
      </c>
      <c r="E89" t="s">
        <v>45</v>
      </c>
      <c r="F89" t="s">
        <v>46</v>
      </c>
      <c r="G89" t="s">
        <v>40</v>
      </c>
      <c r="H89" s="5">
        <v>44757</v>
      </c>
      <c r="I89" t="s">
        <v>454</v>
      </c>
      <c r="J89" t="s">
        <v>98</v>
      </c>
      <c r="K89" t="s">
        <v>107</v>
      </c>
      <c r="L89" s="1">
        <v>44743</v>
      </c>
      <c r="M89">
        <v>2022</v>
      </c>
    </row>
    <row r="90" spans="1:13" x14ac:dyDescent="0.25">
      <c r="A90" t="s">
        <v>453</v>
      </c>
      <c r="B90">
        <v>736</v>
      </c>
      <c r="C90">
        <v>286</v>
      </c>
      <c r="D90">
        <v>12</v>
      </c>
      <c r="E90" t="s">
        <v>30</v>
      </c>
      <c r="F90" t="s">
        <v>31</v>
      </c>
      <c r="G90" t="s">
        <v>40</v>
      </c>
      <c r="H90" s="5">
        <v>44757</v>
      </c>
      <c r="I90" t="s">
        <v>454</v>
      </c>
      <c r="J90" t="s">
        <v>98</v>
      </c>
      <c r="K90" t="s">
        <v>107</v>
      </c>
      <c r="L90" s="1">
        <v>44743</v>
      </c>
      <c r="M90">
        <v>2022</v>
      </c>
    </row>
    <row r="91" spans="1:13" x14ac:dyDescent="0.25">
      <c r="A91" t="s">
        <v>471</v>
      </c>
      <c r="B91">
        <v>7643</v>
      </c>
      <c r="C91">
        <v>3720</v>
      </c>
      <c r="D91">
        <v>19</v>
      </c>
      <c r="E91" t="s">
        <v>13</v>
      </c>
      <c r="F91" t="s">
        <v>14</v>
      </c>
      <c r="G91" t="s">
        <v>40</v>
      </c>
      <c r="H91" s="5">
        <v>44760</v>
      </c>
      <c r="I91" t="s">
        <v>472</v>
      </c>
      <c r="J91" t="s">
        <v>71</v>
      </c>
      <c r="K91" t="s">
        <v>72</v>
      </c>
      <c r="L91" s="1">
        <v>44743</v>
      </c>
      <c r="M91">
        <v>2022</v>
      </c>
    </row>
    <row r="92" spans="1:13" x14ac:dyDescent="0.25">
      <c r="A92" t="s">
        <v>482</v>
      </c>
      <c r="B92">
        <v>3083</v>
      </c>
      <c r="C92">
        <v>1151</v>
      </c>
      <c r="D92">
        <v>16</v>
      </c>
      <c r="E92" t="s">
        <v>45</v>
      </c>
      <c r="F92" t="s">
        <v>109</v>
      </c>
      <c r="G92" t="s">
        <v>32</v>
      </c>
      <c r="H92" s="5">
        <v>44667</v>
      </c>
      <c r="I92" t="s">
        <v>483</v>
      </c>
      <c r="J92" t="s">
        <v>17</v>
      </c>
      <c r="K92" t="s">
        <v>34</v>
      </c>
      <c r="L92" s="1">
        <v>44652</v>
      </c>
      <c r="M92">
        <v>2022</v>
      </c>
    </row>
    <row r="93" spans="1:13" x14ac:dyDescent="0.25">
      <c r="A93" t="s">
        <v>484</v>
      </c>
      <c r="B93">
        <v>3522</v>
      </c>
      <c r="C93">
        <v>898</v>
      </c>
      <c r="D93">
        <v>15</v>
      </c>
      <c r="E93" t="s">
        <v>30</v>
      </c>
      <c r="F93" t="s">
        <v>31</v>
      </c>
      <c r="G93" t="s">
        <v>47</v>
      </c>
      <c r="H93" s="5">
        <v>44575</v>
      </c>
      <c r="I93" t="s">
        <v>486</v>
      </c>
      <c r="J93" t="s">
        <v>42</v>
      </c>
      <c r="K93" t="s">
        <v>43</v>
      </c>
      <c r="L93" s="1">
        <v>44562</v>
      </c>
      <c r="M93">
        <v>2022</v>
      </c>
    </row>
    <row r="94" spans="1:13" x14ac:dyDescent="0.25">
      <c r="A94" t="s">
        <v>489</v>
      </c>
      <c r="B94">
        <v>4462</v>
      </c>
      <c r="C94">
        <v>121</v>
      </c>
      <c r="D94">
        <v>8</v>
      </c>
      <c r="E94" t="s">
        <v>13</v>
      </c>
      <c r="F94" t="s">
        <v>39</v>
      </c>
      <c r="G94" t="s">
        <v>65</v>
      </c>
      <c r="H94" s="5">
        <v>44675</v>
      </c>
      <c r="I94" t="s">
        <v>490</v>
      </c>
      <c r="J94" t="s">
        <v>21</v>
      </c>
      <c r="K94" t="s">
        <v>63</v>
      </c>
      <c r="L94" s="1">
        <v>44652</v>
      </c>
      <c r="M94">
        <v>2022</v>
      </c>
    </row>
    <row r="95" spans="1:13" x14ac:dyDescent="0.25">
      <c r="A95" t="s">
        <v>489</v>
      </c>
      <c r="B95">
        <v>6212</v>
      </c>
      <c r="C95">
        <v>1881</v>
      </c>
      <c r="D95">
        <v>17</v>
      </c>
      <c r="E95" t="s">
        <v>13</v>
      </c>
      <c r="F95" t="s">
        <v>82</v>
      </c>
      <c r="G95" t="s">
        <v>65</v>
      </c>
      <c r="H95" s="5">
        <v>44675</v>
      </c>
      <c r="I95" t="s">
        <v>490</v>
      </c>
      <c r="J95" t="s">
        <v>21</v>
      </c>
      <c r="K95" t="s">
        <v>63</v>
      </c>
      <c r="L95" s="1">
        <v>44652</v>
      </c>
      <c r="M95">
        <v>2022</v>
      </c>
    </row>
    <row r="96" spans="1:13" x14ac:dyDescent="0.25">
      <c r="A96" t="s">
        <v>499</v>
      </c>
      <c r="B96">
        <v>6008</v>
      </c>
      <c r="C96">
        <v>2498</v>
      </c>
      <c r="D96">
        <v>17</v>
      </c>
      <c r="E96" t="s">
        <v>13</v>
      </c>
      <c r="F96" t="s">
        <v>82</v>
      </c>
      <c r="G96" t="s">
        <v>47</v>
      </c>
      <c r="H96" s="5">
        <v>44758</v>
      </c>
      <c r="I96" t="s">
        <v>500</v>
      </c>
      <c r="J96" t="s">
        <v>17</v>
      </c>
      <c r="K96" t="s">
        <v>18</v>
      </c>
      <c r="L96" s="1">
        <v>44743</v>
      </c>
      <c r="M96">
        <v>2022</v>
      </c>
    </row>
    <row r="97" spans="1:13" x14ac:dyDescent="0.25">
      <c r="A97" t="s">
        <v>501</v>
      </c>
      <c r="B97">
        <v>7344</v>
      </c>
      <c r="C97">
        <v>2598</v>
      </c>
      <c r="D97">
        <v>20</v>
      </c>
      <c r="E97" t="s">
        <v>45</v>
      </c>
      <c r="F97" t="s">
        <v>109</v>
      </c>
      <c r="G97" t="s">
        <v>65</v>
      </c>
      <c r="H97" s="5">
        <v>44774</v>
      </c>
      <c r="I97" t="s">
        <v>502</v>
      </c>
      <c r="J97" t="s">
        <v>71</v>
      </c>
      <c r="K97" t="s">
        <v>72</v>
      </c>
      <c r="L97" s="1">
        <v>44774</v>
      </c>
      <c r="M97">
        <v>2022</v>
      </c>
    </row>
    <row r="98" spans="1:13" x14ac:dyDescent="0.25">
      <c r="A98" t="s">
        <v>510</v>
      </c>
      <c r="B98">
        <v>4099</v>
      </c>
      <c r="C98">
        <v>52</v>
      </c>
      <c r="D98">
        <v>18</v>
      </c>
      <c r="E98" t="s">
        <v>13</v>
      </c>
      <c r="F98" t="s">
        <v>39</v>
      </c>
      <c r="G98" t="s">
        <v>15</v>
      </c>
      <c r="H98" s="5">
        <v>44648</v>
      </c>
      <c r="I98" t="s">
        <v>511</v>
      </c>
      <c r="J98" t="s">
        <v>25</v>
      </c>
      <c r="K98" t="s">
        <v>51</v>
      </c>
      <c r="L98" s="1">
        <v>44621</v>
      </c>
      <c r="M98">
        <v>2022</v>
      </c>
    </row>
    <row r="99" spans="1:13" x14ac:dyDescent="0.25">
      <c r="A99" t="s">
        <v>524</v>
      </c>
      <c r="B99">
        <v>9894</v>
      </c>
      <c r="C99">
        <v>829</v>
      </c>
      <c r="D99">
        <v>1</v>
      </c>
      <c r="E99" t="s">
        <v>30</v>
      </c>
      <c r="F99" t="s">
        <v>78</v>
      </c>
      <c r="G99" t="s">
        <v>65</v>
      </c>
      <c r="H99" s="5">
        <v>44794</v>
      </c>
      <c r="I99" t="s">
        <v>525</v>
      </c>
      <c r="J99" t="s">
        <v>42</v>
      </c>
      <c r="K99" t="s">
        <v>75</v>
      </c>
      <c r="L99" s="1">
        <v>44774</v>
      </c>
      <c r="M99">
        <v>2022</v>
      </c>
    </row>
    <row r="100" spans="1:13" x14ac:dyDescent="0.25">
      <c r="A100" t="s">
        <v>524</v>
      </c>
      <c r="B100">
        <v>4534</v>
      </c>
      <c r="C100">
        <v>2235</v>
      </c>
      <c r="D100">
        <v>4</v>
      </c>
      <c r="E100" t="s">
        <v>45</v>
      </c>
      <c r="F100" t="s">
        <v>46</v>
      </c>
      <c r="G100" t="s">
        <v>65</v>
      </c>
      <c r="H100" s="5">
        <v>44794</v>
      </c>
      <c r="I100" t="s">
        <v>525</v>
      </c>
      <c r="J100" t="s">
        <v>42</v>
      </c>
      <c r="K100" t="s">
        <v>75</v>
      </c>
      <c r="L100" s="1">
        <v>44774</v>
      </c>
      <c r="M100">
        <v>2022</v>
      </c>
    </row>
    <row r="101" spans="1:13" x14ac:dyDescent="0.25">
      <c r="A101" t="s">
        <v>526</v>
      </c>
      <c r="B101">
        <v>4911</v>
      </c>
      <c r="C101">
        <v>186</v>
      </c>
      <c r="D101">
        <v>20</v>
      </c>
      <c r="E101" t="s">
        <v>13</v>
      </c>
      <c r="F101" t="s">
        <v>82</v>
      </c>
      <c r="G101" t="s">
        <v>32</v>
      </c>
      <c r="H101" s="5">
        <v>44731</v>
      </c>
      <c r="I101" t="s">
        <v>527</v>
      </c>
      <c r="J101" t="s">
        <v>25</v>
      </c>
      <c r="K101" t="s">
        <v>26</v>
      </c>
      <c r="L101" s="1">
        <v>44713</v>
      </c>
      <c r="M101">
        <v>2022</v>
      </c>
    </row>
    <row r="102" spans="1:13" x14ac:dyDescent="0.25">
      <c r="A102" t="s">
        <v>526</v>
      </c>
      <c r="B102">
        <v>531</v>
      </c>
      <c r="C102">
        <v>189</v>
      </c>
      <c r="D102">
        <v>20</v>
      </c>
      <c r="E102" t="s">
        <v>45</v>
      </c>
      <c r="F102" t="s">
        <v>109</v>
      </c>
      <c r="G102" t="s">
        <v>32</v>
      </c>
      <c r="H102" s="5">
        <v>44731</v>
      </c>
      <c r="I102" t="s">
        <v>527</v>
      </c>
      <c r="J102" t="s">
        <v>25</v>
      </c>
      <c r="K102" t="s">
        <v>26</v>
      </c>
      <c r="L102" s="1">
        <v>44713</v>
      </c>
      <c r="M102">
        <v>2022</v>
      </c>
    </row>
    <row r="103" spans="1:13" x14ac:dyDescent="0.25">
      <c r="A103" t="s">
        <v>530</v>
      </c>
      <c r="B103">
        <v>8438</v>
      </c>
      <c r="C103">
        <v>3427</v>
      </c>
      <c r="D103">
        <v>12</v>
      </c>
      <c r="E103" t="s">
        <v>30</v>
      </c>
      <c r="F103" t="s">
        <v>78</v>
      </c>
      <c r="G103" t="s">
        <v>47</v>
      </c>
      <c r="H103" s="5">
        <v>44575</v>
      </c>
      <c r="I103" t="s">
        <v>531</v>
      </c>
      <c r="J103" t="s">
        <v>25</v>
      </c>
      <c r="K103" t="s">
        <v>26</v>
      </c>
      <c r="L103" s="1">
        <v>44562</v>
      </c>
      <c r="M103">
        <v>2022</v>
      </c>
    </row>
    <row r="104" spans="1:13" x14ac:dyDescent="0.25">
      <c r="A104" t="s">
        <v>530</v>
      </c>
      <c r="B104">
        <v>1689</v>
      </c>
      <c r="C104">
        <v>109</v>
      </c>
      <c r="D104">
        <v>9</v>
      </c>
      <c r="E104" t="s">
        <v>13</v>
      </c>
      <c r="F104" t="s">
        <v>14</v>
      </c>
      <c r="G104" t="s">
        <v>15</v>
      </c>
      <c r="H104" s="5">
        <v>44575</v>
      </c>
      <c r="I104" t="s">
        <v>531</v>
      </c>
      <c r="J104" t="s">
        <v>25</v>
      </c>
      <c r="K104" t="s">
        <v>26</v>
      </c>
      <c r="L104" s="1">
        <v>44562</v>
      </c>
      <c r="M104">
        <v>2022</v>
      </c>
    </row>
    <row r="105" spans="1:13" x14ac:dyDescent="0.25">
      <c r="A105" t="s">
        <v>530</v>
      </c>
      <c r="B105">
        <v>3936</v>
      </c>
      <c r="C105">
        <v>1626</v>
      </c>
      <c r="D105">
        <v>14</v>
      </c>
      <c r="E105" t="s">
        <v>30</v>
      </c>
      <c r="F105" t="s">
        <v>64</v>
      </c>
      <c r="G105" t="s">
        <v>65</v>
      </c>
      <c r="H105" s="5">
        <v>44575</v>
      </c>
      <c r="I105" t="s">
        <v>531</v>
      </c>
      <c r="J105" t="s">
        <v>25</v>
      </c>
      <c r="K105" t="s">
        <v>26</v>
      </c>
      <c r="L105" s="1">
        <v>44562</v>
      </c>
      <c r="M105">
        <v>2022</v>
      </c>
    </row>
    <row r="106" spans="1:13" x14ac:dyDescent="0.25">
      <c r="A106" t="s">
        <v>534</v>
      </c>
      <c r="B106">
        <v>721</v>
      </c>
      <c r="C106">
        <v>258</v>
      </c>
      <c r="D106">
        <v>13</v>
      </c>
      <c r="E106" t="s">
        <v>13</v>
      </c>
      <c r="F106" t="s">
        <v>39</v>
      </c>
      <c r="G106" t="s">
        <v>32</v>
      </c>
      <c r="H106" s="5">
        <v>44725</v>
      </c>
      <c r="I106" t="s">
        <v>536</v>
      </c>
      <c r="J106" t="s">
        <v>25</v>
      </c>
      <c r="K106" t="s">
        <v>26</v>
      </c>
      <c r="L106" s="1">
        <v>44713</v>
      </c>
      <c r="M106">
        <v>2022</v>
      </c>
    </row>
    <row r="107" spans="1:13" x14ac:dyDescent="0.25">
      <c r="A107" t="s">
        <v>534</v>
      </c>
      <c r="B107">
        <v>8364</v>
      </c>
      <c r="C107">
        <v>3055</v>
      </c>
      <c r="D107">
        <v>17</v>
      </c>
      <c r="E107" t="s">
        <v>13</v>
      </c>
      <c r="F107" t="s">
        <v>39</v>
      </c>
      <c r="G107" t="s">
        <v>47</v>
      </c>
      <c r="H107" s="5">
        <v>44725</v>
      </c>
      <c r="I107" t="s">
        <v>536</v>
      </c>
      <c r="J107" t="s">
        <v>25</v>
      </c>
      <c r="K107" t="s">
        <v>26</v>
      </c>
      <c r="L107" s="1">
        <v>44713</v>
      </c>
      <c r="M107">
        <v>2022</v>
      </c>
    </row>
    <row r="108" spans="1:13" x14ac:dyDescent="0.25">
      <c r="A108" t="s">
        <v>534</v>
      </c>
      <c r="B108">
        <v>5234</v>
      </c>
      <c r="C108">
        <v>2021</v>
      </c>
      <c r="D108">
        <v>15</v>
      </c>
      <c r="E108" t="s">
        <v>45</v>
      </c>
      <c r="F108" t="s">
        <v>109</v>
      </c>
      <c r="G108" t="s">
        <v>40</v>
      </c>
      <c r="H108" s="5">
        <v>44725</v>
      </c>
      <c r="I108" t="s">
        <v>536</v>
      </c>
      <c r="J108" t="s">
        <v>25</v>
      </c>
      <c r="K108" t="s">
        <v>26</v>
      </c>
      <c r="L108" s="1">
        <v>44713</v>
      </c>
      <c r="M108">
        <v>2022</v>
      </c>
    </row>
    <row r="109" spans="1:13" x14ac:dyDescent="0.25">
      <c r="A109" t="s">
        <v>539</v>
      </c>
      <c r="B109">
        <v>9654</v>
      </c>
      <c r="C109">
        <v>4111</v>
      </c>
      <c r="D109">
        <v>1</v>
      </c>
      <c r="E109" t="s">
        <v>30</v>
      </c>
      <c r="F109" t="s">
        <v>64</v>
      </c>
      <c r="G109" t="s">
        <v>15</v>
      </c>
      <c r="H109" s="5">
        <v>44739</v>
      </c>
      <c r="I109" t="s">
        <v>540</v>
      </c>
      <c r="J109" t="s">
        <v>42</v>
      </c>
      <c r="K109" t="s">
        <v>92</v>
      </c>
      <c r="L109" s="1">
        <v>44713</v>
      </c>
      <c r="M109">
        <v>2022</v>
      </c>
    </row>
    <row r="110" spans="1:13" x14ac:dyDescent="0.25">
      <c r="A110" t="s">
        <v>539</v>
      </c>
      <c r="B110">
        <v>3112</v>
      </c>
      <c r="C110">
        <v>1065</v>
      </c>
      <c r="D110">
        <v>20</v>
      </c>
      <c r="E110" t="s">
        <v>30</v>
      </c>
      <c r="F110" t="s">
        <v>78</v>
      </c>
      <c r="G110" t="s">
        <v>65</v>
      </c>
      <c r="H110" s="5">
        <v>44739</v>
      </c>
      <c r="I110" t="s">
        <v>540</v>
      </c>
      <c r="J110" t="s">
        <v>42</v>
      </c>
      <c r="K110" t="s">
        <v>92</v>
      </c>
      <c r="L110" s="1">
        <v>44713</v>
      </c>
      <c r="M110">
        <v>2022</v>
      </c>
    </row>
    <row r="111" spans="1:13" x14ac:dyDescent="0.25">
      <c r="A111" t="s">
        <v>546</v>
      </c>
      <c r="B111">
        <v>1248</v>
      </c>
      <c r="C111">
        <v>584</v>
      </c>
      <c r="D111">
        <v>13</v>
      </c>
      <c r="E111" t="s">
        <v>30</v>
      </c>
      <c r="F111" t="s">
        <v>31</v>
      </c>
      <c r="G111" t="s">
        <v>40</v>
      </c>
      <c r="H111" s="5">
        <v>44922</v>
      </c>
      <c r="I111" t="s">
        <v>548</v>
      </c>
      <c r="J111" t="s">
        <v>42</v>
      </c>
      <c r="K111" t="s">
        <v>92</v>
      </c>
      <c r="L111" s="1">
        <v>44896</v>
      </c>
      <c r="M111">
        <v>2022</v>
      </c>
    </row>
    <row r="112" spans="1:13" x14ac:dyDescent="0.25">
      <c r="A112" t="s">
        <v>546</v>
      </c>
      <c r="B112">
        <v>3669</v>
      </c>
      <c r="C112">
        <v>154</v>
      </c>
      <c r="D112">
        <v>14</v>
      </c>
      <c r="E112" t="s">
        <v>30</v>
      </c>
      <c r="F112" t="s">
        <v>57</v>
      </c>
      <c r="G112" t="s">
        <v>40</v>
      </c>
      <c r="H112" s="5">
        <v>44922</v>
      </c>
      <c r="I112" t="s">
        <v>548</v>
      </c>
      <c r="J112" t="s">
        <v>42</v>
      </c>
      <c r="K112" t="s">
        <v>92</v>
      </c>
      <c r="L112" s="1">
        <v>44896</v>
      </c>
      <c r="M112">
        <v>2022</v>
      </c>
    </row>
    <row r="113" spans="1:13" x14ac:dyDescent="0.25">
      <c r="A113" t="s">
        <v>546</v>
      </c>
      <c r="B113">
        <v>514</v>
      </c>
      <c r="C113">
        <v>109</v>
      </c>
      <c r="D113">
        <v>15</v>
      </c>
      <c r="E113" t="s">
        <v>30</v>
      </c>
      <c r="F113" t="s">
        <v>64</v>
      </c>
      <c r="G113" t="s">
        <v>32</v>
      </c>
      <c r="H113" s="5">
        <v>44922</v>
      </c>
      <c r="I113" t="s">
        <v>548</v>
      </c>
      <c r="J113" t="s">
        <v>42</v>
      </c>
      <c r="K113" t="s">
        <v>92</v>
      </c>
      <c r="L113" s="1">
        <v>44896</v>
      </c>
      <c r="M113">
        <v>2022</v>
      </c>
    </row>
    <row r="114" spans="1:13" x14ac:dyDescent="0.25">
      <c r="A114" t="s">
        <v>553</v>
      </c>
      <c r="B114">
        <v>5564</v>
      </c>
      <c r="C114">
        <v>175</v>
      </c>
      <c r="D114">
        <v>11</v>
      </c>
      <c r="E114" t="s">
        <v>13</v>
      </c>
      <c r="F114" t="s">
        <v>39</v>
      </c>
      <c r="G114" t="s">
        <v>65</v>
      </c>
      <c r="H114" s="5">
        <v>44663</v>
      </c>
      <c r="I114" t="s">
        <v>555</v>
      </c>
      <c r="J114" t="s">
        <v>71</v>
      </c>
      <c r="K114" t="s">
        <v>138</v>
      </c>
      <c r="L114" s="1">
        <v>44652</v>
      </c>
      <c r="M114">
        <v>2022</v>
      </c>
    </row>
    <row r="115" spans="1:13" x14ac:dyDescent="0.25">
      <c r="A115" t="s">
        <v>553</v>
      </c>
      <c r="B115">
        <v>3953</v>
      </c>
      <c r="C115">
        <v>1776</v>
      </c>
      <c r="D115">
        <v>15</v>
      </c>
      <c r="E115" t="s">
        <v>13</v>
      </c>
      <c r="F115" t="s">
        <v>14</v>
      </c>
      <c r="G115" t="s">
        <v>15</v>
      </c>
      <c r="H115" s="5">
        <v>44663</v>
      </c>
      <c r="I115" t="s">
        <v>555</v>
      </c>
      <c r="J115" t="s">
        <v>71</v>
      </c>
      <c r="K115" t="s">
        <v>138</v>
      </c>
      <c r="L115" s="1">
        <v>44652</v>
      </c>
      <c r="M115">
        <v>2022</v>
      </c>
    </row>
    <row r="116" spans="1:13" x14ac:dyDescent="0.25">
      <c r="A116" t="s">
        <v>562</v>
      </c>
      <c r="B116">
        <v>9386</v>
      </c>
      <c r="C116">
        <v>2555</v>
      </c>
      <c r="D116">
        <v>20</v>
      </c>
      <c r="E116" t="s">
        <v>30</v>
      </c>
      <c r="F116" t="s">
        <v>57</v>
      </c>
      <c r="G116" t="s">
        <v>47</v>
      </c>
      <c r="H116" s="5">
        <v>44854</v>
      </c>
      <c r="I116" t="s">
        <v>564</v>
      </c>
      <c r="J116" t="s">
        <v>98</v>
      </c>
      <c r="K116" t="s">
        <v>117</v>
      </c>
      <c r="L116" s="1">
        <v>44835</v>
      </c>
      <c r="M116">
        <v>2022</v>
      </c>
    </row>
    <row r="117" spans="1:13" x14ac:dyDescent="0.25">
      <c r="A117" t="s">
        <v>576</v>
      </c>
      <c r="B117">
        <v>4906</v>
      </c>
      <c r="C117">
        <v>975</v>
      </c>
      <c r="D117">
        <v>7</v>
      </c>
      <c r="E117" t="s">
        <v>45</v>
      </c>
      <c r="F117" t="s">
        <v>46</v>
      </c>
      <c r="G117" t="s">
        <v>32</v>
      </c>
      <c r="H117" s="5">
        <v>44699</v>
      </c>
      <c r="I117" t="s">
        <v>577</v>
      </c>
      <c r="J117" t="s">
        <v>71</v>
      </c>
      <c r="K117" t="s">
        <v>138</v>
      </c>
      <c r="L117" s="1">
        <v>44682</v>
      </c>
      <c r="M117">
        <v>2022</v>
      </c>
    </row>
    <row r="118" spans="1:13" x14ac:dyDescent="0.25">
      <c r="A118" t="s">
        <v>580</v>
      </c>
      <c r="B118">
        <v>5911</v>
      </c>
      <c r="C118">
        <v>2333</v>
      </c>
      <c r="D118">
        <v>14</v>
      </c>
      <c r="E118" t="s">
        <v>45</v>
      </c>
      <c r="F118" t="s">
        <v>109</v>
      </c>
      <c r="G118" t="s">
        <v>40</v>
      </c>
      <c r="H118" s="5">
        <v>44793</v>
      </c>
      <c r="I118" t="s">
        <v>581</v>
      </c>
      <c r="J118" t="s">
        <v>42</v>
      </c>
      <c r="K118" t="s">
        <v>75</v>
      </c>
      <c r="L118" s="1">
        <v>44774</v>
      </c>
      <c r="M118">
        <v>2022</v>
      </c>
    </row>
    <row r="119" spans="1:13" x14ac:dyDescent="0.25">
      <c r="A119" t="s">
        <v>580</v>
      </c>
      <c r="B119">
        <v>1818</v>
      </c>
      <c r="C119">
        <v>738</v>
      </c>
      <c r="D119">
        <v>11</v>
      </c>
      <c r="E119" t="s">
        <v>30</v>
      </c>
      <c r="F119" t="s">
        <v>57</v>
      </c>
      <c r="G119" t="s">
        <v>40</v>
      </c>
      <c r="H119" s="5">
        <v>44793</v>
      </c>
      <c r="I119" t="s">
        <v>581</v>
      </c>
      <c r="J119" t="s">
        <v>42</v>
      </c>
      <c r="K119" t="s">
        <v>75</v>
      </c>
      <c r="L119" s="1">
        <v>44774</v>
      </c>
      <c r="M119">
        <v>2022</v>
      </c>
    </row>
    <row r="120" spans="1:13" x14ac:dyDescent="0.25">
      <c r="A120" t="s">
        <v>583</v>
      </c>
      <c r="B120">
        <v>2140</v>
      </c>
      <c r="C120">
        <v>970</v>
      </c>
      <c r="D120">
        <v>4</v>
      </c>
      <c r="E120" t="s">
        <v>30</v>
      </c>
      <c r="F120" t="s">
        <v>64</v>
      </c>
      <c r="G120" t="s">
        <v>47</v>
      </c>
      <c r="H120" s="5">
        <v>44640</v>
      </c>
      <c r="I120" t="s">
        <v>586</v>
      </c>
      <c r="J120" t="s">
        <v>42</v>
      </c>
      <c r="K120" t="s">
        <v>92</v>
      </c>
      <c r="L120" s="1">
        <v>44621</v>
      </c>
      <c r="M120">
        <v>2022</v>
      </c>
    </row>
    <row r="121" spans="1:13" x14ac:dyDescent="0.25">
      <c r="A121" t="s">
        <v>583</v>
      </c>
      <c r="B121">
        <v>2670</v>
      </c>
      <c r="C121">
        <v>1026</v>
      </c>
      <c r="D121">
        <v>1</v>
      </c>
      <c r="E121" t="s">
        <v>13</v>
      </c>
      <c r="F121" t="s">
        <v>39</v>
      </c>
      <c r="G121" t="s">
        <v>32</v>
      </c>
      <c r="H121" s="5">
        <v>44640</v>
      </c>
      <c r="I121" t="s">
        <v>586</v>
      </c>
      <c r="J121" t="s">
        <v>42</v>
      </c>
      <c r="K121" t="s">
        <v>92</v>
      </c>
      <c r="L121" s="1">
        <v>44621</v>
      </c>
      <c r="M121">
        <v>2022</v>
      </c>
    </row>
    <row r="122" spans="1:13" x14ac:dyDescent="0.25">
      <c r="A122" t="s">
        <v>596</v>
      </c>
      <c r="B122">
        <v>6385</v>
      </c>
      <c r="C122">
        <v>2656</v>
      </c>
      <c r="D122">
        <v>11</v>
      </c>
      <c r="E122" t="s">
        <v>13</v>
      </c>
      <c r="F122" t="s">
        <v>28</v>
      </c>
      <c r="G122" t="s">
        <v>47</v>
      </c>
      <c r="H122" s="5">
        <v>44853</v>
      </c>
      <c r="I122" t="s">
        <v>598</v>
      </c>
      <c r="J122" t="s">
        <v>17</v>
      </c>
      <c r="K122" t="s">
        <v>150</v>
      </c>
      <c r="L122" s="1">
        <v>44835</v>
      </c>
      <c r="M122">
        <v>2022</v>
      </c>
    </row>
    <row r="123" spans="1:13" x14ac:dyDescent="0.25">
      <c r="A123" t="s">
        <v>602</v>
      </c>
      <c r="B123">
        <v>7377</v>
      </c>
      <c r="C123">
        <v>320</v>
      </c>
      <c r="D123">
        <v>15</v>
      </c>
      <c r="E123" t="s">
        <v>13</v>
      </c>
      <c r="F123" t="s">
        <v>28</v>
      </c>
      <c r="G123" t="s">
        <v>32</v>
      </c>
      <c r="H123" s="5">
        <v>44916</v>
      </c>
      <c r="I123" t="s">
        <v>603</v>
      </c>
      <c r="J123" t="s">
        <v>71</v>
      </c>
      <c r="K123" t="s">
        <v>86</v>
      </c>
      <c r="L123" s="1">
        <v>44896</v>
      </c>
      <c r="M123">
        <v>2022</v>
      </c>
    </row>
    <row r="124" spans="1:13" x14ac:dyDescent="0.25">
      <c r="A124" t="s">
        <v>602</v>
      </c>
      <c r="B124">
        <v>2054</v>
      </c>
      <c r="C124">
        <v>371</v>
      </c>
      <c r="D124">
        <v>12</v>
      </c>
      <c r="E124" t="s">
        <v>30</v>
      </c>
      <c r="F124" t="s">
        <v>57</v>
      </c>
      <c r="G124" t="s">
        <v>40</v>
      </c>
      <c r="H124" s="5">
        <v>44916</v>
      </c>
      <c r="I124" t="s">
        <v>603</v>
      </c>
      <c r="J124" t="s">
        <v>71</v>
      </c>
      <c r="K124" t="s">
        <v>86</v>
      </c>
      <c r="L124" s="1">
        <v>44896</v>
      </c>
      <c r="M124">
        <v>2022</v>
      </c>
    </row>
    <row r="125" spans="1:13" x14ac:dyDescent="0.25">
      <c r="A125" t="s">
        <v>606</v>
      </c>
      <c r="B125">
        <v>2565</v>
      </c>
      <c r="C125">
        <v>983</v>
      </c>
      <c r="D125">
        <v>20</v>
      </c>
      <c r="E125" t="s">
        <v>13</v>
      </c>
      <c r="F125" t="s">
        <v>14</v>
      </c>
      <c r="G125" t="s">
        <v>32</v>
      </c>
      <c r="H125" s="5">
        <v>44900</v>
      </c>
      <c r="I125" t="s">
        <v>607</v>
      </c>
      <c r="J125" t="s">
        <v>17</v>
      </c>
      <c r="K125" t="s">
        <v>18</v>
      </c>
      <c r="L125" s="1">
        <v>44896</v>
      </c>
      <c r="M125">
        <v>2022</v>
      </c>
    </row>
    <row r="126" spans="1:13" x14ac:dyDescent="0.25">
      <c r="A126" t="s">
        <v>606</v>
      </c>
      <c r="B126">
        <v>5024</v>
      </c>
      <c r="C126">
        <v>1544</v>
      </c>
      <c r="D126">
        <v>19</v>
      </c>
      <c r="E126" t="s">
        <v>30</v>
      </c>
      <c r="F126" t="s">
        <v>31</v>
      </c>
      <c r="G126" t="s">
        <v>65</v>
      </c>
      <c r="H126" s="5">
        <v>44900</v>
      </c>
      <c r="I126" t="s">
        <v>607</v>
      </c>
      <c r="J126" t="s">
        <v>17</v>
      </c>
      <c r="K126" t="s">
        <v>18</v>
      </c>
      <c r="L126" s="1">
        <v>44896</v>
      </c>
      <c r="M126">
        <v>2022</v>
      </c>
    </row>
    <row r="127" spans="1:13" x14ac:dyDescent="0.25">
      <c r="A127" t="s">
        <v>610</v>
      </c>
      <c r="B127">
        <v>7792</v>
      </c>
      <c r="C127">
        <v>1403</v>
      </c>
      <c r="D127">
        <v>13</v>
      </c>
      <c r="E127" t="s">
        <v>30</v>
      </c>
      <c r="F127" t="s">
        <v>64</v>
      </c>
      <c r="G127" t="s">
        <v>15</v>
      </c>
      <c r="H127" s="5">
        <v>44922</v>
      </c>
      <c r="I127" t="s">
        <v>612</v>
      </c>
      <c r="J127" t="s">
        <v>25</v>
      </c>
      <c r="K127" t="s">
        <v>68</v>
      </c>
      <c r="L127" s="1">
        <v>44896</v>
      </c>
      <c r="M127">
        <v>2022</v>
      </c>
    </row>
    <row r="128" spans="1:13" x14ac:dyDescent="0.25">
      <c r="A128" t="s">
        <v>610</v>
      </c>
      <c r="B128">
        <v>2346</v>
      </c>
      <c r="C128">
        <v>388</v>
      </c>
      <c r="D128">
        <v>14</v>
      </c>
      <c r="E128" t="s">
        <v>45</v>
      </c>
      <c r="F128" t="s">
        <v>49</v>
      </c>
      <c r="G128" t="s">
        <v>32</v>
      </c>
      <c r="H128" s="5">
        <v>44922</v>
      </c>
      <c r="I128" t="s">
        <v>612</v>
      </c>
      <c r="J128" t="s">
        <v>25</v>
      </c>
      <c r="K128" t="s">
        <v>68</v>
      </c>
      <c r="L128" s="1">
        <v>44896</v>
      </c>
      <c r="M128">
        <v>2022</v>
      </c>
    </row>
    <row r="129" spans="1:13" x14ac:dyDescent="0.25">
      <c r="A129" t="s">
        <v>614</v>
      </c>
      <c r="B129">
        <v>7346</v>
      </c>
      <c r="C129">
        <v>1043</v>
      </c>
      <c r="D129">
        <v>10</v>
      </c>
      <c r="E129" t="s">
        <v>45</v>
      </c>
      <c r="F129" t="s">
        <v>60</v>
      </c>
      <c r="G129" t="s">
        <v>47</v>
      </c>
      <c r="H129" s="5">
        <v>44920</v>
      </c>
      <c r="I129" t="s">
        <v>615</v>
      </c>
      <c r="J129" t="s">
        <v>98</v>
      </c>
      <c r="K129" t="s">
        <v>99</v>
      </c>
      <c r="L129" s="1">
        <v>44896</v>
      </c>
      <c r="M129">
        <v>2022</v>
      </c>
    </row>
    <row r="130" spans="1:13" x14ac:dyDescent="0.25">
      <c r="A130" t="s">
        <v>614</v>
      </c>
      <c r="B130">
        <v>9770</v>
      </c>
      <c r="C130">
        <v>4132</v>
      </c>
      <c r="D130">
        <v>7</v>
      </c>
      <c r="E130" t="s">
        <v>13</v>
      </c>
      <c r="F130" t="s">
        <v>14</v>
      </c>
      <c r="G130" t="s">
        <v>15</v>
      </c>
      <c r="H130" s="5">
        <v>44920</v>
      </c>
      <c r="I130" t="s">
        <v>615</v>
      </c>
      <c r="J130" t="s">
        <v>98</v>
      </c>
      <c r="K130" t="s">
        <v>99</v>
      </c>
      <c r="L130" s="1">
        <v>44896</v>
      </c>
      <c r="M130">
        <v>2022</v>
      </c>
    </row>
    <row r="131" spans="1:13" x14ac:dyDescent="0.25">
      <c r="A131" t="s">
        <v>614</v>
      </c>
      <c r="B131">
        <v>7179</v>
      </c>
      <c r="C131">
        <v>683</v>
      </c>
      <c r="D131">
        <v>13</v>
      </c>
      <c r="E131" t="s">
        <v>13</v>
      </c>
      <c r="F131" t="s">
        <v>39</v>
      </c>
      <c r="G131" t="s">
        <v>47</v>
      </c>
      <c r="H131" s="5">
        <v>44920</v>
      </c>
      <c r="I131" t="s">
        <v>615</v>
      </c>
      <c r="J131" t="s">
        <v>98</v>
      </c>
      <c r="K131" t="s">
        <v>99</v>
      </c>
      <c r="L131" s="1">
        <v>44896</v>
      </c>
      <c r="M131">
        <v>2022</v>
      </c>
    </row>
    <row r="132" spans="1:13" x14ac:dyDescent="0.25">
      <c r="A132" t="s">
        <v>616</v>
      </c>
      <c r="B132">
        <v>5449</v>
      </c>
      <c r="C132">
        <v>2389</v>
      </c>
      <c r="D132">
        <v>2</v>
      </c>
      <c r="E132" t="s">
        <v>13</v>
      </c>
      <c r="F132" t="s">
        <v>82</v>
      </c>
      <c r="G132" t="s">
        <v>15</v>
      </c>
      <c r="H132" s="5">
        <v>44840</v>
      </c>
      <c r="I132" t="s">
        <v>617</v>
      </c>
      <c r="J132" t="s">
        <v>17</v>
      </c>
      <c r="K132" t="s">
        <v>18</v>
      </c>
      <c r="L132" s="1">
        <v>44835</v>
      </c>
      <c r="M132">
        <v>2022</v>
      </c>
    </row>
    <row r="133" spans="1:13" x14ac:dyDescent="0.25">
      <c r="A133" t="s">
        <v>625</v>
      </c>
      <c r="B133">
        <v>4202</v>
      </c>
      <c r="C133">
        <v>1171</v>
      </c>
      <c r="D133">
        <v>3</v>
      </c>
      <c r="E133" t="s">
        <v>30</v>
      </c>
      <c r="F133" t="s">
        <v>57</v>
      </c>
      <c r="G133" t="s">
        <v>65</v>
      </c>
      <c r="H133" s="5">
        <v>44888</v>
      </c>
      <c r="I133" t="s">
        <v>626</v>
      </c>
      <c r="J133" t="s">
        <v>21</v>
      </c>
      <c r="K133" t="s">
        <v>172</v>
      </c>
      <c r="L133" s="1">
        <v>44866</v>
      </c>
      <c r="M133">
        <v>2022</v>
      </c>
    </row>
    <row r="134" spans="1:13" x14ac:dyDescent="0.25">
      <c r="A134" t="s">
        <v>625</v>
      </c>
      <c r="B134">
        <v>4202</v>
      </c>
      <c r="C134">
        <v>1171</v>
      </c>
      <c r="D134">
        <v>3</v>
      </c>
      <c r="E134" t="s">
        <v>30</v>
      </c>
      <c r="F134" t="s">
        <v>57</v>
      </c>
      <c r="G134" t="s">
        <v>65</v>
      </c>
      <c r="H134" s="5">
        <v>44865</v>
      </c>
      <c r="I134" t="s">
        <v>627</v>
      </c>
      <c r="J134" t="s">
        <v>25</v>
      </c>
      <c r="K134" t="s">
        <v>68</v>
      </c>
      <c r="L134" s="1">
        <v>44835</v>
      </c>
      <c r="M134">
        <v>2022</v>
      </c>
    </row>
    <row r="135" spans="1:13" x14ac:dyDescent="0.25">
      <c r="A135" t="s">
        <v>635</v>
      </c>
      <c r="B135">
        <v>5152</v>
      </c>
      <c r="C135">
        <v>2045</v>
      </c>
      <c r="D135">
        <v>14</v>
      </c>
      <c r="E135" t="s">
        <v>13</v>
      </c>
      <c r="F135" t="s">
        <v>82</v>
      </c>
      <c r="G135" t="s">
        <v>15</v>
      </c>
      <c r="H135" s="5">
        <v>44798</v>
      </c>
      <c r="I135" t="s">
        <v>637</v>
      </c>
      <c r="J135" t="s">
        <v>42</v>
      </c>
      <c r="K135" t="s">
        <v>43</v>
      </c>
      <c r="L135" s="1">
        <v>44774</v>
      </c>
      <c r="M135">
        <v>2022</v>
      </c>
    </row>
    <row r="136" spans="1:13" x14ac:dyDescent="0.25">
      <c r="A136" t="s">
        <v>640</v>
      </c>
      <c r="B136">
        <v>2542</v>
      </c>
      <c r="C136">
        <v>190</v>
      </c>
      <c r="D136">
        <v>1</v>
      </c>
      <c r="E136" t="s">
        <v>30</v>
      </c>
      <c r="F136" t="s">
        <v>57</v>
      </c>
      <c r="G136" t="s">
        <v>47</v>
      </c>
      <c r="H136" s="5">
        <v>44672</v>
      </c>
      <c r="I136" t="s">
        <v>641</v>
      </c>
      <c r="J136" t="s">
        <v>71</v>
      </c>
      <c r="K136" t="s">
        <v>138</v>
      </c>
      <c r="L136" s="1">
        <v>44652</v>
      </c>
      <c r="M136">
        <v>2022</v>
      </c>
    </row>
    <row r="137" spans="1:13" x14ac:dyDescent="0.25">
      <c r="A137" t="s">
        <v>651</v>
      </c>
      <c r="B137">
        <v>916</v>
      </c>
      <c r="C137">
        <v>362</v>
      </c>
      <c r="D137">
        <v>7</v>
      </c>
      <c r="E137" t="s">
        <v>30</v>
      </c>
      <c r="F137" t="s">
        <v>31</v>
      </c>
      <c r="G137" t="s">
        <v>15</v>
      </c>
      <c r="H137" s="5">
        <v>44855</v>
      </c>
      <c r="I137" t="s">
        <v>652</v>
      </c>
      <c r="J137" t="s">
        <v>21</v>
      </c>
      <c r="K137" t="s">
        <v>63</v>
      </c>
      <c r="L137" s="1">
        <v>44835</v>
      </c>
      <c r="M137">
        <v>2022</v>
      </c>
    </row>
    <row r="138" spans="1:13" x14ac:dyDescent="0.25">
      <c r="A138" t="s">
        <v>651</v>
      </c>
      <c r="B138">
        <v>1165</v>
      </c>
      <c r="C138">
        <v>302</v>
      </c>
      <c r="D138">
        <v>20</v>
      </c>
      <c r="E138" t="s">
        <v>45</v>
      </c>
      <c r="F138" t="s">
        <v>60</v>
      </c>
      <c r="G138" t="s">
        <v>15</v>
      </c>
      <c r="H138" s="5">
        <v>44855</v>
      </c>
      <c r="I138" t="s">
        <v>652</v>
      </c>
      <c r="J138" t="s">
        <v>21</v>
      </c>
      <c r="K138" t="s">
        <v>63</v>
      </c>
      <c r="L138" s="1">
        <v>44835</v>
      </c>
      <c r="M138">
        <v>2022</v>
      </c>
    </row>
    <row r="139" spans="1:13" x14ac:dyDescent="0.25">
      <c r="A139" t="s">
        <v>651</v>
      </c>
      <c r="B139">
        <v>7846</v>
      </c>
      <c r="C139">
        <v>677</v>
      </c>
      <c r="D139">
        <v>12</v>
      </c>
      <c r="E139" t="s">
        <v>45</v>
      </c>
      <c r="F139" t="s">
        <v>49</v>
      </c>
      <c r="G139" t="s">
        <v>15</v>
      </c>
      <c r="H139" s="5">
        <v>44855</v>
      </c>
      <c r="I139" t="s">
        <v>652</v>
      </c>
      <c r="J139" t="s">
        <v>21</v>
      </c>
      <c r="K139" t="s">
        <v>63</v>
      </c>
      <c r="L139" s="1">
        <v>44835</v>
      </c>
      <c r="M139">
        <v>2022</v>
      </c>
    </row>
    <row r="140" spans="1:13" x14ac:dyDescent="0.25">
      <c r="A140" t="s">
        <v>654</v>
      </c>
      <c r="B140">
        <v>3022</v>
      </c>
      <c r="C140">
        <v>384</v>
      </c>
      <c r="D140">
        <v>1</v>
      </c>
      <c r="E140" t="s">
        <v>30</v>
      </c>
      <c r="F140" t="s">
        <v>31</v>
      </c>
      <c r="G140" t="s">
        <v>47</v>
      </c>
      <c r="H140" s="5">
        <v>44572</v>
      </c>
      <c r="I140" t="s">
        <v>655</v>
      </c>
      <c r="J140" t="s">
        <v>71</v>
      </c>
      <c r="K140" t="s">
        <v>86</v>
      </c>
      <c r="L140" s="1">
        <v>44562</v>
      </c>
      <c r="M140">
        <v>2022</v>
      </c>
    </row>
    <row r="141" spans="1:13" x14ac:dyDescent="0.25">
      <c r="A141" t="s">
        <v>654</v>
      </c>
      <c r="B141">
        <v>5266</v>
      </c>
      <c r="C141">
        <v>1111</v>
      </c>
      <c r="D141">
        <v>13</v>
      </c>
      <c r="E141" t="s">
        <v>13</v>
      </c>
      <c r="F141" t="s">
        <v>14</v>
      </c>
      <c r="G141" t="s">
        <v>32</v>
      </c>
      <c r="H141" s="5">
        <v>44572</v>
      </c>
      <c r="I141" t="s">
        <v>655</v>
      </c>
      <c r="J141" t="s">
        <v>71</v>
      </c>
      <c r="K141" t="s">
        <v>86</v>
      </c>
      <c r="L141" s="1">
        <v>44562</v>
      </c>
      <c r="M141">
        <v>2022</v>
      </c>
    </row>
    <row r="142" spans="1:13" x14ac:dyDescent="0.25">
      <c r="A142" t="s">
        <v>657</v>
      </c>
      <c r="B142">
        <v>4853</v>
      </c>
      <c r="C142">
        <v>1764</v>
      </c>
      <c r="D142">
        <v>9</v>
      </c>
      <c r="E142" t="s">
        <v>30</v>
      </c>
      <c r="F142" t="s">
        <v>31</v>
      </c>
      <c r="G142" t="s">
        <v>32</v>
      </c>
      <c r="H142" s="5">
        <v>44803</v>
      </c>
      <c r="I142" t="s">
        <v>659</v>
      </c>
      <c r="J142" t="s">
        <v>71</v>
      </c>
      <c r="K142" t="s">
        <v>138</v>
      </c>
      <c r="L142" s="1">
        <v>44774</v>
      </c>
      <c r="M142">
        <v>2022</v>
      </c>
    </row>
    <row r="143" spans="1:13" x14ac:dyDescent="0.25">
      <c r="A143" t="s">
        <v>660</v>
      </c>
      <c r="B143">
        <v>9832</v>
      </c>
      <c r="C143">
        <v>1270</v>
      </c>
      <c r="D143">
        <v>1</v>
      </c>
      <c r="E143" t="s">
        <v>30</v>
      </c>
      <c r="F143" t="s">
        <v>31</v>
      </c>
      <c r="G143" t="s">
        <v>65</v>
      </c>
      <c r="H143" s="5">
        <v>44841</v>
      </c>
      <c r="I143" t="s">
        <v>661</v>
      </c>
      <c r="J143" t="s">
        <v>42</v>
      </c>
      <c r="K143" t="s">
        <v>92</v>
      </c>
      <c r="L143" s="1">
        <v>44835</v>
      </c>
      <c r="M143">
        <v>2022</v>
      </c>
    </row>
    <row r="144" spans="1:13" x14ac:dyDescent="0.25">
      <c r="A144" t="s">
        <v>660</v>
      </c>
      <c r="B144">
        <v>796</v>
      </c>
      <c r="C144">
        <v>153</v>
      </c>
      <c r="D144">
        <v>15</v>
      </c>
      <c r="E144" t="s">
        <v>30</v>
      </c>
      <c r="F144" t="s">
        <v>31</v>
      </c>
      <c r="G144" t="s">
        <v>47</v>
      </c>
      <c r="H144" s="5">
        <v>44841</v>
      </c>
      <c r="I144" t="s">
        <v>661</v>
      </c>
      <c r="J144" t="s">
        <v>42</v>
      </c>
      <c r="K144" t="s">
        <v>92</v>
      </c>
      <c r="L144" s="1">
        <v>44835</v>
      </c>
      <c r="M144">
        <v>2022</v>
      </c>
    </row>
    <row r="145" spans="1:13" x14ac:dyDescent="0.25">
      <c r="A145" t="s">
        <v>664</v>
      </c>
      <c r="B145">
        <v>9562</v>
      </c>
      <c r="C145">
        <v>325</v>
      </c>
      <c r="D145">
        <v>2</v>
      </c>
      <c r="E145" t="s">
        <v>13</v>
      </c>
      <c r="F145" t="s">
        <v>28</v>
      </c>
      <c r="G145" t="s">
        <v>32</v>
      </c>
      <c r="H145" s="5">
        <v>44694</v>
      </c>
      <c r="I145" t="s">
        <v>665</v>
      </c>
      <c r="J145" t="s">
        <v>42</v>
      </c>
      <c r="K145" t="s">
        <v>75</v>
      </c>
      <c r="L145" s="1">
        <v>44682</v>
      </c>
      <c r="M145">
        <v>2022</v>
      </c>
    </row>
    <row r="146" spans="1:13" x14ac:dyDescent="0.25">
      <c r="A146" t="s">
        <v>671</v>
      </c>
      <c r="B146">
        <v>6967</v>
      </c>
      <c r="C146">
        <v>3257</v>
      </c>
      <c r="D146">
        <v>17</v>
      </c>
      <c r="E146" t="s">
        <v>45</v>
      </c>
      <c r="F146" t="s">
        <v>109</v>
      </c>
      <c r="G146" t="s">
        <v>65</v>
      </c>
      <c r="H146" s="5">
        <v>44920</v>
      </c>
      <c r="I146" t="s">
        <v>672</v>
      </c>
      <c r="J146" t="s">
        <v>98</v>
      </c>
      <c r="K146" t="s">
        <v>107</v>
      </c>
      <c r="L146" s="1">
        <v>44896</v>
      </c>
      <c r="M146">
        <v>2022</v>
      </c>
    </row>
    <row r="147" spans="1:13" x14ac:dyDescent="0.25">
      <c r="A147" t="s">
        <v>671</v>
      </c>
      <c r="B147">
        <v>1091</v>
      </c>
      <c r="C147">
        <v>277</v>
      </c>
      <c r="D147">
        <v>6</v>
      </c>
      <c r="E147" t="s">
        <v>30</v>
      </c>
      <c r="F147" t="s">
        <v>64</v>
      </c>
      <c r="G147" t="s">
        <v>65</v>
      </c>
      <c r="H147" s="5">
        <v>44920</v>
      </c>
      <c r="I147" t="s">
        <v>672</v>
      </c>
      <c r="J147" t="s">
        <v>98</v>
      </c>
      <c r="K147" t="s">
        <v>107</v>
      </c>
      <c r="L147" s="1">
        <v>44896</v>
      </c>
      <c r="M147">
        <v>2022</v>
      </c>
    </row>
    <row r="148" spans="1:13" x14ac:dyDescent="0.25">
      <c r="A148" t="s">
        <v>671</v>
      </c>
      <c r="B148">
        <v>6027</v>
      </c>
      <c r="C148">
        <v>1530</v>
      </c>
      <c r="D148">
        <v>2</v>
      </c>
      <c r="E148" t="s">
        <v>30</v>
      </c>
      <c r="F148" t="s">
        <v>78</v>
      </c>
      <c r="G148" t="s">
        <v>47</v>
      </c>
      <c r="H148" s="5">
        <v>44920</v>
      </c>
      <c r="I148" t="s">
        <v>672</v>
      </c>
      <c r="J148" t="s">
        <v>98</v>
      </c>
      <c r="K148" t="s">
        <v>107</v>
      </c>
      <c r="L148" s="1">
        <v>44896</v>
      </c>
      <c r="M148">
        <v>2022</v>
      </c>
    </row>
    <row r="149" spans="1:13" x14ac:dyDescent="0.25">
      <c r="A149" t="s">
        <v>679</v>
      </c>
      <c r="B149">
        <v>3288</v>
      </c>
      <c r="C149">
        <v>1477</v>
      </c>
      <c r="D149">
        <v>3</v>
      </c>
      <c r="E149" t="s">
        <v>30</v>
      </c>
      <c r="F149" t="s">
        <v>31</v>
      </c>
      <c r="G149" t="s">
        <v>40</v>
      </c>
      <c r="H149" s="5">
        <v>44611</v>
      </c>
      <c r="I149" t="s">
        <v>681</v>
      </c>
      <c r="J149" t="s">
        <v>21</v>
      </c>
      <c r="K149" t="s">
        <v>63</v>
      </c>
      <c r="L149" s="1">
        <v>44593</v>
      </c>
      <c r="M149">
        <v>2022</v>
      </c>
    </row>
    <row r="150" spans="1:13" x14ac:dyDescent="0.25">
      <c r="A150" t="s">
        <v>692</v>
      </c>
      <c r="B150">
        <v>6690</v>
      </c>
      <c r="C150">
        <v>1001</v>
      </c>
      <c r="D150">
        <v>19</v>
      </c>
      <c r="E150" t="s">
        <v>30</v>
      </c>
      <c r="F150" t="s">
        <v>78</v>
      </c>
      <c r="G150" t="s">
        <v>15</v>
      </c>
      <c r="H150" s="5">
        <v>44718</v>
      </c>
      <c r="I150" t="s">
        <v>693</v>
      </c>
      <c r="J150" t="s">
        <v>21</v>
      </c>
      <c r="K150" t="s">
        <v>63</v>
      </c>
      <c r="L150" s="1">
        <v>44713</v>
      </c>
      <c r="M150">
        <v>2022</v>
      </c>
    </row>
    <row r="151" spans="1:13" x14ac:dyDescent="0.25">
      <c r="A151" t="s">
        <v>692</v>
      </c>
      <c r="B151">
        <v>4985</v>
      </c>
      <c r="C151">
        <v>1920</v>
      </c>
      <c r="D151">
        <v>10</v>
      </c>
      <c r="E151" t="s">
        <v>45</v>
      </c>
      <c r="F151" t="s">
        <v>109</v>
      </c>
      <c r="G151" t="s">
        <v>47</v>
      </c>
      <c r="H151" s="5">
        <v>44718</v>
      </c>
      <c r="I151" t="s">
        <v>693</v>
      </c>
      <c r="J151" t="s">
        <v>21</v>
      </c>
      <c r="K151" t="s">
        <v>63</v>
      </c>
      <c r="L151" s="1">
        <v>44713</v>
      </c>
      <c r="M151">
        <v>2022</v>
      </c>
    </row>
    <row r="152" spans="1:13" x14ac:dyDescent="0.25">
      <c r="A152" t="s">
        <v>700</v>
      </c>
      <c r="B152">
        <v>6956</v>
      </c>
      <c r="C152">
        <v>318</v>
      </c>
      <c r="D152">
        <v>20</v>
      </c>
      <c r="E152" t="s">
        <v>30</v>
      </c>
      <c r="F152" t="s">
        <v>57</v>
      </c>
      <c r="G152" t="s">
        <v>32</v>
      </c>
      <c r="H152" s="5">
        <v>44670</v>
      </c>
      <c r="I152" t="s">
        <v>701</v>
      </c>
      <c r="J152" t="s">
        <v>21</v>
      </c>
      <c r="K152" t="s">
        <v>63</v>
      </c>
      <c r="L152" s="1">
        <v>44652</v>
      </c>
      <c r="M152">
        <v>2022</v>
      </c>
    </row>
    <row r="153" spans="1:13" x14ac:dyDescent="0.25">
      <c r="A153" t="s">
        <v>706</v>
      </c>
      <c r="B153">
        <v>972</v>
      </c>
      <c r="C153">
        <v>106</v>
      </c>
      <c r="D153">
        <v>15</v>
      </c>
      <c r="E153" t="s">
        <v>30</v>
      </c>
      <c r="F153" t="s">
        <v>31</v>
      </c>
      <c r="G153" t="s">
        <v>40</v>
      </c>
      <c r="H153" s="5">
        <v>44687</v>
      </c>
      <c r="I153" t="s">
        <v>707</v>
      </c>
      <c r="J153" t="s">
        <v>98</v>
      </c>
      <c r="K153" t="s">
        <v>107</v>
      </c>
      <c r="L153" s="1">
        <v>44682</v>
      </c>
      <c r="M153">
        <v>2022</v>
      </c>
    </row>
    <row r="154" spans="1:13" x14ac:dyDescent="0.25">
      <c r="A154" t="s">
        <v>720</v>
      </c>
      <c r="B154">
        <v>6236</v>
      </c>
      <c r="C154">
        <v>2839</v>
      </c>
      <c r="D154">
        <v>7</v>
      </c>
      <c r="E154" t="s">
        <v>13</v>
      </c>
      <c r="F154" t="s">
        <v>28</v>
      </c>
      <c r="G154" t="s">
        <v>47</v>
      </c>
      <c r="H154" s="5">
        <v>44581</v>
      </c>
      <c r="I154" t="s">
        <v>721</v>
      </c>
      <c r="J154" t="s">
        <v>21</v>
      </c>
      <c r="K154" t="s">
        <v>63</v>
      </c>
      <c r="L154" s="1">
        <v>44562</v>
      </c>
      <c r="M154">
        <v>2022</v>
      </c>
    </row>
    <row r="155" spans="1:13" x14ac:dyDescent="0.25">
      <c r="A155" t="s">
        <v>720</v>
      </c>
      <c r="B155">
        <v>6236</v>
      </c>
      <c r="C155">
        <v>2839</v>
      </c>
      <c r="D155">
        <v>7</v>
      </c>
      <c r="E155" t="s">
        <v>13</v>
      </c>
      <c r="F155" t="s">
        <v>28</v>
      </c>
      <c r="G155" t="s">
        <v>47</v>
      </c>
      <c r="H155" s="5">
        <v>44691</v>
      </c>
      <c r="I155" t="s">
        <v>722</v>
      </c>
      <c r="J155" t="s">
        <v>17</v>
      </c>
      <c r="K155" t="s">
        <v>34</v>
      </c>
      <c r="L155" s="1">
        <v>44682</v>
      </c>
      <c r="M155">
        <v>2022</v>
      </c>
    </row>
    <row r="156" spans="1:13" x14ac:dyDescent="0.25">
      <c r="A156" t="s">
        <v>723</v>
      </c>
      <c r="B156">
        <v>5410</v>
      </c>
      <c r="C156">
        <v>2456</v>
      </c>
      <c r="D156">
        <v>8</v>
      </c>
      <c r="E156" t="s">
        <v>45</v>
      </c>
      <c r="F156" t="s">
        <v>49</v>
      </c>
      <c r="G156" t="s">
        <v>47</v>
      </c>
      <c r="H156" s="5">
        <v>44565</v>
      </c>
      <c r="I156" t="s">
        <v>725</v>
      </c>
      <c r="J156" t="s">
        <v>17</v>
      </c>
      <c r="K156" t="s">
        <v>150</v>
      </c>
      <c r="L156" s="1">
        <v>44562</v>
      </c>
      <c r="M156">
        <v>2022</v>
      </c>
    </row>
    <row r="157" spans="1:13" x14ac:dyDescent="0.25">
      <c r="A157" t="s">
        <v>729</v>
      </c>
      <c r="B157">
        <v>7434</v>
      </c>
      <c r="C157">
        <v>2851</v>
      </c>
      <c r="D157">
        <v>5</v>
      </c>
      <c r="E157" t="s">
        <v>30</v>
      </c>
      <c r="F157" t="s">
        <v>57</v>
      </c>
      <c r="G157" t="s">
        <v>15</v>
      </c>
      <c r="H157" s="5">
        <v>44907</v>
      </c>
      <c r="I157" t="s">
        <v>730</v>
      </c>
      <c r="J157" t="s">
        <v>21</v>
      </c>
      <c r="K157" t="s">
        <v>63</v>
      </c>
      <c r="L157" s="1">
        <v>44896</v>
      </c>
      <c r="M157">
        <v>2022</v>
      </c>
    </row>
    <row r="158" spans="1:13" x14ac:dyDescent="0.25">
      <c r="A158" t="s">
        <v>736</v>
      </c>
      <c r="B158">
        <v>4146</v>
      </c>
      <c r="C158">
        <v>865</v>
      </c>
      <c r="D158">
        <v>19</v>
      </c>
      <c r="E158" t="s">
        <v>45</v>
      </c>
      <c r="F158" t="s">
        <v>46</v>
      </c>
      <c r="G158" t="s">
        <v>40</v>
      </c>
      <c r="H158" s="5">
        <v>44746</v>
      </c>
      <c r="I158" t="s">
        <v>737</v>
      </c>
      <c r="J158" t="s">
        <v>71</v>
      </c>
      <c r="K158" t="s">
        <v>138</v>
      </c>
      <c r="L158" s="1">
        <v>44743</v>
      </c>
      <c r="M158">
        <v>2022</v>
      </c>
    </row>
    <row r="159" spans="1:13" x14ac:dyDescent="0.25">
      <c r="A159" t="s">
        <v>736</v>
      </c>
      <c r="B159">
        <v>3793</v>
      </c>
      <c r="C159">
        <v>875</v>
      </c>
      <c r="D159">
        <v>7</v>
      </c>
      <c r="E159" t="s">
        <v>45</v>
      </c>
      <c r="F159" t="s">
        <v>46</v>
      </c>
      <c r="G159" t="s">
        <v>40</v>
      </c>
      <c r="H159" s="5">
        <v>44746</v>
      </c>
      <c r="I159" t="s">
        <v>737</v>
      </c>
      <c r="J159" t="s">
        <v>71</v>
      </c>
      <c r="K159" t="s">
        <v>138</v>
      </c>
      <c r="L159" s="1">
        <v>44743</v>
      </c>
      <c r="M159">
        <v>2022</v>
      </c>
    </row>
    <row r="160" spans="1:13" x14ac:dyDescent="0.25">
      <c r="A160" t="s">
        <v>742</v>
      </c>
      <c r="B160">
        <v>5448</v>
      </c>
      <c r="C160">
        <v>2204</v>
      </c>
      <c r="D160">
        <v>5</v>
      </c>
      <c r="E160" t="s">
        <v>45</v>
      </c>
      <c r="F160" t="s">
        <v>60</v>
      </c>
      <c r="G160" t="s">
        <v>65</v>
      </c>
      <c r="H160" s="5">
        <v>44782</v>
      </c>
      <c r="I160" t="s">
        <v>743</v>
      </c>
      <c r="J160" t="s">
        <v>25</v>
      </c>
      <c r="K160" t="s">
        <v>51</v>
      </c>
      <c r="L160" s="1">
        <v>44774</v>
      </c>
      <c r="M160">
        <v>2022</v>
      </c>
    </row>
    <row r="161" spans="1:13" x14ac:dyDescent="0.25">
      <c r="A161" t="s">
        <v>748</v>
      </c>
      <c r="B161">
        <v>6109</v>
      </c>
      <c r="C161">
        <v>3040</v>
      </c>
      <c r="D161">
        <v>9</v>
      </c>
      <c r="E161" t="s">
        <v>45</v>
      </c>
      <c r="F161" t="s">
        <v>49</v>
      </c>
      <c r="G161" t="s">
        <v>40</v>
      </c>
      <c r="H161" s="5">
        <v>44602</v>
      </c>
      <c r="I161" t="s">
        <v>749</v>
      </c>
      <c r="J161" t="s">
        <v>25</v>
      </c>
      <c r="K161" t="s">
        <v>26</v>
      </c>
      <c r="L161" s="1">
        <v>44593</v>
      </c>
      <c r="M161">
        <v>2022</v>
      </c>
    </row>
    <row r="162" spans="1:13" x14ac:dyDescent="0.25">
      <c r="A162" t="s">
        <v>748</v>
      </c>
      <c r="B162">
        <v>4628</v>
      </c>
      <c r="C162">
        <v>1491</v>
      </c>
      <c r="D162">
        <v>17</v>
      </c>
      <c r="E162" t="s">
        <v>13</v>
      </c>
      <c r="F162" t="s">
        <v>14</v>
      </c>
      <c r="G162" t="s">
        <v>15</v>
      </c>
      <c r="H162" s="5">
        <v>44602</v>
      </c>
      <c r="I162" t="s">
        <v>749</v>
      </c>
      <c r="J162" t="s">
        <v>25</v>
      </c>
      <c r="K162" t="s">
        <v>26</v>
      </c>
      <c r="L162" s="1">
        <v>44593</v>
      </c>
      <c r="M162">
        <v>2022</v>
      </c>
    </row>
    <row r="163" spans="1:13" x14ac:dyDescent="0.25">
      <c r="A163" t="s">
        <v>751</v>
      </c>
      <c r="B163">
        <v>4369</v>
      </c>
      <c r="C163">
        <v>584</v>
      </c>
      <c r="D163">
        <v>13</v>
      </c>
      <c r="E163" t="s">
        <v>30</v>
      </c>
      <c r="F163" t="s">
        <v>31</v>
      </c>
      <c r="G163" t="s">
        <v>47</v>
      </c>
      <c r="H163" s="5">
        <v>44826</v>
      </c>
      <c r="I163" t="s">
        <v>752</v>
      </c>
      <c r="J163" t="s">
        <v>21</v>
      </c>
      <c r="K163" t="s">
        <v>172</v>
      </c>
      <c r="L163" s="1">
        <v>44805</v>
      </c>
      <c r="M163">
        <v>2022</v>
      </c>
    </row>
    <row r="164" spans="1:13" x14ac:dyDescent="0.25">
      <c r="A164" t="s">
        <v>758</v>
      </c>
      <c r="B164">
        <v>7519</v>
      </c>
      <c r="C164">
        <v>402</v>
      </c>
      <c r="D164">
        <v>14</v>
      </c>
      <c r="E164" t="s">
        <v>30</v>
      </c>
      <c r="F164" t="s">
        <v>64</v>
      </c>
      <c r="G164" t="s">
        <v>15</v>
      </c>
      <c r="H164" s="5">
        <v>44846</v>
      </c>
      <c r="I164" t="s">
        <v>759</v>
      </c>
      <c r="J164" t="s">
        <v>42</v>
      </c>
      <c r="K164" t="s">
        <v>75</v>
      </c>
      <c r="L164" s="1">
        <v>44835</v>
      </c>
      <c r="M164">
        <v>2022</v>
      </c>
    </row>
    <row r="165" spans="1:13" x14ac:dyDescent="0.25">
      <c r="A165" t="s">
        <v>758</v>
      </c>
      <c r="B165">
        <v>1564</v>
      </c>
      <c r="C165">
        <v>674</v>
      </c>
      <c r="D165">
        <v>13</v>
      </c>
      <c r="E165" t="s">
        <v>13</v>
      </c>
      <c r="F165" t="s">
        <v>14</v>
      </c>
      <c r="G165" t="s">
        <v>32</v>
      </c>
      <c r="H165" s="5">
        <v>44846</v>
      </c>
      <c r="I165" t="s">
        <v>759</v>
      </c>
      <c r="J165" t="s">
        <v>42</v>
      </c>
      <c r="K165" t="s">
        <v>75</v>
      </c>
      <c r="L165" s="1">
        <v>44835</v>
      </c>
      <c r="M165">
        <v>2022</v>
      </c>
    </row>
    <row r="166" spans="1:13" x14ac:dyDescent="0.25">
      <c r="A166" t="s">
        <v>760</v>
      </c>
      <c r="B166">
        <v>2804</v>
      </c>
      <c r="C166">
        <v>936</v>
      </c>
      <c r="D166">
        <v>10</v>
      </c>
      <c r="E166" t="s">
        <v>13</v>
      </c>
      <c r="F166" t="s">
        <v>14</v>
      </c>
      <c r="G166" t="s">
        <v>47</v>
      </c>
      <c r="H166" s="5">
        <v>44598</v>
      </c>
      <c r="I166" t="s">
        <v>761</v>
      </c>
      <c r="J166" t="s">
        <v>71</v>
      </c>
      <c r="K166" t="s">
        <v>86</v>
      </c>
      <c r="L166" s="1">
        <v>44593</v>
      </c>
      <c r="M166">
        <v>2022</v>
      </c>
    </row>
    <row r="167" spans="1:13" x14ac:dyDescent="0.25">
      <c r="A167" t="s">
        <v>764</v>
      </c>
      <c r="B167">
        <v>2321</v>
      </c>
      <c r="C167">
        <v>505</v>
      </c>
      <c r="D167">
        <v>6</v>
      </c>
      <c r="E167" t="s">
        <v>45</v>
      </c>
      <c r="F167" t="s">
        <v>49</v>
      </c>
      <c r="G167" t="s">
        <v>40</v>
      </c>
      <c r="H167" s="5">
        <v>44838</v>
      </c>
      <c r="I167" t="s">
        <v>765</v>
      </c>
      <c r="J167" t="s">
        <v>21</v>
      </c>
      <c r="K167" t="s">
        <v>63</v>
      </c>
      <c r="L167" s="1">
        <v>44835</v>
      </c>
      <c r="M167">
        <v>2022</v>
      </c>
    </row>
    <row r="168" spans="1:13" x14ac:dyDescent="0.25">
      <c r="A168" t="s">
        <v>773</v>
      </c>
      <c r="B168">
        <v>838</v>
      </c>
      <c r="C168">
        <v>271</v>
      </c>
      <c r="D168">
        <v>11</v>
      </c>
      <c r="E168" t="s">
        <v>30</v>
      </c>
      <c r="F168" t="s">
        <v>57</v>
      </c>
      <c r="G168" t="s">
        <v>40</v>
      </c>
      <c r="H168" s="5">
        <v>44620</v>
      </c>
      <c r="I168" t="s">
        <v>775</v>
      </c>
      <c r="J168" t="s">
        <v>21</v>
      </c>
      <c r="K168" t="s">
        <v>172</v>
      </c>
      <c r="L168" s="1">
        <v>44593</v>
      </c>
      <c r="M168">
        <v>2022</v>
      </c>
    </row>
    <row r="169" spans="1:13" x14ac:dyDescent="0.25">
      <c r="A169" t="s">
        <v>773</v>
      </c>
      <c r="B169">
        <v>3577</v>
      </c>
      <c r="C169">
        <v>699</v>
      </c>
      <c r="D169">
        <v>2</v>
      </c>
      <c r="E169" t="s">
        <v>45</v>
      </c>
      <c r="F169" t="s">
        <v>46</v>
      </c>
      <c r="G169" t="s">
        <v>15</v>
      </c>
      <c r="H169" s="5">
        <v>44620</v>
      </c>
      <c r="I169" t="s">
        <v>775</v>
      </c>
      <c r="J169" t="s">
        <v>21</v>
      </c>
      <c r="K169" t="s">
        <v>172</v>
      </c>
      <c r="L169" s="1">
        <v>44593</v>
      </c>
      <c r="M169">
        <v>2022</v>
      </c>
    </row>
    <row r="170" spans="1:13" x14ac:dyDescent="0.25">
      <c r="A170" t="s">
        <v>791</v>
      </c>
      <c r="B170">
        <v>2685</v>
      </c>
      <c r="C170">
        <v>379</v>
      </c>
      <c r="D170">
        <v>18</v>
      </c>
      <c r="E170" t="s">
        <v>13</v>
      </c>
      <c r="F170" t="s">
        <v>82</v>
      </c>
      <c r="G170" t="s">
        <v>15</v>
      </c>
      <c r="H170" s="5">
        <v>44628</v>
      </c>
      <c r="I170" t="s">
        <v>792</v>
      </c>
      <c r="J170" t="s">
        <v>98</v>
      </c>
      <c r="K170" t="s">
        <v>117</v>
      </c>
      <c r="L170" s="1">
        <v>44621</v>
      </c>
      <c r="M170">
        <v>2022</v>
      </c>
    </row>
    <row r="171" spans="1:13" x14ac:dyDescent="0.25">
      <c r="A171" t="s">
        <v>791</v>
      </c>
      <c r="B171">
        <v>2685</v>
      </c>
      <c r="C171">
        <v>379</v>
      </c>
      <c r="D171">
        <v>18</v>
      </c>
      <c r="E171" t="s">
        <v>13</v>
      </c>
      <c r="F171" t="s">
        <v>82</v>
      </c>
      <c r="G171" t="s">
        <v>15</v>
      </c>
      <c r="H171" s="5">
        <v>44903</v>
      </c>
      <c r="I171" t="s">
        <v>793</v>
      </c>
      <c r="J171" t="s">
        <v>17</v>
      </c>
      <c r="K171" t="s">
        <v>150</v>
      </c>
      <c r="L171" s="1">
        <v>44896</v>
      </c>
      <c r="M171">
        <v>2022</v>
      </c>
    </row>
    <row r="172" spans="1:13" x14ac:dyDescent="0.25">
      <c r="A172" t="s">
        <v>791</v>
      </c>
      <c r="B172">
        <v>9916</v>
      </c>
      <c r="C172">
        <v>4602</v>
      </c>
      <c r="D172">
        <v>14</v>
      </c>
      <c r="E172" t="s">
        <v>45</v>
      </c>
      <c r="F172" t="s">
        <v>49</v>
      </c>
      <c r="G172" t="s">
        <v>15</v>
      </c>
      <c r="H172" s="5">
        <v>44628</v>
      </c>
      <c r="I172" t="s">
        <v>792</v>
      </c>
      <c r="J172" t="s">
        <v>98</v>
      </c>
      <c r="K172" t="s">
        <v>117</v>
      </c>
      <c r="L172" s="1">
        <v>44621</v>
      </c>
      <c r="M172">
        <v>2022</v>
      </c>
    </row>
    <row r="173" spans="1:13" x14ac:dyDescent="0.25">
      <c r="A173" t="s">
        <v>791</v>
      </c>
      <c r="B173">
        <v>9916</v>
      </c>
      <c r="C173">
        <v>4602</v>
      </c>
      <c r="D173">
        <v>14</v>
      </c>
      <c r="E173" t="s">
        <v>45</v>
      </c>
      <c r="F173" t="s">
        <v>49</v>
      </c>
      <c r="G173" t="s">
        <v>15</v>
      </c>
      <c r="H173" s="5">
        <v>44903</v>
      </c>
      <c r="I173" t="s">
        <v>793</v>
      </c>
      <c r="J173" t="s">
        <v>17</v>
      </c>
      <c r="K173" t="s">
        <v>150</v>
      </c>
      <c r="L173" s="1">
        <v>44896</v>
      </c>
      <c r="M173">
        <v>2022</v>
      </c>
    </row>
    <row r="174" spans="1:13" x14ac:dyDescent="0.25">
      <c r="A174" t="s">
        <v>791</v>
      </c>
      <c r="B174">
        <v>6184</v>
      </c>
      <c r="C174">
        <v>50</v>
      </c>
      <c r="D174">
        <v>14</v>
      </c>
      <c r="E174" t="s">
        <v>13</v>
      </c>
      <c r="F174" t="s">
        <v>14</v>
      </c>
      <c r="G174" t="s">
        <v>47</v>
      </c>
      <c r="H174" s="5">
        <v>44628</v>
      </c>
      <c r="I174" t="s">
        <v>792</v>
      </c>
      <c r="J174" t="s">
        <v>98</v>
      </c>
      <c r="K174" t="s">
        <v>117</v>
      </c>
      <c r="L174" s="1">
        <v>44621</v>
      </c>
      <c r="M174">
        <v>2022</v>
      </c>
    </row>
    <row r="175" spans="1:13" x14ac:dyDescent="0.25">
      <c r="A175" t="s">
        <v>791</v>
      </c>
      <c r="B175">
        <v>6184</v>
      </c>
      <c r="C175">
        <v>50</v>
      </c>
      <c r="D175">
        <v>14</v>
      </c>
      <c r="E175" t="s">
        <v>13</v>
      </c>
      <c r="F175" t="s">
        <v>14</v>
      </c>
      <c r="G175" t="s">
        <v>47</v>
      </c>
      <c r="H175" s="5">
        <v>44903</v>
      </c>
      <c r="I175" t="s">
        <v>793</v>
      </c>
      <c r="J175" t="s">
        <v>17</v>
      </c>
      <c r="K175" t="s">
        <v>150</v>
      </c>
      <c r="L175" s="1">
        <v>44896</v>
      </c>
      <c r="M175">
        <v>2022</v>
      </c>
    </row>
    <row r="176" spans="1:13" x14ac:dyDescent="0.25">
      <c r="A176" t="s">
        <v>791</v>
      </c>
      <c r="B176">
        <v>4548</v>
      </c>
      <c r="C176">
        <v>2135</v>
      </c>
      <c r="D176">
        <v>8</v>
      </c>
      <c r="E176" t="s">
        <v>30</v>
      </c>
      <c r="F176" t="s">
        <v>57</v>
      </c>
      <c r="G176" t="s">
        <v>32</v>
      </c>
      <c r="H176" s="5">
        <v>44628</v>
      </c>
      <c r="I176" t="s">
        <v>792</v>
      </c>
      <c r="J176" t="s">
        <v>98</v>
      </c>
      <c r="K176" t="s">
        <v>117</v>
      </c>
      <c r="L176" s="1">
        <v>44621</v>
      </c>
      <c r="M176">
        <v>2022</v>
      </c>
    </row>
    <row r="177" spans="1:13" x14ac:dyDescent="0.25">
      <c r="A177" t="s">
        <v>791</v>
      </c>
      <c r="B177">
        <v>4548</v>
      </c>
      <c r="C177">
        <v>2135</v>
      </c>
      <c r="D177">
        <v>8</v>
      </c>
      <c r="E177" t="s">
        <v>30</v>
      </c>
      <c r="F177" t="s">
        <v>57</v>
      </c>
      <c r="G177" t="s">
        <v>32</v>
      </c>
      <c r="H177" s="5">
        <v>44903</v>
      </c>
      <c r="I177" t="s">
        <v>793</v>
      </c>
      <c r="J177" t="s">
        <v>17</v>
      </c>
      <c r="K177" t="s">
        <v>150</v>
      </c>
      <c r="L177" s="1">
        <v>44896</v>
      </c>
      <c r="M177">
        <v>2022</v>
      </c>
    </row>
    <row r="178" spans="1:13" x14ac:dyDescent="0.25">
      <c r="A178" t="s">
        <v>794</v>
      </c>
      <c r="B178">
        <v>7195</v>
      </c>
      <c r="C178">
        <v>1665</v>
      </c>
      <c r="D178">
        <v>7</v>
      </c>
      <c r="E178" t="s">
        <v>30</v>
      </c>
      <c r="F178" t="s">
        <v>57</v>
      </c>
      <c r="G178" t="s">
        <v>65</v>
      </c>
      <c r="H178" s="5">
        <v>44747</v>
      </c>
      <c r="I178" t="s">
        <v>796</v>
      </c>
      <c r="J178" t="s">
        <v>25</v>
      </c>
      <c r="K178" t="s">
        <v>26</v>
      </c>
      <c r="L178" s="1">
        <v>44743</v>
      </c>
      <c r="M178">
        <v>2022</v>
      </c>
    </row>
    <row r="179" spans="1:13" x14ac:dyDescent="0.25">
      <c r="A179" t="s">
        <v>820</v>
      </c>
      <c r="B179">
        <v>8141</v>
      </c>
      <c r="C179">
        <v>3968</v>
      </c>
      <c r="D179">
        <v>18</v>
      </c>
      <c r="E179" t="s">
        <v>30</v>
      </c>
      <c r="F179" t="s">
        <v>57</v>
      </c>
      <c r="G179" t="s">
        <v>32</v>
      </c>
      <c r="H179" s="5">
        <v>44918</v>
      </c>
      <c r="I179" t="s">
        <v>821</v>
      </c>
      <c r="J179" t="s">
        <v>25</v>
      </c>
      <c r="K179" t="s">
        <v>68</v>
      </c>
      <c r="L179" s="1">
        <v>44896</v>
      </c>
      <c r="M179">
        <v>2022</v>
      </c>
    </row>
    <row r="180" spans="1:13" x14ac:dyDescent="0.25">
      <c r="A180" t="s">
        <v>820</v>
      </c>
      <c r="B180">
        <v>8141</v>
      </c>
      <c r="C180">
        <v>3968</v>
      </c>
      <c r="D180">
        <v>18</v>
      </c>
      <c r="E180" t="s">
        <v>30</v>
      </c>
      <c r="F180" t="s">
        <v>57</v>
      </c>
      <c r="G180" t="s">
        <v>32</v>
      </c>
      <c r="H180" s="5">
        <v>44783</v>
      </c>
      <c r="I180" t="s">
        <v>822</v>
      </c>
      <c r="J180" t="s">
        <v>21</v>
      </c>
      <c r="K180" t="s">
        <v>172</v>
      </c>
      <c r="L180" s="1">
        <v>44774</v>
      </c>
      <c r="M180">
        <v>2022</v>
      </c>
    </row>
    <row r="181" spans="1:13" x14ac:dyDescent="0.25">
      <c r="A181" t="s">
        <v>820</v>
      </c>
      <c r="B181">
        <v>1067</v>
      </c>
      <c r="C181">
        <v>251</v>
      </c>
      <c r="D181">
        <v>14</v>
      </c>
      <c r="E181" t="s">
        <v>45</v>
      </c>
      <c r="F181" t="s">
        <v>60</v>
      </c>
      <c r="G181" t="s">
        <v>40</v>
      </c>
      <c r="H181" s="5">
        <v>44918</v>
      </c>
      <c r="I181" t="s">
        <v>821</v>
      </c>
      <c r="J181" t="s">
        <v>25</v>
      </c>
      <c r="K181" t="s">
        <v>68</v>
      </c>
      <c r="L181" s="1">
        <v>44896</v>
      </c>
      <c r="M181">
        <v>2022</v>
      </c>
    </row>
    <row r="182" spans="1:13" x14ac:dyDescent="0.25">
      <c r="A182" t="s">
        <v>820</v>
      </c>
      <c r="B182">
        <v>1067</v>
      </c>
      <c r="C182">
        <v>251</v>
      </c>
      <c r="D182">
        <v>14</v>
      </c>
      <c r="E182" t="s">
        <v>45</v>
      </c>
      <c r="F182" t="s">
        <v>60</v>
      </c>
      <c r="G182" t="s">
        <v>40</v>
      </c>
      <c r="H182" s="5">
        <v>44783</v>
      </c>
      <c r="I182" t="s">
        <v>822</v>
      </c>
      <c r="J182" t="s">
        <v>21</v>
      </c>
      <c r="K182" t="s">
        <v>172</v>
      </c>
      <c r="L182" s="1">
        <v>44774</v>
      </c>
      <c r="M182">
        <v>2022</v>
      </c>
    </row>
    <row r="183" spans="1:13" x14ac:dyDescent="0.25">
      <c r="A183" t="s">
        <v>823</v>
      </c>
      <c r="B183">
        <v>3839</v>
      </c>
      <c r="C183">
        <v>1415</v>
      </c>
      <c r="D183">
        <v>10</v>
      </c>
      <c r="E183" t="s">
        <v>30</v>
      </c>
      <c r="F183" t="s">
        <v>78</v>
      </c>
      <c r="G183" t="s">
        <v>15</v>
      </c>
      <c r="H183" s="5">
        <v>44620</v>
      </c>
      <c r="I183" t="s">
        <v>825</v>
      </c>
      <c r="J183" t="s">
        <v>17</v>
      </c>
      <c r="K183" t="s">
        <v>34</v>
      </c>
      <c r="L183" s="1">
        <v>44593</v>
      </c>
      <c r="M183">
        <v>2022</v>
      </c>
    </row>
    <row r="184" spans="1:13" x14ac:dyDescent="0.25">
      <c r="A184" t="s">
        <v>833</v>
      </c>
      <c r="B184">
        <v>4468</v>
      </c>
      <c r="C184">
        <v>1940</v>
      </c>
      <c r="D184">
        <v>9</v>
      </c>
      <c r="E184" t="s">
        <v>30</v>
      </c>
      <c r="F184" t="s">
        <v>64</v>
      </c>
      <c r="G184" t="s">
        <v>65</v>
      </c>
      <c r="H184" s="5">
        <v>44636</v>
      </c>
      <c r="I184" t="s">
        <v>834</v>
      </c>
      <c r="J184" t="s">
        <v>17</v>
      </c>
      <c r="K184" t="s">
        <v>150</v>
      </c>
      <c r="L184" s="1">
        <v>44621</v>
      </c>
      <c r="M184">
        <v>2022</v>
      </c>
    </row>
    <row r="185" spans="1:13" x14ac:dyDescent="0.25">
      <c r="A185" t="s">
        <v>840</v>
      </c>
      <c r="B185">
        <v>8706</v>
      </c>
      <c r="C185">
        <v>3099</v>
      </c>
      <c r="D185">
        <v>14</v>
      </c>
      <c r="E185" t="s">
        <v>30</v>
      </c>
      <c r="F185" t="s">
        <v>31</v>
      </c>
      <c r="G185" t="s">
        <v>47</v>
      </c>
      <c r="H185" s="5">
        <v>44741</v>
      </c>
      <c r="I185" t="s">
        <v>841</v>
      </c>
      <c r="J185" t="s">
        <v>21</v>
      </c>
      <c r="K185" t="s">
        <v>22</v>
      </c>
      <c r="L185" s="1">
        <v>44713</v>
      </c>
      <c r="M185">
        <v>2022</v>
      </c>
    </row>
    <row r="186" spans="1:13" x14ac:dyDescent="0.25">
      <c r="A186" t="s">
        <v>840</v>
      </c>
      <c r="B186">
        <v>4708</v>
      </c>
      <c r="C186">
        <v>696</v>
      </c>
      <c r="D186">
        <v>14</v>
      </c>
      <c r="E186" t="s">
        <v>13</v>
      </c>
      <c r="F186" t="s">
        <v>14</v>
      </c>
      <c r="G186" t="s">
        <v>47</v>
      </c>
      <c r="H186" s="5">
        <v>44741</v>
      </c>
      <c r="I186" t="s">
        <v>841</v>
      </c>
      <c r="J186" t="s">
        <v>21</v>
      </c>
      <c r="K186" t="s">
        <v>22</v>
      </c>
      <c r="L186" s="1">
        <v>44713</v>
      </c>
      <c r="M186">
        <v>2022</v>
      </c>
    </row>
    <row r="187" spans="1:13" x14ac:dyDescent="0.25">
      <c r="A187" t="s">
        <v>840</v>
      </c>
      <c r="B187">
        <v>8089</v>
      </c>
      <c r="C187">
        <v>3132</v>
      </c>
      <c r="D187">
        <v>17</v>
      </c>
      <c r="E187" t="s">
        <v>45</v>
      </c>
      <c r="F187" t="s">
        <v>49</v>
      </c>
      <c r="G187" t="s">
        <v>65</v>
      </c>
      <c r="H187" s="5">
        <v>44741</v>
      </c>
      <c r="I187" t="s">
        <v>841</v>
      </c>
      <c r="J187" t="s">
        <v>21</v>
      </c>
      <c r="K187" t="s">
        <v>22</v>
      </c>
      <c r="L187" s="1">
        <v>44713</v>
      </c>
      <c r="M187">
        <v>2022</v>
      </c>
    </row>
    <row r="188" spans="1:13" x14ac:dyDescent="0.25">
      <c r="A188" t="s">
        <v>842</v>
      </c>
      <c r="B188">
        <v>5462</v>
      </c>
      <c r="C188">
        <v>673</v>
      </c>
      <c r="D188">
        <v>12</v>
      </c>
      <c r="E188" t="s">
        <v>13</v>
      </c>
      <c r="F188" t="s">
        <v>28</v>
      </c>
      <c r="G188" t="s">
        <v>32</v>
      </c>
      <c r="H188" s="5">
        <v>44868</v>
      </c>
      <c r="I188" t="s">
        <v>843</v>
      </c>
      <c r="J188" t="s">
        <v>71</v>
      </c>
      <c r="K188" t="s">
        <v>86</v>
      </c>
      <c r="L188" s="1">
        <v>44866</v>
      </c>
      <c r="M188">
        <v>2022</v>
      </c>
    </row>
    <row r="189" spans="1:13" x14ac:dyDescent="0.25">
      <c r="A189" t="s">
        <v>848</v>
      </c>
      <c r="B189">
        <v>2349</v>
      </c>
      <c r="C189">
        <v>319</v>
      </c>
      <c r="D189">
        <v>4</v>
      </c>
      <c r="E189" t="s">
        <v>30</v>
      </c>
      <c r="F189" t="s">
        <v>31</v>
      </c>
      <c r="G189" t="s">
        <v>15</v>
      </c>
      <c r="H189" s="5">
        <v>44579</v>
      </c>
      <c r="I189" t="s">
        <v>849</v>
      </c>
      <c r="J189" t="s">
        <v>17</v>
      </c>
      <c r="K189" t="s">
        <v>18</v>
      </c>
      <c r="L189" s="1">
        <v>44562</v>
      </c>
      <c r="M189">
        <v>2022</v>
      </c>
    </row>
    <row r="190" spans="1:13" x14ac:dyDescent="0.25">
      <c r="A190" t="s">
        <v>848</v>
      </c>
      <c r="B190">
        <v>8220</v>
      </c>
      <c r="C190">
        <v>3882</v>
      </c>
      <c r="D190">
        <v>14</v>
      </c>
      <c r="E190" t="s">
        <v>45</v>
      </c>
      <c r="F190" t="s">
        <v>49</v>
      </c>
      <c r="G190" t="s">
        <v>15</v>
      </c>
      <c r="H190" s="5">
        <v>44579</v>
      </c>
      <c r="I190" t="s">
        <v>849</v>
      </c>
      <c r="J190" t="s">
        <v>17</v>
      </c>
      <c r="K190" t="s">
        <v>18</v>
      </c>
      <c r="L190" s="1">
        <v>44562</v>
      </c>
      <c r="M190">
        <v>2022</v>
      </c>
    </row>
    <row r="191" spans="1:13" x14ac:dyDescent="0.25">
      <c r="A191" t="s">
        <v>848</v>
      </c>
      <c r="B191">
        <v>2379</v>
      </c>
      <c r="C191">
        <v>279</v>
      </c>
      <c r="D191">
        <v>7</v>
      </c>
      <c r="E191" t="s">
        <v>45</v>
      </c>
      <c r="F191" t="s">
        <v>49</v>
      </c>
      <c r="G191" t="s">
        <v>32</v>
      </c>
      <c r="H191" s="5">
        <v>44579</v>
      </c>
      <c r="I191" t="s">
        <v>849</v>
      </c>
      <c r="J191" t="s">
        <v>17</v>
      </c>
      <c r="K191" t="s">
        <v>18</v>
      </c>
      <c r="L191" s="1">
        <v>44562</v>
      </c>
      <c r="M191">
        <v>2022</v>
      </c>
    </row>
    <row r="192" spans="1:13" x14ac:dyDescent="0.25">
      <c r="A192" t="s">
        <v>848</v>
      </c>
      <c r="B192">
        <v>7377</v>
      </c>
      <c r="C192">
        <v>2049</v>
      </c>
      <c r="D192">
        <v>4</v>
      </c>
      <c r="E192" t="s">
        <v>30</v>
      </c>
      <c r="F192" t="s">
        <v>57</v>
      </c>
      <c r="G192" t="s">
        <v>15</v>
      </c>
      <c r="H192" s="5">
        <v>44579</v>
      </c>
      <c r="I192" t="s">
        <v>849</v>
      </c>
      <c r="J192" t="s">
        <v>17</v>
      </c>
      <c r="K192" t="s">
        <v>18</v>
      </c>
      <c r="L192" s="1">
        <v>44562</v>
      </c>
      <c r="M192">
        <v>2022</v>
      </c>
    </row>
    <row r="193" spans="1:13" x14ac:dyDescent="0.25">
      <c r="A193" t="s">
        <v>850</v>
      </c>
      <c r="B193">
        <v>717</v>
      </c>
      <c r="C193">
        <v>158</v>
      </c>
      <c r="D193">
        <v>16</v>
      </c>
      <c r="E193" t="s">
        <v>45</v>
      </c>
      <c r="F193" t="s">
        <v>46</v>
      </c>
      <c r="G193" t="s">
        <v>47</v>
      </c>
      <c r="H193" s="5">
        <v>44643</v>
      </c>
      <c r="I193" t="s">
        <v>851</v>
      </c>
      <c r="J193" t="s">
        <v>98</v>
      </c>
      <c r="K193" t="s">
        <v>117</v>
      </c>
      <c r="L193" s="1">
        <v>44621</v>
      </c>
      <c r="M193">
        <v>2022</v>
      </c>
    </row>
    <row r="194" spans="1:13" x14ac:dyDescent="0.25">
      <c r="A194" t="s">
        <v>850</v>
      </c>
      <c r="B194">
        <v>717</v>
      </c>
      <c r="C194">
        <v>158</v>
      </c>
      <c r="D194">
        <v>16</v>
      </c>
      <c r="E194" t="s">
        <v>45</v>
      </c>
      <c r="F194" t="s">
        <v>46</v>
      </c>
      <c r="G194" t="s">
        <v>47</v>
      </c>
      <c r="H194" s="5">
        <v>44918</v>
      </c>
      <c r="I194" t="s">
        <v>853</v>
      </c>
      <c r="J194" t="s">
        <v>25</v>
      </c>
      <c r="K194" t="s">
        <v>26</v>
      </c>
      <c r="L194" s="1">
        <v>44896</v>
      </c>
      <c r="M194">
        <v>2022</v>
      </c>
    </row>
    <row r="195" spans="1:13" x14ac:dyDescent="0.25">
      <c r="A195" t="s">
        <v>850</v>
      </c>
      <c r="B195">
        <v>508</v>
      </c>
      <c r="C195">
        <v>177</v>
      </c>
      <c r="D195">
        <v>17</v>
      </c>
      <c r="E195" t="s">
        <v>45</v>
      </c>
      <c r="F195" t="s">
        <v>60</v>
      </c>
      <c r="G195" t="s">
        <v>15</v>
      </c>
      <c r="H195" s="5">
        <v>44643</v>
      </c>
      <c r="I195" t="s">
        <v>851</v>
      </c>
      <c r="J195" t="s">
        <v>98</v>
      </c>
      <c r="K195" t="s">
        <v>117</v>
      </c>
      <c r="L195" s="1">
        <v>44621</v>
      </c>
      <c r="M195">
        <v>2022</v>
      </c>
    </row>
    <row r="196" spans="1:13" x14ac:dyDescent="0.25">
      <c r="A196" t="s">
        <v>850</v>
      </c>
      <c r="B196">
        <v>508</v>
      </c>
      <c r="C196">
        <v>177</v>
      </c>
      <c r="D196">
        <v>17</v>
      </c>
      <c r="E196" t="s">
        <v>45</v>
      </c>
      <c r="F196" t="s">
        <v>60</v>
      </c>
      <c r="G196" t="s">
        <v>15</v>
      </c>
      <c r="H196" s="5">
        <v>44918</v>
      </c>
      <c r="I196" t="s">
        <v>853</v>
      </c>
      <c r="J196" t="s">
        <v>25</v>
      </c>
      <c r="K196" t="s">
        <v>26</v>
      </c>
      <c r="L196" s="1">
        <v>44896</v>
      </c>
      <c r="M196">
        <v>2022</v>
      </c>
    </row>
    <row r="197" spans="1:13" x14ac:dyDescent="0.25">
      <c r="A197" t="s">
        <v>857</v>
      </c>
      <c r="B197">
        <v>9382</v>
      </c>
      <c r="C197">
        <v>1085</v>
      </c>
      <c r="D197">
        <v>3</v>
      </c>
      <c r="E197" t="s">
        <v>13</v>
      </c>
      <c r="F197" t="s">
        <v>28</v>
      </c>
      <c r="G197" t="s">
        <v>32</v>
      </c>
      <c r="H197" s="5">
        <v>44697</v>
      </c>
      <c r="I197" t="s">
        <v>859</v>
      </c>
      <c r="J197" t="s">
        <v>25</v>
      </c>
      <c r="K197" t="s">
        <v>68</v>
      </c>
      <c r="L197" s="1">
        <v>44682</v>
      </c>
      <c r="M197">
        <v>2022</v>
      </c>
    </row>
    <row r="198" spans="1:13" x14ac:dyDescent="0.25">
      <c r="A198" t="s">
        <v>857</v>
      </c>
      <c r="B198">
        <v>4936</v>
      </c>
      <c r="C198">
        <v>576</v>
      </c>
      <c r="D198">
        <v>19</v>
      </c>
      <c r="E198" t="s">
        <v>45</v>
      </c>
      <c r="F198" t="s">
        <v>46</v>
      </c>
      <c r="G198" t="s">
        <v>65</v>
      </c>
      <c r="H198" s="5">
        <v>44697</v>
      </c>
      <c r="I198" t="s">
        <v>859</v>
      </c>
      <c r="J198" t="s">
        <v>25</v>
      </c>
      <c r="K198" t="s">
        <v>68</v>
      </c>
      <c r="L198" s="1">
        <v>44682</v>
      </c>
      <c r="M198">
        <v>2022</v>
      </c>
    </row>
    <row r="199" spans="1:13" x14ac:dyDescent="0.25">
      <c r="A199" t="s">
        <v>863</v>
      </c>
      <c r="B199">
        <v>5151</v>
      </c>
      <c r="C199">
        <v>1680</v>
      </c>
      <c r="D199">
        <v>5</v>
      </c>
      <c r="E199" t="s">
        <v>13</v>
      </c>
      <c r="F199" t="s">
        <v>28</v>
      </c>
      <c r="G199" t="s">
        <v>40</v>
      </c>
      <c r="H199" s="5">
        <v>44856</v>
      </c>
      <c r="I199" t="s">
        <v>864</v>
      </c>
      <c r="J199" t="s">
        <v>71</v>
      </c>
      <c r="K199" t="s">
        <v>138</v>
      </c>
      <c r="L199" s="1">
        <v>44835</v>
      </c>
      <c r="M199">
        <v>2022</v>
      </c>
    </row>
    <row r="200" spans="1:13" x14ac:dyDescent="0.25">
      <c r="A200" t="s">
        <v>877</v>
      </c>
      <c r="B200">
        <v>6077</v>
      </c>
      <c r="C200">
        <v>2378</v>
      </c>
      <c r="D200">
        <v>18</v>
      </c>
      <c r="E200" t="s">
        <v>13</v>
      </c>
      <c r="F200" t="s">
        <v>82</v>
      </c>
      <c r="G200" t="s">
        <v>65</v>
      </c>
      <c r="H200" s="5">
        <v>44794</v>
      </c>
      <c r="I200" t="s">
        <v>878</v>
      </c>
      <c r="J200" t="s">
        <v>25</v>
      </c>
      <c r="K200" t="s">
        <v>51</v>
      </c>
      <c r="L200" s="1">
        <v>44774</v>
      </c>
      <c r="M200">
        <v>2022</v>
      </c>
    </row>
    <row r="201" spans="1:13" x14ac:dyDescent="0.25">
      <c r="A201" t="s">
        <v>879</v>
      </c>
      <c r="B201">
        <v>5379</v>
      </c>
      <c r="C201">
        <v>2510</v>
      </c>
      <c r="D201">
        <v>17</v>
      </c>
      <c r="E201" t="s">
        <v>13</v>
      </c>
      <c r="F201" t="s">
        <v>28</v>
      </c>
      <c r="G201" t="s">
        <v>65</v>
      </c>
      <c r="H201" s="5">
        <v>44667</v>
      </c>
      <c r="I201" t="s">
        <v>880</v>
      </c>
      <c r="J201" t="s">
        <v>98</v>
      </c>
      <c r="K201" t="s">
        <v>99</v>
      </c>
      <c r="L201" s="1">
        <v>44652</v>
      </c>
      <c r="M201">
        <v>2022</v>
      </c>
    </row>
    <row r="202" spans="1:13" x14ac:dyDescent="0.25">
      <c r="A202" t="s">
        <v>885</v>
      </c>
      <c r="B202">
        <v>8042</v>
      </c>
      <c r="C202">
        <v>936</v>
      </c>
      <c r="D202">
        <v>15</v>
      </c>
      <c r="E202" t="s">
        <v>30</v>
      </c>
      <c r="F202" t="s">
        <v>57</v>
      </c>
      <c r="G202" t="s">
        <v>40</v>
      </c>
      <c r="H202" s="5">
        <v>44659</v>
      </c>
      <c r="I202" t="s">
        <v>887</v>
      </c>
      <c r="J202" t="s">
        <v>42</v>
      </c>
      <c r="K202" t="s">
        <v>43</v>
      </c>
      <c r="L202" s="1">
        <v>44652</v>
      </c>
      <c r="M202">
        <v>2022</v>
      </c>
    </row>
    <row r="203" spans="1:13" x14ac:dyDescent="0.25">
      <c r="A203" t="s">
        <v>888</v>
      </c>
      <c r="B203">
        <v>3957</v>
      </c>
      <c r="C203">
        <v>151</v>
      </c>
      <c r="D203">
        <v>10</v>
      </c>
      <c r="E203" t="s">
        <v>30</v>
      </c>
      <c r="F203" t="s">
        <v>78</v>
      </c>
      <c r="G203" t="s">
        <v>40</v>
      </c>
      <c r="H203" s="5">
        <v>44681</v>
      </c>
      <c r="I203" t="s">
        <v>889</v>
      </c>
      <c r="J203" t="s">
        <v>71</v>
      </c>
      <c r="K203" t="s">
        <v>86</v>
      </c>
      <c r="L203" s="1">
        <v>44652</v>
      </c>
      <c r="M203">
        <v>2022</v>
      </c>
    </row>
    <row r="204" spans="1:13" x14ac:dyDescent="0.25">
      <c r="A204" t="s">
        <v>894</v>
      </c>
      <c r="B204">
        <v>5344</v>
      </c>
      <c r="C204">
        <v>2607</v>
      </c>
      <c r="D204">
        <v>6</v>
      </c>
      <c r="E204" t="s">
        <v>30</v>
      </c>
      <c r="F204" t="s">
        <v>64</v>
      </c>
      <c r="G204" t="s">
        <v>32</v>
      </c>
      <c r="H204" s="5">
        <v>44674</v>
      </c>
      <c r="I204" t="s">
        <v>895</v>
      </c>
      <c r="J204" t="s">
        <v>71</v>
      </c>
      <c r="K204" t="s">
        <v>72</v>
      </c>
      <c r="L204" s="1">
        <v>44652</v>
      </c>
      <c r="M204">
        <v>2022</v>
      </c>
    </row>
    <row r="205" spans="1:13" x14ac:dyDescent="0.25">
      <c r="A205" t="s">
        <v>897</v>
      </c>
      <c r="B205">
        <v>6061</v>
      </c>
      <c r="C205">
        <v>2121</v>
      </c>
      <c r="D205">
        <v>19</v>
      </c>
      <c r="E205" t="s">
        <v>13</v>
      </c>
      <c r="F205" t="s">
        <v>39</v>
      </c>
      <c r="G205" t="s">
        <v>40</v>
      </c>
      <c r="H205" s="5">
        <v>44578</v>
      </c>
      <c r="I205" t="s">
        <v>899</v>
      </c>
      <c r="J205" t="s">
        <v>42</v>
      </c>
      <c r="K205" t="s">
        <v>75</v>
      </c>
      <c r="L205" s="1">
        <v>44562</v>
      </c>
      <c r="M205">
        <v>2022</v>
      </c>
    </row>
    <row r="206" spans="1:13" x14ac:dyDescent="0.25">
      <c r="A206" t="s">
        <v>904</v>
      </c>
      <c r="B206">
        <v>2944</v>
      </c>
      <c r="C206">
        <v>249</v>
      </c>
      <c r="D206">
        <v>5</v>
      </c>
      <c r="E206" t="s">
        <v>30</v>
      </c>
      <c r="F206" t="s">
        <v>78</v>
      </c>
      <c r="G206" t="s">
        <v>47</v>
      </c>
      <c r="H206" s="5">
        <v>44921</v>
      </c>
      <c r="I206" t="s">
        <v>906</v>
      </c>
      <c r="J206" t="s">
        <v>71</v>
      </c>
      <c r="K206" t="s">
        <v>72</v>
      </c>
      <c r="L206" s="1">
        <v>44896</v>
      </c>
      <c r="M206">
        <v>2022</v>
      </c>
    </row>
    <row r="207" spans="1:13" x14ac:dyDescent="0.25">
      <c r="A207" t="s">
        <v>914</v>
      </c>
      <c r="B207">
        <v>599</v>
      </c>
      <c r="C207">
        <v>265</v>
      </c>
      <c r="D207">
        <v>4</v>
      </c>
      <c r="E207" t="s">
        <v>13</v>
      </c>
      <c r="F207" t="s">
        <v>82</v>
      </c>
      <c r="G207" t="s">
        <v>47</v>
      </c>
      <c r="H207" s="5">
        <v>44759</v>
      </c>
      <c r="I207" t="s">
        <v>915</v>
      </c>
      <c r="J207" t="s">
        <v>25</v>
      </c>
      <c r="K207" t="s">
        <v>26</v>
      </c>
      <c r="L207" s="1">
        <v>44743</v>
      </c>
      <c r="M207">
        <v>2022</v>
      </c>
    </row>
    <row r="208" spans="1:13" x14ac:dyDescent="0.25">
      <c r="A208" t="s">
        <v>914</v>
      </c>
      <c r="B208">
        <v>2727</v>
      </c>
      <c r="C208">
        <v>543</v>
      </c>
      <c r="D208">
        <v>10</v>
      </c>
      <c r="E208" t="s">
        <v>45</v>
      </c>
      <c r="F208" t="s">
        <v>109</v>
      </c>
      <c r="G208" t="s">
        <v>47</v>
      </c>
      <c r="H208" s="5">
        <v>44759</v>
      </c>
      <c r="I208" t="s">
        <v>915</v>
      </c>
      <c r="J208" t="s">
        <v>25</v>
      </c>
      <c r="K208" t="s">
        <v>26</v>
      </c>
      <c r="L208" s="1">
        <v>44743</v>
      </c>
      <c r="M208">
        <v>2022</v>
      </c>
    </row>
    <row r="209" spans="1:13" x14ac:dyDescent="0.25">
      <c r="A209" t="s">
        <v>920</v>
      </c>
      <c r="B209">
        <v>3776</v>
      </c>
      <c r="C209">
        <v>1100</v>
      </c>
      <c r="D209">
        <v>9</v>
      </c>
      <c r="E209" t="s">
        <v>13</v>
      </c>
      <c r="F209" t="s">
        <v>14</v>
      </c>
      <c r="G209" t="s">
        <v>40</v>
      </c>
      <c r="H209" s="5">
        <v>44878</v>
      </c>
      <c r="I209" t="s">
        <v>921</v>
      </c>
      <c r="J209" t="s">
        <v>71</v>
      </c>
      <c r="K209" t="s">
        <v>86</v>
      </c>
      <c r="L209" s="1">
        <v>44866</v>
      </c>
      <c r="M209">
        <v>2022</v>
      </c>
    </row>
    <row r="210" spans="1:13" x14ac:dyDescent="0.25">
      <c r="A210" t="s">
        <v>920</v>
      </c>
      <c r="B210">
        <v>3776</v>
      </c>
      <c r="C210">
        <v>1100</v>
      </c>
      <c r="D210">
        <v>9</v>
      </c>
      <c r="E210" t="s">
        <v>13</v>
      </c>
      <c r="F210" t="s">
        <v>14</v>
      </c>
      <c r="G210" t="s">
        <v>40</v>
      </c>
      <c r="H210" s="5">
        <v>44923</v>
      </c>
      <c r="I210" t="s">
        <v>922</v>
      </c>
      <c r="J210" t="s">
        <v>21</v>
      </c>
      <c r="K210" t="s">
        <v>172</v>
      </c>
      <c r="L210" s="1">
        <v>44896</v>
      </c>
      <c r="M210">
        <v>2022</v>
      </c>
    </row>
    <row r="211" spans="1:13" x14ac:dyDescent="0.25">
      <c r="A211" t="s">
        <v>925</v>
      </c>
      <c r="B211">
        <v>5165</v>
      </c>
      <c r="C211">
        <v>885</v>
      </c>
      <c r="D211">
        <v>16</v>
      </c>
      <c r="E211" t="s">
        <v>30</v>
      </c>
      <c r="F211" t="s">
        <v>31</v>
      </c>
      <c r="G211" t="s">
        <v>40</v>
      </c>
      <c r="H211" s="5">
        <v>44877</v>
      </c>
      <c r="I211" t="s">
        <v>926</v>
      </c>
      <c r="J211" t="s">
        <v>21</v>
      </c>
      <c r="K211" t="s">
        <v>172</v>
      </c>
      <c r="L211" s="1">
        <v>44866</v>
      </c>
      <c r="M211">
        <v>2022</v>
      </c>
    </row>
    <row r="212" spans="1:13" x14ac:dyDescent="0.25">
      <c r="A212" t="s">
        <v>925</v>
      </c>
      <c r="B212">
        <v>4863</v>
      </c>
      <c r="C212">
        <v>2394</v>
      </c>
      <c r="D212">
        <v>4</v>
      </c>
      <c r="E212" t="s">
        <v>45</v>
      </c>
      <c r="F212" t="s">
        <v>109</v>
      </c>
      <c r="G212" t="s">
        <v>40</v>
      </c>
      <c r="H212" s="5">
        <v>44877</v>
      </c>
      <c r="I212" t="s">
        <v>926</v>
      </c>
      <c r="J212" t="s">
        <v>21</v>
      </c>
      <c r="K212" t="s">
        <v>172</v>
      </c>
      <c r="L212" s="1">
        <v>44866</v>
      </c>
      <c r="M212">
        <v>2022</v>
      </c>
    </row>
    <row r="213" spans="1:13" x14ac:dyDescent="0.25">
      <c r="A213" t="s">
        <v>940</v>
      </c>
      <c r="B213">
        <v>5250</v>
      </c>
      <c r="C213">
        <v>187</v>
      </c>
      <c r="D213">
        <v>1</v>
      </c>
      <c r="E213" t="s">
        <v>30</v>
      </c>
      <c r="F213" t="s">
        <v>78</v>
      </c>
      <c r="G213" t="s">
        <v>65</v>
      </c>
      <c r="H213" s="5">
        <v>44637</v>
      </c>
      <c r="I213" t="s">
        <v>941</v>
      </c>
      <c r="J213" t="s">
        <v>98</v>
      </c>
      <c r="K213" t="s">
        <v>107</v>
      </c>
      <c r="L213" s="1">
        <v>44621</v>
      </c>
      <c r="M213">
        <v>2022</v>
      </c>
    </row>
    <row r="214" spans="1:13" x14ac:dyDescent="0.25">
      <c r="A214" t="s">
        <v>948</v>
      </c>
      <c r="B214">
        <v>3573</v>
      </c>
      <c r="C214">
        <v>562</v>
      </c>
      <c r="D214">
        <v>7</v>
      </c>
      <c r="E214" t="s">
        <v>30</v>
      </c>
      <c r="F214" t="s">
        <v>31</v>
      </c>
      <c r="G214" t="s">
        <v>40</v>
      </c>
      <c r="H214" s="5">
        <v>44846</v>
      </c>
      <c r="I214" t="s">
        <v>454</v>
      </c>
      <c r="J214" t="s">
        <v>25</v>
      </c>
      <c r="K214" t="s">
        <v>68</v>
      </c>
      <c r="L214" s="1">
        <v>44835</v>
      </c>
      <c r="M214">
        <v>2022</v>
      </c>
    </row>
    <row r="215" spans="1:13" x14ac:dyDescent="0.25">
      <c r="A215" t="s">
        <v>948</v>
      </c>
      <c r="B215">
        <v>8055</v>
      </c>
      <c r="C215">
        <v>661</v>
      </c>
      <c r="D215">
        <v>10</v>
      </c>
      <c r="E215" t="s">
        <v>13</v>
      </c>
      <c r="F215" t="s">
        <v>82</v>
      </c>
      <c r="G215" t="s">
        <v>40</v>
      </c>
      <c r="H215" s="5">
        <v>44846</v>
      </c>
      <c r="I215" t="s">
        <v>454</v>
      </c>
      <c r="J215" t="s">
        <v>25</v>
      </c>
      <c r="K215" t="s">
        <v>68</v>
      </c>
      <c r="L215" s="1">
        <v>44835</v>
      </c>
      <c r="M215">
        <v>2022</v>
      </c>
    </row>
    <row r="216" spans="1:13" x14ac:dyDescent="0.25">
      <c r="A216" t="s">
        <v>951</v>
      </c>
      <c r="B216">
        <v>6829</v>
      </c>
      <c r="C216">
        <v>2609</v>
      </c>
      <c r="D216">
        <v>2</v>
      </c>
      <c r="E216" t="s">
        <v>13</v>
      </c>
      <c r="F216" t="s">
        <v>39</v>
      </c>
      <c r="G216" t="s">
        <v>40</v>
      </c>
      <c r="H216" s="5">
        <v>44716</v>
      </c>
      <c r="I216" t="s">
        <v>952</v>
      </c>
      <c r="J216" t="s">
        <v>42</v>
      </c>
      <c r="K216" t="s">
        <v>92</v>
      </c>
      <c r="L216" s="1">
        <v>44713</v>
      </c>
      <c r="M216">
        <v>2022</v>
      </c>
    </row>
    <row r="217" spans="1:13" x14ac:dyDescent="0.25">
      <c r="A217" t="s">
        <v>951</v>
      </c>
      <c r="B217">
        <v>6390</v>
      </c>
      <c r="C217">
        <v>3089</v>
      </c>
      <c r="D217">
        <v>12</v>
      </c>
      <c r="E217" t="s">
        <v>30</v>
      </c>
      <c r="F217" t="s">
        <v>64</v>
      </c>
      <c r="G217" t="s">
        <v>65</v>
      </c>
      <c r="H217" s="5">
        <v>44716</v>
      </c>
      <c r="I217" t="s">
        <v>952</v>
      </c>
      <c r="J217" t="s">
        <v>42</v>
      </c>
      <c r="K217" t="s">
        <v>92</v>
      </c>
      <c r="L217" s="1">
        <v>44713</v>
      </c>
      <c r="M217">
        <v>2022</v>
      </c>
    </row>
    <row r="218" spans="1:13" x14ac:dyDescent="0.25">
      <c r="A218" t="s">
        <v>953</v>
      </c>
      <c r="B218">
        <v>5831</v>
      </c>
      <c r="C218">
        <v>1574</v>
      </c>
      <c r="D218">
        <v>17</v>
      </c>
      <c r="E218" t="s">
        <v>30</v>
      </c>
      <c r="F218" t="s">
        <v>31</v>
      </c>
      <c r="G218" t="s">
        <v>32</v>
      </c>
      <c r="H218" s="5">
        <v>44881</v>
      </c>
      <c r="I218" t="s">
        <v>954</v>
      </c>
      <c r="J218" t="s">
        <v>42</v>
      </c>
      <c r="K218" t="s">
        <v>92</v>
      </c>
      <c r="L218" s="1">
        <v>44866</v>
      </c>
      <c r="M218">
        <v>2022</v>
      </c>
    </row>
    <row r="219" spans="1:13" x14ac:dyDescent="0.25">
      <c r="A219" t="s">
        <v>979</v>
      </c>
      <c r="B219">
        <v>1078</v>
      </c>
      <c r="C219">
        <v>309</v>
      </c>
      <c r="D219">
        <v>3</v>
      </c>
      <c r="E219" t="s">
        <v>13</v>
      </c>
      <c r="F219" t="s">
        <v>82</v>
      </c>
      <c r="G219" t="s">
        <v>47</v>
      </c>
      <c r="H219" s="5">
        <v>44807</v>
      </c>
      <c r="I219" t="s">
        <v>980</v>
      </c>
      <c r="J219" t="s">
        <v>98</v>
      </c>
      <c r="K219" t="s">
        <v>117</v>
      </c>
      <c r="L219" s="1">
        <v>44805</v>
      </c>
      <c r="M219">
        <v>2022</v>
      </c>
    </row>
    <row r="220" spans="1:13" x14ac:dyDescent="0.25">
      <c r="A220" t="s">
        <v>982</v>
      </c>
      <c r="B220">
        <v>8560</v>
      </c>
      <c r="C220">
        <v>2166</v>
      </c>
      <c r="D220">
        <v>19</v>
      </c>
      <c r="E220" t="s">
        <v>30</v>
      </c>
      <c r="F220" t="s">
        <v>78</v>
      </c>
      <c r="G220" t="s">
        <v>40</v>
      </c>
      <c r="H220" s="5">
        <v>44708</v>
      </c>
      <c r="I220" t="s">
        <v>983</v>
      </c>
      <c r="J220" t="s">
        <v>17</v>
      </c>
      <c r="K220" t="s">
        <v>150</v>
      </c>
      <c r="L220" s="1">
        <v>44682</v>
      </c>
      <c r="M220">
        <v>2022</v>
      </c>
    </row>
    <row r="221" spans="1:13" x14ac:dyDescent="0.25">
      <c r="A221" t="s">
        <v>982</v>
      </c>
      <c r="B221">
        <v>1031</v>
      </c>
      <c r="C221">
        <v>318</v>
      </c>
      <c r="D221">
        <v>20</v>
      </c>
      <c r="E221" t="s">
        <v>13</v>
      </c>
      <c r="F221" t="s">
        <v>14</v>
      </c>
      <c r="G221" t="s">
        <v>15</v>
      </c>
      <c r="H221" s="5">
        <v>44708</v>
      </c>
      <c r="I221" t="s">
        <v>983</v>
      </c>
      <c r="J221" t="s">
        <v>17</v>
      </c>
      <c r="K221" t="s">
        <v>150</v>
      </c>
      <c r="L221" s="1">
        <v>44682</v>
      </c>
      <c r="M221">
        <v>2022</v>
      </c>
    </row>
    <row r="222" spans="1:13" x14ac:dyDescent="0.25">
      <c r="A222" t="s">
        <v>987</v>
      </c>
      <c r="B222">
        <v>4015</v>
      </c>
      <c r="C222">
        <v>1751</v>
      </c>
      <c r="D222">
        <v>15</v>
      </c>
      <c r="E222" t="s">
        <v>45</v>
      </c>
      <c r="F222" t="s">
        <v>49</v>
      </c>
      <c r="G222" t="s">
        <v>32</v>
      </c>
      <c r="H222" s="5">
        <v>44801</v>
      </c>
      <c r="I222" t="s">
        <v>988</v>
      </c>
      <c r="J222" t="s">
        <v>42</v>
      </c>
      <c r="K222" t="s">
        <v>92</v>
      </c>
      <c r="L222" s="1">
        <v>44774</v>
      </c>
      <c r="M222">
        <v>2022</v>
      </c>
    </row>
    <row r="223" spans="1:13" x14ac:dyDescent="0.25">
      <c r="A223" t="s">
        <v>995</v>
      </c>
      <c r="B223">
        <v>6389</v>
      </c>
      <c r="C223">
        <v>734</v>
      </c>
      <c r="D223">
        <v>1</v>
      </c>
      <c r="E223" t="s">
        <v>45</v>
      </c>
      <c r="F223" t="s">
        <v>60</v>
      </c>
      <c r="G223" t="s">
        <v>40</v>
      </c>
      <c r="H223" s="5">
        <v>44576</v>
      </c>
      <c r="I223" t="s">
        <v>996</v>
      </c>
      <c r="J223" t="s">
        <v>71</v>
      </c>
      <c r="K223" t="s">
        <v>72</v>
      </c>
      <c r="L223" s="1">
        <v>44562</v>
      </c>
      <c r="M223">
        <v>2022</v>
      </c>
    </row>
    <row r="224" spans="1:13" x14ac:dyDescent="0.25">
      <c r="A224" t="s">
        <v>1000</v>
      </c>
      <c r="B224">
        <v>655</v>
      </c>
      <c r="C224">
        <v>297</v>
      </c>
      <c r="D224">
        <v>4</v>
      </c>
      <c r="E224" t="s">
        <v>30</v>
      </c>
      <c r="F224" t="s">
        <v>57</v>
      </c>
      <c r="G224" t="s">
        <v>32</v>
      </c>
      <c r="H224" s="5">
        <v>44607</v>
      </c>
      <c r="I224" t="s">
        <v>1001</v>
      </c>
      <c r="J224" t="s">
        <v>25</v>
      </c>
      <c r="K224" t="s">
        <v>26</v>
      </c>
      <c r="L224" s="1">
        <v>44593</v>
      </c>
      <c r="M224">
        <v>2022</v>
      </c>
    </row>
    <row r="225" spans="1:13" x14ac:dyDescent="0.25">
      <c r="A225" t="s">
        <v>1023</v>
      </c>
      <c r="B225">
        <v>5263</v>
      </c>
      <c r="C225">
        <v>1743</v>
      </c>
      <c r="D225">
        <v>19</v>
      </c>
      <c r="E225" t="s">
        <v>45</v>
      </c>
      <c r="F225" t="s">
        <v>60</v>
      </c>
      <c r="G225" t="s">
        <v>47</v>
      </c>
      <c r="H225" s="5">
        <v>44801</v>
      </c>
      <c r="I225" t="s">
        <v>1024</v>
      </c>
      <c r="J225" t="s">
        <v>17</v>
      </c>
      <c r="K225" t="s">
        <v>18</v>
      </c>
      <c r="L225" s="1">
        <v>44774</v>
      </c>
      <c r="M225">
        <v>2022</v>
      </c>
    </row>
    <row r="226" spans="1:13" x14ac:dyDescent="0.25">
      <c r="A226" t="s">
        <v>1030</v>
      </c>
      <c r="B226">
        <v>8537</v>
      </c>
      <c r="C226">
        <v>3586</v>
      </c>
      <c r="D226">
        <v>13</v>
      </c>
      <c r="E226" t="s">
        <v>30</v>
      </c>
      <c r="F226" t="s">
        <v>57</v>
      </c>
      <c r="G226" t="s">
        <v>15</v>
      </c>
      <c r="H226" s="5">
        <v>44820</v>
      </c>
      <c r="I226" t="s">
        <v>1031</v>
      </c>
      <c r="J226" t="s">
        <v>25</v>
      </c>
      <c r="K226" t="s">
        <v>68</v>
      </c>
      <c r="L226" s="1">
        <v>44805</v>
      </c>
      <c r="M226">
        <v>2022</v>
      </c>
    </row>
    <row r="227" spans="1:13" x14ac:dyDescent="0.25">
      <c r="A227" t="s">
        <v>1044</v>
      </c>
      <c r="B227">
        <v>3877</v>
      </c>
      <c r="C227">
        <v>481</v>
      </c>
      <c r="D227">
        <v>16</v>
      </c>
      <c r="E227" t="s">
        <v>45</v>
      </c>
      <c r="F227" t="s">
        <v>49</v>
      </c>
      <c r="G227" t="s">
        <v>32</v>
      </c>
      <c r="H227" s="5">
        <v>44596</v>
      </c>
      <c r="I227" t="s">
        <v>1046</v>
      </c>
      <c r="J227" t="s">
        <v>25</v>
      </c>
      <c r="K227" t="s">
        <v>51</v>
      </c>
      <c r="L227" s="1">
        <v>44593</v>
      </c>
      <c r="M227">
        <v>2022</v>
      </c>
    </row>
    <row r="228" spans="1:13" x14ac:dyDescent="0.25">
      <c r="A228" t="s">
        <v>1061</v>
      </c>
      <c r="B228">
        <v>1592</v>
      </c>
      <c r="C228">
        <v>480</v>
      </c>
      <c r="D228">
        <v>13</v>
      </c>
      <c r="E228" t="s">
        <v>13</v>
      </c>
      <c r="F228" t="s">
        <v>39</v>
      </c>
      <c r="G228" t="s">
        <v>32</v>
      </c>
      <c r="H228" s="5">
        <v>44579</v>
      </c>
      <c r="I228" t="s">
        <v>1062</v>
      </c>
      <c r="J228" t="s">
        <v>98</v>
      </c>
      <c r="K228" t="s">
        <v>117</v>
      </c>
      <c r="L228" s="1">
        <v>44562</v>
      </c>
      <c r="M228">
        <v>2022</v>
      </c>
    </row>
    <row r="229" spans="1:13" x14ac:dyDescent="0.25">
      <c r="A229" t="s">
        <v>1092</v>
      </c>
      <c r="B229">
        <v>9399</v>
      </c>
      <c r="C229">
        <v>1949</v>
      </c>
      <c r="D229">
        <v>12</v>
      </c>
      <c r="E229" t="s">
        <v>13</v>
      </c>
      <c r="F229" t="s">
        <v>28</v>
      </c>
      <c r="G229" t="s">
        <v>15</v>
      </c>
      <c r="H229" s="5">
        <v>44697</v>
      </c>
      <c r="I229" t="s">
        <v>1093</v>
      </c>
      <c r="J229" t="s">
        <v>25</v>
      </c>
      <c r="K229" t="s">
        <v>68</v>
      </c>
      <c r="L229" s="1">
        <v>44682</v>
      </c>
      <c r="M229">
        <v>2022</v>
      </c>
    </row>
    <row r="230" spans="1:13" x14ac:dyDescent="0.25">
      <c r="A230" t="s">
        <v>1092</v>
      </c>
      <c r="B230">
        <v>7957</v>
      </c>
      <c r="C230">
        <v>965</v>
      </c>
      <c r="D230">
        <v>4</v>
      </c>
      <c r="E230" t="s">
        <v>45</v>
      </c>
      <c r="F230" t="s">
        <v>60</v>
      </c>
      <c r="G230" t="s">
        <v>47</v>
      </c>
      <c r="H230" s="5">
        <v>44697</v>
      </c>
      <c r="I230" t="s">
        <v>1093</v>
      </c>
      <c r="J230" t="s">
        <v>25</v>
      </c>
      <c r="K230" t="s">
        <v>68</v>
      </c>
      <c r="L230" s="1">
        <v>44682</v>
      </c>
      <c r="M230">
        <v>2022</v>
      </c>
    </row>
    <row r="231" spans="1:13" x14ac:dyDescent="0.25">
      <c r="A231" t="s">
        <v>1102</v>
      </c>
      <c r="B231">
        <v>2727</v>
      </c>
      <c r="C231">
        <v>663</v>
      </c>
      <c r="D231">
        <v>8</v>
      </c>
      <c r="E231" t="s">
        <v>13</v>
      </c>
      <c r="F231" t="s">
        <v>82</v>
      </c>
      <c r="G231" t="s">
        <v>47</v>
      </c>
      <c r="H231" s="5">
        <v>44872</v>
      </c>
      <c r="I231" t="s">
        <v>1103</v>
      </c>
      <c r="J231" t="s">
        <v>17</v>
      </c>
      <c r="K231" t="s">
        <v>18</v>
      </c>
      <c r="L231" s="1">
        <v>44866</v>
      </c>
      <c r="M231">
        <v>2022</v>
      </c>
    </row>
    <row r="232" spans="1:13" x14ac:dyDescent="0.25">
      <c r="A232" t="s">
        <v>1104</v>
      </c>
      <c r="B232">
        <v>1093</v>
      </c>
      <c r="C232">
        <v>397</v>
      </c>
      <c r="D232">
        <v>17</v>
      </c>
      <c r="E232" t="s">
        <v>13</v>
      </c>
      <c r="F232" t="s">
        <v>28</v>
      </c>
      <c r="G232" t="s">
        <v>47</v>
      </c>
      <c r="H232" s="5">
        <v>44614</v>
      </c>
      <c r="I232" t="s">
        <v>1107</v>
      </c>
      <c r="J232" t="s">
        <v>98</v>
      </c>
      <c r="K232" t="s">
        <v>99</v>
      </c>
      <c r="L232" s="1">
        <v>44593</v>
      </c>
      <c r="M232">
        <v>2022</v>
      </c>
    </row>
    <row r="233" spans="1:13" x14ac:dyDescent="0.25">
      <c r="A233" t="s">
        <v>1104</v>
      </c>
      <c r="B233">
        <v>2636</v>
      </c>
      <c r="C233">
        <v>88</v>
      </c>
      <c r="D233">
        <v>11</v>
      </c>
      <c r="E233" t="s">
        <v>30</v>
      </c>
      <c r="F233" t="s">
        <v>64</v>
      </c>
      <c r="G233" t="s">
        <v>32</v>
      </c>
      <c r="H233" s="5">
        <v>44614</v>
      </c>
      <c r="I233" t="s">
        <v>1107</v>
      </c>
      <c r="J233" t="s">
        <v>98</v>
      </c>
      <c r="K233" t="s">
        <v>99</v>
      </c>
      <c r="L233" s="1">
        <v>44593</v>
      </c>
      <c r="M233">
        <v>2022</v>
      </c>
    </row>
    <row r="234" spans="1:13" x14ac:dyDescent="0.25">
      <c r="A234" t="s">
        <v>1108</v>
      </c>
      <c r="B234">
        <v>7344</v>
      </c>
      <c r="C234">
        <v>2251</v>
      </c>
      <c r="D234">
        <v>7</v>
      </c>
      <c r="E234" t="s">
        <v>13</v>
      </c>
      <c r="F234" t="s">
        <v>14</v>
      </c>
      <c r="G234" t="s">
        <v>32</v>
      </c>
      <c r="H234" s="5">
        <v>44603</v>
      </c>
      <c r="I234" t="s">
        <v>1109</v>
      </c>
      <c r="J234" t="s">
        <v>17</v>
      </c>
      <c r="K234" t="s">
        <v>18</v>
      </c>
      <c r="L234" s="1">
        <v>44593</v>
      </c>
      <c r="M234">
        <v>2022</v>
      </c>
    </row>
    <row r="235" spans="1:13" x14ac:dyDescent="0.25">
      <c r="A235" t="s">
        <v>1108</v>
      </c>
      <c r="B235">
        <v>7306</v>
      </c>
      <c r="C235">
        <v>1547</v>
      </c>
      <c r="D235">
        <v>3</v>
      </c>
      <c r="E235" t="s">
        <v>30</v>
      </c>
      <c r="F235" t="s">
        <v>64</v>
      </c>
      <c r="G235" t="s">
        <v>65</v>
      </c>
      <c r="H235" s="5">
        <v>44603</v>
      </c>
      <c r="I235" t="s">
        <v>1109</v>
      </c>
      <c r="J235" t="s">
        <v>17</v>
      </c>
      <c r="K235" t="s">
        <v>18</v>
      </c>
      <c r="L235" s="1">
        <v>44593</v>
      </c>
      <c r="M235">
        <v>2022</v>
      </c>
    </row>
    <row r="236" spans="1:13" x14ac:dyDescent="0.25">
      <c r="A236" t="s">
        <v>1108</v>
      </c>
      <c r="B236">
        <v>5832</v>
      </c>
      <c r="C236">
        <v>2588</v>
      </c>
      <c r="D236">
        <v>10</v>
      </c>
      <c r="E236" t="s">
        <v>13</v>
      </c>
      <c r="F236" t="s">
        <v>28</v>
      </c>
      <c r="G236" t="s">
        <v>65</v>
      </c>
      <c r="H236" s="5">
        <v>44603</v>
      </c>
      <c r="I236" t="s">
        <v>1109</v>
      </c>
      <c r="J236" t="s">
        <v>17</v>
      </c>
      <c r="K236" t="s">
        <v>18</v>
      </c>
      <c r="L236" s="1">
        <v>44593</v>
      </c>
      <c r="M236">
        <v>2022</v>
      </c>
    </row>
    <row r="237" spans="1:13" x14ac:dyDescent="0.25">
      <c r="A237" t="s">
        <v>1120</v>
      </c>
      <c r="B237">
        <v>7067</v>
      </c>
      <c r="C237">
        <v>1943</v>
      </c>
      <c r="D237">
        <v>16</v>
      </c>
      <c r="E237" t="s">
        <v>45</v>
      </c>
      <c r="F237" t="s">
        <v>46</v>
      </c>
      <c r="G237" t="s">
        <v>47</v>
      </c>
      <c r="H237" s="5">
        <v>44635</v>
      </c>
      <c r="I237" t="s">
        <v>1121</v>
      </c>
      <c r="J237" t="s">
        <v>42</v>
      </c>
      <c r="K237" t="s">
        <v>92</v>
      </c>
      <c r="L237" s="1">
        <v>44621</v>
      </c>
      <c r="M237">
        <v>2022</v>
      </c>
    </row>
    <row r="238" spans="1:13" x14ac:dyDescent="0.25">
      <c r="A238" t="s">
        <v>1125</v>
      </c>
      <c r="B238">
        <v>962</v>
      </c>
      <c r="C238">
        <v>298</v>
      </c>
      <c r="D238">
        <v>18</v>
      </c>
      <c r="E238" t="s">
        <v>30</v>
      </c>
      <c r="F238" t="s">
        <v>78</v>
      </c>
      <c r="G238" t="s">
        <v>47</v>
      </c>
      <c r="H238" s="5">
        <v>44765</v>
      </c>
      <c r="I238" t="s">
        <v>1126</v>
      </c>
      <c r="J238" t="s">
        <v>21</v>
      </c>
      <c r="K238" t="s">
        <v>63</v>
      </c>
      <c r="L238" s="1">
        <v>44743</v>
      </c>
      <c r="M238">
        <v>2022</v>
      </c>
    </row>
    <row r="239" spans="1:13" x14ac:dyDescent="0.25">
      <c r="A239" t="s">
        <v>1129</v>
      </c>
      <c r="B239">
        <v>2078</v>
      </c>
      <c r="C239">
        <v>612</v>
      </c>
      <c r="D239">
        <v>6</v>
      </c>
      <c r="E239" t="s">
        <v>13</v>
      </c>
      <c r="F239" t="s">
        <v>39</v>
      </c>
      <c r="G239" t="s">
        <v>65</v>
      </c>
      <c r="H239" s="5">
        <v>44586</v>
      </c>
      <c r="I239" t="s">
        <v>1130</v>
      </c>
      <c r="J239" t="s">
        <v>71</v>
      </c>
      <c r="K239" t="s">
        <v>86</v>
      </c>
      <c r="L239" s="1">
        <v>44562</v>
      </c>
      <c r="M239">
        <v>2022</v>
      </c>
    </row>
    <row r="240" spans="1:13" x14ac:dyDescent="0.25">
      <c r="A240" t="s">
        <v>1135</v>
      </c>
      <c r="B240">
        <v>9914</v>
      </c>
      <c r="C240">
        <v>3858</v>
      </c>
      <c r="D240">
        <v>16</v>
      </c>
      <c r="E240" t="s">
        <v>45</v>
      </c>
      <c r="F240" t="s">
        <v>60</v>
      </c>
      <c r="G240" t="s">
        <v>47</v>
      </c>
      <c r="H240" s="5">
        <v>44736</v>
      </c>
      <c r="I240" t="s">
        <v>1136</v>
      </c>
      <c r="J240" t="s">
        <v>25</v>
      </c>
      <c r="K240" t="s">
        <v>26</v>
      </c>
      <c r="L240" s="1">
        <v>44713</v>
      </c>
      <c r="M240">
        <v>2022</v>
      </c>
    </row>
    <row r="241" spans="1:13" x14ac:dyDescent="0.25">
      <c r="A241" t="s">
        <v>1135</v>
      </c>
      <c r="B241">
        <v>5470</v>
      </c>
      <c r="C241">
        <v>292</v>
      </c>
      <c r="D241">
        <v>7</v>
      </c>
      <c r="E241" t="s">
        <v>30</v>
      </c>
      <c r="F241" t="s">
        <v>31</v>
      </c>
      <c r="G241" t="s">
        <v>32</v>
      </c>
      <c r="H241" s="5">
        <v>44736</v>
      </c>
      <c r="I241" t="s">
        <v>1136</v>
      </c>
      <c r="J241" t="s">
        <v>25</v>
      </c>
      <c r="K241" t="s">
        <v>26</v>
      </c>
      <c r="L241" s="1">
        <v>44713</v>
      </c>
      <c r="M241">
        <v>2022</v>
      </c>
    </row>
    <row r="242" spans="1:13" x14ac:dyDescent="0.25">
      <c r="A242" t="s">
        <v>1135</v>
      </c>
      <c r="B242">
        <v>1496</v>
      </c>
      <c r="C242">
        <v>662</v>
      </c>
      <c r="D242">
        <v>17</v>
      </c>
      <c r="E242" t="s">
        <v>45</v>
      </c>
      <c r="F242" t="s">
        <v>109</v>
      </c>
      <c r="G242" t="s">
        <v>15</v>
      </c>
      <c r="H242" s="5">
        <v>44736</v>
      </c>
      <c r="I242" t="s">
        <v>1136</v>
      </c>
      <c r="J242" t="s">
        <v>25</v>
      </c>
      <c r="K242" t="s">
        <v>26</v>
      </c>
      <c r="L242" s="1">
        <v>44713</v>
      </c>
      <c r="M242">
        <v>2022</v>
      </c>
    </row>
    <row r="243" spans="1:13" x14ac:dyDescent="0.25">
      <c r="A243" t="s">
        <v>1138</v>
      </c>
      <c r="B243">
        <v>3228</v>
      </c>
      <c r="C243">
        <v>476</v>
      </c>
      <c r="D243">
        <v>9</v>
      </c>
      <c r="E243" t="s">
        <v>30</v>
      </c>
      <c r="F243" t="s">
        <v>64</v>
      </c>
      <c r="G243" t="s">
        <v>65</v>
      </c>
      <c r="H243" s="5">
        <v>44833</v>
      </c>
      <c r="I243" t="s">
        <v>1139</v>
      </c>
      <c r="J243" t="s">
        <v>25</v>
      </c>
      <c r="K243" t="s">
        <v>51</v>
      </c>
      <c r="L243" s="1">
        <v>44805</v>
      </c>
      <c r="M243">
        <v>2022</v>
      </c>
    </row>
    <row r="244" spans="1:13" x14ac:dyDescent="0.25">
      <c r="A244" t="s">
        <v>1157</v>
      </c>
      <c r="B244">
        <v>3747</v>
      </c>
      <c r="C244">
        <v>410</v>
      </c>
      <c r="D244">
        <v>5</v>
      </c>
      <c r="E244" t="s">
        <v>30</v>
      </c>
      <c r="F244" t="s">
        <v>57</v>
      </c>
      <c r="G244" t="s">
        <v>47</v>
      </c>
      <c r="H244" s="5">
        <v>44903</v>
      </c>
      <c r="I244" t="s">
        <v>1159</v>
      </c>
      <c r="J244" t="s">
        <v>25</v>
      </c>
      <c r="K244" t="s">
        <v>26</v>
      </c>
      <c r="L244" s="1">
        <v>44896</v>
      </c>
      <c r="M244">
        <v>2022</v>
      </c>
    </row>
    <row r="245" spans="1:13" x14ac:dyDescent="0.25">
      <c r="A245" t="s">
        <v>1157</v>
      </c>
      <c r="B245">
        <v>3194</v>
      </c>
      <c r="C245">
        <v>534</v>
      </c>
      <c r="D245">
        <v>4</v>
      </c>
      <c r="E245" t="s">
        <v>30</v>
      </c>
      <c r="F245" t="s">
        <v>78</v>
      </c>
      <c r="G245" t="s">
        <v>15</v>
      </c>
      <c r="H245" s="5">
        <v>44903</v>
      </c>
      <c r="I245" t="s">
        <v>1159</v>
      </c>
      <c r="J245" t="s">
        <v>25</v>
      </c>
      <c r="K245" t="s">
        <v>26</v>
      </c>
      <c r="L245" s="1">
        <v>44896</v>
      </c>
      <c r="M245">
        <v>2022</v>
      </c>
    </row>
    <row r="246" spans="1:13" x14ac:dyDescent="0.25">
      <c r="A246" t="s">
        <v>1163</v>
      </c>
      <c r="B246">
        <v>8548</v>
      </c>
      <c r="C246">
        <v>2305</v>
      </c>
      <c r="D246">
        <v>1</v>
      </c>
      <c r="E246" t="s">
        <v>30</v>
      </c>
      <c r="F246" t="s">
        <v>78</v>
      </c>
      <c r="G246" t="s">
        <v>65</v>
      </c>
      <c r="H246" s="5">
        <v>44864</v>
      </c>
      <c r="I246" t="s">
        <v>1164</v>
      </c>
      <c r="J246" t="s">
        <v>17</v>
      </c>
      <c r="K246" t="s">
        <v>150</v>
      </c>
      <c r="L246" s="1">
        <v>44835</v>
      </c>
      <c r="M246">
        <v>2022</v>
      </c>
    </row>
    <row r="247" spans="1:13" x14ac:dyDescent="0.25">
      <c r="A247" t="s">
        <v>1165</v>
      </c>
      <c r="B247">
        <v>6089</v>
      </c>
      <c r="C247">
        <v>139</v>
      </c>
      <c r="D247">
        <v>19</v>
      </c>
      <c r="E247" t="s">
        <v>45</v>
      </c>
      <c r="F247" t="s">
        <v>46</v>
      </c>
      <c r="G247" t="s">
        <v>32</v>
      </c>
      <c r="H247" s="5">
        <v>44666</v>
      </c>
      <c r="I247" t="s">
        <v>1167</v>
      </c>
      <c r="J247" t="s">
        <v>98</v>
      </c>
      <c r="K247" t="s">
        <v>117</v>
      </c>
      <c r="L247" s="1">
        <v>44652</v>
      </c>
      <c r="M247">
        <v>2022</v>
      </c>
    </row>
    <row r="248" spans="1:13" x14ac:dyDescent="0.25">
      <c r="A248" t="s">
        <v>1165</v>
      </c>
      <c r="B248">
        <v>2586</v>
      </c>
      <c r="C248">
        <v>800</v>
      </c>
      <c r="D248">
        <v>16</v>
      </c>
      <c r="E248" t="s">
        <v>45</v>
      </c>
      <c r="F248" t="s">
        <v>46</v>
      </c>
      <c r="G248" t="s">
        <v>15</v>
      </c>
      <c r="H248" s="5">
        <v>44666</v>
      </c>
      <c r="I248" t="s">
        <v>1167</v>
      </c>
      <c r="J248" t="s">
        <v>98</v>
      </c>
      <c r="K248" t="s">
        <v>117</v>
      </c>
      <c r="L248" s="1">
        <v>44652</v>
      </c>
      <c r="M248">
        <v>2022</v>
      </c>
    </row>
    <row r="249" spans="1:13" x14ac:dyDescent="0.25">
      <c r="A249" t="s">
        <v>1165</v>
      </c>
      <c r="B249">
        <v>3757</v>
      </c>
      <c r="C249">
        <v>1626</v>
      </c>
      <c r="D249">
        <v>9</v>
      </c>
      <c r="E249" t="s">
        <v>30</v>
      </c>
      <c r="F249" t="s">
        <v>64</v>
      </c>
      <c r="G249" t="s">
        <v>15</v>
      </c>
      <c r="H249" s="5">
        <v>44666</v>
      </c>
      <c r="I249" t="s">
        <v>1167</v>
      </c>
      <c r="J249" t="s">
        <v>98</v>
      </c>
      <c r="K249" t="s">
        <v>117</v>
      </c>
      <c r="L249" s="1">
        <v>44652</v>
      </c>
      <c r="M249">
        <v>2022</v>
      </c>
    </row>
    <row r="250" spans="1:13" x14ac:dyDescent="0.25">
      <c r="A250" t="s">
        <v>1184</v>
      </c>
      <c r="B250">
        <v>4172</v>
      </c>
      <c r="C250">
        <v>235</v>
      </c>
      <c r="D250">
        <v>5</v>
      </c>
      <c r="E250" t="s">
        <v>30</v>
      </c>
      <c r="F250" t="s">
        <v>64</v>
      </c>
      <c r="G250" t="s">
        <v>40</v>
      </c>
      <c r="H250" s="5">
        <v>44795</v>
      </c>
      <c r="I250" t="s">
        <v>1186</v>
      </c>
      <c r="J250" t="s">
        <v>17</v>
      </c>
      <c r="K250" t="s">
        <v>34</v>
      </c>
      <c r="L250" s="1">
        <v>44774</v>
      </c>
      <c r="M250">
        <v>2022</v>
      </c>
    </row>
    <row r="251" spans="1:13" x14ac:dyDescent="0.25">
      <c r="A251" t="s">
        <v>1188</v>
      </c>
      <c r="B251">
        <v>6265</v>
      </c>
      <c r="C251">
        <v>155</v>
      </c>
      <c r="D251">
        <v>8</v>
      </c>
      <c r="E251" t="s">
        <v>45</v>
      </c>
      <c r="F251" t="s">
        <v>60</v>
      </c>
      <c r="G251" t="s">
        <v>65</v>
      </c>
      <c r="H251" s="5">
        <v>44796</v>
      </c>
      <c r="I251" t="s">
        <v>1189</v>
      </c>
      <c r="J251" t="s">
        <v>98</v>
      </c>
      <c r="K251" t="s">
        <v>107</v>
      </c>
      <c r="L251" s="1">
        <v>44774</v>
      </c>
      <c r="M251">
        <v>2022</v>
      </c>
    </row>
    <row r="252" spans="1:13" x14ac:dyDescent="0.25">
      <c r="A252" t="s">
        <v>1196</v>
      </c>
      <c r="B252">
        <v>9215</v>
      </c>
      <c r="C252">
        <v>767</v>
      </c>
      <c r="D252">
        <v>13</v>
      </c>
      <c r="E252" t="s">
        <v>13</v>
      </c>
      <c r="F252" t="s">
        <v>28</v>
      </c>
      <c r="G252" t="s">
        <v>65</v>
      </c>
      <c r="H252" s="5">
        <v>44571</v>
      </c>
      <c r="I252" t="s">
        <v>1197</v>
      </c>
      <c r="J252" t="s">
        <v>17</v>
      </c>
      <c r="K252" t="s">
        <v>150</v>
      </c>
      <c r="L252" s="1">
        <v>44562</v>
      </c>
      <c r="M252">
        <v>2022</v>
      </c>
    </row>
    <row r="253" spans="1:13" x14ac:dyDescent="0.25">
      <c r="A253" t="s">
        <v>1207</v>
      </c>
      <c r="B253">
        <v>3095</v>
      </c>
      <c r="C253">
        <v>941</v>
      </c>
      <c r="D253">
        <v>2</v>
      </c>
      <c r="E253" t="s">
        <v>30</v>
      </c>
      <c r="F253" t="s">
        <v>31</v>
      </c>
      <c r="G253" t="s">
        <v>40</v>
      </c>
      <c r="H253" s="5">
        <v>44670</v>
      </c>
      <c r="I253" t="s">
        <v>1208</v>
      </c>
      <c r="J253" t="s">
        <v>98</v>
      </c>
      <c r="K253" t="s">
        <v>117</v>
      </c>
      <c r="L253" s="1">
        <v>44652</v>
      </c>
      <c r="M253">
        <v>2022</v>
      </c>
    </row>
    <row r="254" spans="1:13" x14ac:dyDescent="0.25">
      <c r="A254" t="s">
        <v>1207</v>
      </c>
      <c r="B254">
        <v>3095</v>
      </c>
      <c r="C254">
        <v>941</v>
      </c>
      <c r="D254">
        <v>2</v>
      </c>
      <c r="E254" t="s">
        <v>30</v>
      </c>
      <c r="F254" t="s">
        <v>31</v>
      </c>
      <c r="G254" t="s">
        <v>40</v>
      </c>
      <c r="H254" s="5">
        <v>44784</v>
      </c>
      <c r="I254" t="s">
        <v>1209</v>
      </c>
      <c r="J254" t="s">
        <v>71</v>
      </c>
      <c r="K254" t="s">
        <v>86</v>
      </c>
      <c r="L254" s="1">
        <v>44774</v>
      </c>
      <c r="M254">
        <v>2022</v>
      </c>
    </row>
    <row r="255" spans="1:13" x14ac:dyDescent="0.25">
      <c r="A255" t="s">
        <v>1216</v>
      </c>
      <c r="B255">
        <v>5346</v>
      </c>
      <c r="C255">
        <v>1246</v>
      </c>
      <c r="D255">
        <v>17</v>
      </c>
      <c r="E255" t="s">
        <v>45</v>
      </c>
      <c r="F255" t="s">
        <v>60</v>
      </c>
      <c r="G255" t="s">
        <v>40</v>
      </c>
      <c r="H255" s="5">
        <v>44767</v>
      </c>
      <c r="I255" t="s">
        <v>1217</v>
      </c>
      <c r="J255" t="s">
        <v>17</v>
      </c>
      <c r="K255" t="s">
        <v>34</v>
      </c>
      <c r="L255" s="1">
        <v>44743</v>
      </c>
      <c r="M255">
        <v>2022</v>
      </c>
    </row>
    <row r="256" spans="1:13" x14ac:dyDescent="0.25">
      <c r="A256" t="s">
        <v>1216</v>
      </c>
      <c r="B256">
        <v>5346</v>
      </c>
      <c r="C256">
        <v>1246</v>
      </c>
      <c r="D256">
        <v>17</v>
      </c>
      <c r="E256" t="s">
        <v>45</v>
      </c>
      <c r="F256" t="s">
        <v>60</v>
      </c>
      <c r="G256" t="s">
        <v>40</v>
      </c>
      <c r="H256" s="5">
        <v>44688</v>
      </c>
      <c r="I256" t="s">
        <v>1218</v>
      </c>
      <c r="J256" t="s">
        <v>17</v>
      </c>
      <c r="K256" t="s">
        <v>18</v>
      </c>
      <c r="L256" s="1">
        <v>44682</v>
      </c>
      <c r="M256">
        <v>2022</v>
      </c>
    </row>
    <row r="257" spans="1:13" x14ac:dyDescent="0.25">
      <c r="A257" t="s">
        <v>1219</v>
      </c>
      <c r="B257">
        <v>8422</v>
      </c>
      <c r="C257">
        <v>893</v>
      </c>
      <c r="D257">
        <v>18</v>
      </c>
      <c r="E257" t="s">
        <v>13</v>
      </c>
      <c r="F257" t="s">
        <v>28</v>
      </c>
      <c r="G257" t="s">
        <v>32</v>
      </c>
      <c r="H257" s="5">
        <v>44784</v>
      </c>
      <c r="I257" t="s">
        <v>1220</v>
      </c>
      <c r="J257" t="s">
        <v>42</v>
      </c>
      <c r="K257" t="s">
        <v>92</v>
      </c>
      <c r="L257" s="1">
        <v>44774</v>
      </c>
      <c r="M257">
        <v>2022</v>
      </c>
    </row>
    <row r="258" spans="1:13" x14ac:dyDescent="0.25">
      <c r="A258" t="s">
        <v>1219</v>
      </c>
      <c r="B258">
        <v>8422</v>
      </c>
      <c r="C258">
        <v>893</v>
      </c>
      <c r="D258">
        <v>18</v>
      </c>
      <c r="E258" t="s">
        <v>13</v>
      </c>
      <c r="F258" t="s">
        <v>28</v>
      </c>
      <c r="G258" t="s">
        <v>32</v>
      </c>
      <c r="H258" s="5">
        <v>44785</v>
      </c>
      <c r="I258" t="s">
        <v>1221</v>
      </c>
      <c r="J258" t="s">
        <v>98</v>
      </c>
      <c r="K258" t="s">
        <v>99</v>
      </c>
      <c r="L258" s="1">
        <v>44774</v>
      </c>
      <c r="M258">
        <v>2022</v>
      </c>
    </row>
    <row r="259" spans="1:13" x14ac:dyDescent="0.25">
      <c r="A259" t="s">
        <v>1219</v>
      </c>
      <c r="B259">
        <v>6105</v>
      </c>
      <c r="C259">
        <v>1447</v>
      </c>
      <c r="D259">
        <v>8</v>
      </c>
      <c r="E259" t="s">
        <v>45</v>
      </c>
      <c r="F259" t="s">
        <v>109</v>
      </c>
      <c r="G259" t="s">
        <v>47</v>
      </c>
      <c r="H259" s="5">
        <v>44784</v>
      </c>
      <c r="I259" t="s">
        <v>1220</v>
      </c>
      <c r="J259" t="s">
        <v>42</v>
      </c>
      <c r="K259" t="s">
        <v>92</v>
      </c>
      <c r="L259" s="1">
        <v>44774</v>
      </c>
      <c r="M259">
        <v>2022</v>
      </c>
    </row>
    <row r="260" spans="1:13" x14ac:dyDescent="0.25">
      <c r="A260" t="s">
        <v>1219</v>
      </c>
      <c r="B260">
        <v>6105</v>
      </c>
      <c r="C260">
        <v>1447</v>
      </c>
      <c r="D260">
        <v>8</v>
      </c>
      <c r="E260" t="s">
        <v>45</v>
      </c>
      <c r="F260" t="s">
        <v>109</v>
      </c>
      <c r="G260" t="s">
        <v>47</v>
      </c>
      <c r="H260" s="5">
        <v>44785</v>
      </c>
      <c r="I260" t="s">
        <v>1221</v>
      </c>
      <c r="J260" t="s">
        <v>98</v>
      </c>
      <c r="K260" t="s">
        <v>99</v>
      </c>
      <c r="L260" s="1">
        <v>44774</v>
      </c>
      <c r="M260">
        <v>2022</v>
      </c>
    </row>
    <row r="261" spans="1:13" x14ac:dyDescent="0.25">
      <c r="A261" t="s">
        <v>1224</v>
      </c>
      <c r="B261">
        <v>4057</v>
      </c>
      <c r="C261">
        <v>1012</v>
      </c>
      <c r="D261">
        <v>6</v>
      </c>
      <c r="E261" t="s">
        <v>13</v>
      </c>
      <c r="F261" t="s">
        <v>39</v>
      </c>
      <c r="G261" t="s">
        <v>47</v>
      </c>
      <c r="H261" s="5">
        <v>44816</v>
      </c>
      <c r="I261" t="s">
        <v>1225</v>
      </c>
      <c r="J261" t="s">
        <v>42</v>
      </c>
      <c r="K261" t="s">
        <v>75</v>
      </c>
      <c r="L261" s="1">
        <v>44805</v>
      </c>
      <c r="M261">
        <v>2022</v>
      </c>
    </row>
    <row r="262" spans="1:13" x14ac:dyDescent="0.25">
      <c r="A262" t="s">
        <v>1228</v>
      </c>
      <c r="B262">
        <v>8752</v>
      </c>
      <c r="C262">
        <v>1686</v>
      </c>
      <c r="D262">
        <v>9</v>
      </c>
      <c r="E262" t="s">
        <v>45</v>
      </c>
      <c r="F262" t="s">
        <v>46</v>
      </c>
      <c r="G262" t="s">
        <v>32</v>
      </c>
      <c r="H262" s="5">
        <v>44569</v>
      </c>
      <c r="I262" t="s">
        <v>1231</v>
      </c>
      <c r="J262" t="s">
        <v>21</v>
      </c>
      <c r="K262" t="s">
        <v>22</v>
      </c>
      <c r="L262" s="1">
        <v>44562</v>
      </c>
      <c r="M262">
        <v>2022</v>
      </c>
    </row>
    <row r="263" spans="1:13" x14ac:dyDescent="0.25">
      <c r="A263" t="s">
        <v>1239</v>
      </c>
      <c r="B263">
        <v>2695</v>
      </c>
      <c r="C263">
        <v>914</v>
      </c>
      <c r="D263">
        <v>15</v>
      </c>
      <c r="E263" t="s">
        <v>45</v>
      </c>
      <c r="F263" t="s">
        <v>109</v>
      </c>
      <c r="G263" t="s">
        <v>32</v>
      </c>
      <c r="H263" s="5">
        <v>44770</v>
      </c>
      <c r="I263" t="s">
        <v>1240</v>
      </c>
      <c r="J263" t="s">
        <v>21</v>
      </c>
      <c r="K263" t="s">
        <v>172</v>
      </c>
      <c r="L263" s="1">
        <v>44743</v>
      </c>
      <c r="M263">
        <v>2022</v>
      </c>
    </row>
    <row r="264" spans="1:13" x14ac:dyDescent="0.25">
      <c r="A264" t="s">
        <v>1246</v>
      </c>
      <c r="B264">
        <v>6034</v>
      </c>
      <c r="C264">
        <v>608</v>
      </c>
      <c r="D264">
        <v>8</v>
      </c>
      <c r="E264" t="s">
        <v>13</v>
      </c>
      <c r="F264" t="s">
        <v>82</v>
      </c>
      <c r="G264" t="s">
        <v>40</v>
      </c>
      <c r="H264" s="5">
        <v>44682</v>
      </c>
      <c r="I264" t="s">
        <v>1247</v>
      </c>
      <c r="J264" t="s">
        <v>71</v>
      </c>
      <c r="K264" t="s">
        <v>138</v>
      </c>
      <c r="L264" s="1">
        <v>44682</v>
      </c>
      <c r="M264">
        <v>2022</v>
      </c>
    </row>
    <row r="265" spans="1:13" x14ac:dyDescent="0.25">
      <c r="A265" t="s">
        <v>1246</v>
      </c>
      <c r="B265">
        <v>8956</v>
      </c>
      <c r="C265">
        <v>3359</v>
      </c>
      <c r="D265">
        <v>13</v>
      </c>
      <c r="E265" t="s">
        <v>45</v>
      </c>
      <c r="F265" t="s">
        <v>109</v>
      </c>
      <c r="G265" t="s">
        <v>47</v>
      </c>
      <c r="H265" s="5">
        <v>44682</v>
      </c>
      <c r="I265" t="s">
        <v>1247</v>
      </c>
      <c r="J265" t="s">
        <v>71</v>
      </c>
      <c r="K265" t="s">
        <v>138</v>
      </c>
      <c r="L265" s="1">
        <v>44682</v>
      </c>
      <c r="M265">
        <v>2022</v>
      </c>
    </row>
    <row r="266" spans="1:13" x14ac:dyDescent="0.25">
      <c r="A266" t="s">
        <v>1254</v>
      </c>
      <c r="B266">
        <v>4163</v>
      </c>
      <c r="C266">
        <v>897</v>
      </c>
      <c r="D266">
        <v>14</v>
      </c>
      <c r="E266" t="s">
        <v>13</v>
      </c>
      <c r="F266" t="s">
        <v>14</v>
      </c>
      <c r="G266" t="s">
        <v>65</v>
      </c>
      <c r="H266" s="5">
        <v>44803</v>
      </c>
      <c r="I266" t="s">
        <v>1255</v>
      </c>
      <c r="J266" t="s">
        <v>21</v>
      </c>
      <c r="K266" t="s">
        <v>63</v>
      </c>
      <c r="L266" s="1">
        <v>44774</v>
      </c>
      <c r="M266">
        <v>2022</v>
      </c>
    </row>
    <row r="267" spans="1:13" x14ac:dyDescent="0.25">
      <c r="A267" t="s">
        <v>1258</v>
      </c>
      <c r="B267">
        <v>5518</v>
      </c>
      <c r="C267">
        <v>867</v>
      </c>
      <c r="D267">
        <v>7</v>
      </c>
      <c r="E267" t="s">
        <v>45</v>
      </c>
      <c r="F267" t="s">
        <v>60</v>
      </c>
      <c r="G267" t="s">
        <v>15</v>
      </c>
      <c r="H267" s="5">
        <v>44917</v>
      </c>
      <c r="I267" t="s">
        <v>1259</v>
      </c>
      <c r="J267" t="s">
        <v>71</v>
      </c>
      <c r="K267" t="s">
        <v>138</v>
      </c>
      <c r="L267" s="1">
        <v>44896</v>
      </c>
      <c r="M267">
        <v>2022</v>
      </c>
    </row>
    <row r="268" spans="1:13" x14ac:dyDescent="0.25">
      <c r="A268" t="s">
        <v>1271</v>
      </c>
      <c r="B268">
        <v>3854</v>
      </c>
      <c r="C268">
        <v>245</v>
      </c>
      <c r="D268">
        <v>19</v>
      </c>
      <c r="E268" t="s">
        <v>13</v>
      </c>
      <c r="F268" t="s">
        <v>39</v>
      </c>
      <c r="G268" t="s">
        <v>65</v>
      </c>
      <c r="H268" s="5">
        <v>44698</v>
      </c>
      <c r="I268" t="s">
        <v>1272</v>
      </c>
      <c r="J268" t="s">
        <v>98</v>
      </c>
      <c r="K268" t="s">
        <v>99</v>
      </c>
      <c r="L268" s="1">
        <v>44682</v>
      </c>
      <c r="M268">
        <v>2022</v>
      </c>
    </row>
    <row r="269" spans="1:13" x14ac:dyDescent="0.25">
      <c r="A269" t="s">
        <v>1275</v>
      </c>
      <c r="B269">
        <v>5954</v>
      </c>
      <c r="C269">
        <v>2640</v>
      </c>
      <c r="D269">
        <v>14</v>
      </c>
      <c r="E269" t="s">
        <v>13</v>
      </c>
      <c r="F269" t="s">
        <v>39</v>
      </c>
      <c r="G269" t="s">
        <v>47</v>
      </c>
      <c r="H269" s="5">
        <v>44856</v>
      </c>
      <c r="I269" t="s">
        <v>1277</v>
      </c>
      <c r="J269" t="s">
        <v>71</v>
      </c>
      <c r="K269" t="s">
        <v>72</v>
      </c>
      <c r="L269" s="1">
        <v>44835</v>
      </c>
      <c r="M269">
        <v>2022</v>
      </c>
    </row>
    <row r="270" spans="1:13" x14ac:dyDescent="0.25">
      <c r="A270" t="s">
        <v>1278</v>
      </c>
      <c r="B270">
        <v>9752</v>
      </c>
      <c r="C270">
        <v>3618</v>
      </c>
      <c r="D270">
        <v>5</v>
      </c>
      <c r="E270" t="s">
        <v>45</v>
      </c>
      <c r="F270" t="s">
        <v>109</v>
      </c>
      <c r="G270" t="s">
        <v>32</v>
      </c>
      <c r="H270" s="5">
        <v>44865</v>
      </c>
      <c r="I270" t="s">
        <v>1280</v>
      </c>
      <c r="J270" t="s">
        <v>21</v>
      </c>
      <c r="K270" t="s">
        <v>172</v>
      </c>
      <c r="L270" s="1">
        <v>44835</v>
      </c>
      <c r="M270">
        <v>2022</v>
      </c>
    </row>
    <row r="271" spans="1:13" x14ac:dyDescent="0.25">
      <c r="A271" t="s">
        <v>1281</v>
      </c>
      <c r="B271">
        <v>5335</v>
      </c>
      <c r="C271">
        <v>322</v>
      </c>
      <c r="D271">
        <v>15</v>
      </c>
      <c r="E271" t="s">
        <v>13</v>
      </c>
      <c r="F271" t="s">
        <v>14</v>
      </c>
      <c r="G271" t="s">
        <v>65</v>
      </c>
      <c r="H271" s="5">
        <v>44696</v>
      </c>
      <c r="I271" t="s">
        <v>1282</v>
      </c>
      <c r="J271" t="s">
        <v>25</v>
      </c>
      <c r="K271" t="s">
        <v>51</v>
      </c>
      <c r="L271" s="1">
        <v>44682</v>
      </c>
      <c r="M271">
        <v>2022</v>
      </c>
    </row>
    <row r="272" spans="1:13" x14ac:dyDescent="0.25">
      <c r="A272" t="s">
        <v>1283</v>
      </c>
      <c r="B272">
        <v>1454</v>
      </c>
      <c r="C272">
        <v>80</v>
      </c>
      <c r="D272">
        <v>20</v>
      </c>
      <c r="E272" t="s">
        <v>13</v>
      </c>
      <c r="F272" t="s">
        <v>14</v>
      </c>
      <c r="G272" t="s">
        <v>47</v>
      </c>
      <c r="H272" s="5">
        <v>44764</v>
      </c>
      <c r="I272" t="s">
        <v>1284</v>
      </c>
      <c r="J272" t="s">
        <v>25</v>
      </c>
      <c r="K272" t="s">
        <v>68</v>
      </c>
      <c r="L272" s="1">
        <v>44743</v>
      </c>
      <c r="M272">
        <v>2022</v>
      </c>
    </row>
    <row r="273" spans="1:13" x14ac:dyDescent="0.25">
      <c r="A273" t="s">
        <v>1294</v>
      </c>
      <c r="B273">
        <v>2684</v>
      </c>
      <c r="C273">
        <v>713</v>
      </c>
      <c r="D273">
        <v>2</v>
      </c>
      <c r="E273" t="s">
        <v>13</v>
      </c>
      <c r="F273" t="s">
        <v>14</v>
      </c>
      <c r="G273" t="s">
        <v>15</v>
      </c>
      <c r="H273" s="5">
        <v>44717</v>
      </c>
      <c r="I273" t="s">
        <v>1296</v>
      </c>
      <c r="J273" t="s">
        <v>25</v>
      </c>
      <c r="K273" t="s">
        <v>26</v>
      </c>
      <c r="L273" s="1">
        <v>44713</v>
      </c>
      <c r="M273">
        <v>2022</v>
      </c>
    </row>
    <row r="274" spans="1:13" x14ac:dyDescent="0.25">
      <c r="A274" t="s">
        <v>1303</v>
      </c>
      <c r="B274">
        <v>6123</v>
      </c>
      <c r="C274">
        <v>1686</v>
      </c>
      <c r="D274">
        <v>3</v>
      </c>
      <c r="E274" t="s">
        <v>30</v>
      </c>
      <c r="F274" t="s">
        <v>57</v>
      </c>
      <c r="G274" t="s">
        <v>47</v>
      </c>
      <c r="H274" s="5">
        <v>44687</v>
      </c>
      <c r="I274" t="s">
        <v>1304</v>
      </c>
      <c r="J274" t="s">
        <v>98</v>
      </c>
      <c r="K274" t="s">
        <v>107</v>
      </c>
      <c r="L274" s="1">
        <v>44682</v>
      </c>
      <c r="M274">
        <v>2022</v>
      </c>
    </row>
    <row r="275" spans="1:13" x14ac:dyDescent="0.25">
      <c r="A275" t="s">
        <v>1311</v>
      </c>
      <c r="B275">
        <v>847</v>
      </c>
      <c r="C275">
        <v>355</v>
      </c>
      <c r="D275">
        <v>17</v>
      </c>
      <c r="E275" t="s">
        <v>45</v>
      </c>
      <c r="F275" t="s">
        <v>46</v>
      </c>
      <c r="G275" t="s">
        <v>65</v>
      </c>
      <c r="H275" s="5">
        <v>44704</v>
      </c>
      <c r="I275" t="s">
        <v>1312</v>
      </c>
      <c r="J275" t="s">
        <v>25</v>
      </c>
      <c r="K275" t="s">
        <v>26</v>
      </c>
      <c r="L275" s="1">
        <v>44682</v>
      </c>
      <c r="M275">
        <v>2022</v>
      </c>
    </row>
    <row r="276" spans="1:13" x14ac:dyDescent="0.25">
      <c r="A276" t="s">
        <v>1328</v>
      </c>
      <c r="B276">
        <v>9909</v>
      </c>
      <c r="C276">
        <v>2999</v>
      </c>
      <c r="D276">
        <v>18</v>
      </c>
      <c r="E276" t="s">
        <v>30</v>
      </c>
      <c r="F276" t="s">
        <v>57</v>
      </c>
      <c r="G276" t="s">
        <v>65</v>
      </c>
      <c r="H276" s="5">
        <v>44574</v>
      </c>
      <c r="I276" t="s">
        <v>1330</v>
      </c>
      <c r="J276" t="s">
        <v>71</v>
      </c>
      <c r="K276" t="s">
        <v>86</v>
      </c>
      <c r="L276" s="1">
        <v>44562</v>
      </c>
      <c r="M276">
        <v>2022</v>
      </c>
    </row>
    <row r="277" spans="1:13" x14ac:dyDescent="0.25">
      <c r="A277" t="s">
        <v>1333</v>
      </c>
      <c r="B277">
        <v>7259</v>
      </c>
      <c r="C277">
        <v>1969</v>
      </c>
      <c r="D277">
        <v>10</v>
      </c>
      <c r="E277" t="s">
        <v>13</v>
      </c>
      <c r="F277" t="s">
        <v>39</v>
      </c>
      <c r="G277" t="s">
        <v>47</v>
      </c>
      <c r="H277" s="5">
        <v>44903</v>
      </c>
      <c r="I277" t="s">
        <v>1334</v>
      </c>
      <c r="J277" t="s">
        <v>21</v>
      </c>
      <c r="K277" t="s">
        <v>63</v>
      </c>
      <c r="L277" s="1">
        <v>44896</v>
      </c>
      <c r="M277">
        <v>2022</v>
      </c>
    </row>
    <row r="278" spans="1:13" x14ac:dyDescent="0.25">
      <c r="A278" t="s">
        <v>1339</v>
      </c>
      <c r="B278">
        <v>7644</v>
      </c>
      <c r="C278">
        <v>2428</v>
      </c>
      <c r="D278">
        <v>6</v>
      </c>
      <c r="E278" t="s">
        <v>13</v>
      </c>
      <c r="F278" t="s">
        <v>82</v>
      </c>
      <c r="G278" t="s">
        <v>32</v>
      </c>
      <c r="H278" s="5">
        <v>44581</v>
      </c>
      <c r="I278" t="s">
        <v>1340</v>
      </c>
      <c r="J278" t="s">
        <v>21</v>
      </c>
      <c r="K278" t="s">
        <v>63</v>
      </c>
      <c r="L278" s="1">
        <v>44562</v>
      </c>
      <c r="M278">
        <v>2022</v>
      </c>
    </row>
    <row r="279" spans="1:13" x14ac:dyDescent="0.25">
      <c r="A279" t="s">
        <v>1341</v>
      </c>
      <c r="B279">
        <v>1476</v>
      </c>
      <c r="C279">
        <v>247</v>
      </c>
      <c r="D279">
        <v>5</v>
      </c>
      <c r="E279" t="s">
        <v>45</v>
      </c>
      <c r="F279" t="s">
        <v>109</v>
      </c>
      <c r="G279" t="s">
        <v>65</v>
      </c>
      <c r="H279" s="5">
        <v>44580</v>
      </c>
      <c r="I279" t="s">
        <v>1343</v>
      </c>
      <c r="J279" t="s">
        <v>42</v>
      </c>
      <c r="K279" t="s">
        <v>75</v>
      </c>
      <c r="L279" s="1">
        <v>44562</v>
      </c>
      <c r="M279">
        <v>2022</v>
      </c>
    </row>
    <row r="280" spans="1:13" x14ac:dyDescent="0.25">
      <c r="A280" t="s">
        <v>1348</v>
      </c>
      <c r="B280">
        <v>5951</v>
      </c>
      <c r="C280">
        <v>936</v>
      </c>
      <c r="D280">
        <v>6</v>
      </c>
      <c r="E280" t="s">
        <v>13</v>
      </c>
      <c r="F280" t="s">
        <v>39</v>
      </c>
      <c r="G280" t="s">
        <v>32</v>
      </c>
      <c r="H280" s="5">
        <v>44768</v>
      </c>
      <c r="I280" t="s">
        <v>1350</v>
      </c>
      <c r="J280" t="s">
        <v>98</v>
      </c>
      <c r="K280" t="s">
        <v>99</v>
      </c>
      <c r="L280" s="1">
        <v>44743</v>
      </c>
      <c r="M280">
        <v>2022</v>
      </c>
    </row>
    <row r="281" spans="1:13" x14ac:dyDescent="0.25">
      <c r="A281" t="s">
        <v>1371</v>
      </c>
      <c r="B281">
        <v>5944</v>
      </c>
      <c r="C281">
        <v>2661</v>
      </c>
      <c r="D281">
        <v>7</v>
      </c>
      <c r="E281" t="s">
        <v>13</v>
      </c>
      <c r="F281" t="s">
        <v>39</v>
      </c>
      <c r="G281" t="s">
        <v>40</v>
      </c>
      <c r="H281" s="5">
        <v>44637</v>
      </c>
      <c r="I281" t="s">
        <v>1372</v>
      </c>
      <c r="J281" t="s">
        <v>71</v>
      </c>
      <c r="K281" t="s">
        <v>86</v>
      </c>
      <c r="L281" s="1">
        <v>44621</v>
      </c>
      <c r="M281">
        <v>2022</v>
      </c>
    </row>
    <row r="282" spans="1:13" x14ac:dyDescent="0.25">
      <c r="A282" t="s">
        <v>1373</v>
      </c>
      <c r="B282">
        <v>2258</v>
      </c>
      <c r="C282">
        <v>135</v>
      </c>
      <c r="D282">
        <v>18</v>
      </c>
      <c r="E282" t="s">
        <v>13</v>
      </c>
      <c r="F282" t="s">
        <v>28</v>
      </c>
      <c r="G282" t="s">
        <v>47</v>
      </c>
      <c r="H282" s="5">
        <v>44792</v>
      </c>
      <c r="I282" t="s">
        <v>1375</v>
      </c>
      <c r="J282" t="s">
        <v>42</v>
      </c>
      <c r="K282" t="s">
        <v>75</v>
      </c>
      <c r="L282" s="1">
        <v>44774</v>
      </c>
      <c r="M282">
        <v>2022</v>
      </c>
    </row>
    <row r="283" spans="1:13" x14ac:dyDescent="0.25">
      <c r="A283" t="s">
        <v>1390</v>
      </c>
      <c r="B283">
        <v>7091</v>
      </c>
      <c r="C283">
        <v>2317</v>
      </c>
      <c r="D283">
        <v>10</v>
      </c>
      <c r="E283" t="s">
        <v>45</v>
      </c>
      <c r="F283" t="s">
        <v>60</v>
      </c>
      <c r="G283" t="s">
        <v>47</v>
      </c>
      <c r="H283" s="5">
        <v>44721</v>
      </c>
      <c r="I283" t="s">
        <v>1391</v>
      </c>
      <c r="J283" t="s">
        <v>42</v>
      </c>
      <c r="K283" t="s">
        <v>75</v>
      </c>
      <c r="L283" s="1">
        <v>44713</v>
      </c>
      <c r="M283">
        <v>2022</v>
      </c>
    </row>
    <row r="284" spans="1:13" x14ac:dyDescent="0.25">
      <c r="A284" t="s">
        <v>1404</v>
      </c>
      <c r="B284">
        <v>5460</v>
      </c>
      <c r="C284">
        <v>2088</v>
      </c>
      <c r="D284">
        <v>14</v>
      </c>
      <c r="E284" t="s">
        <v>45</v>
      </c>
      <c r="F284" t="s">
        <v>46</v>
      </c>
      <c r="G284" t="s">
        <v>32</v>
      </c>
      <c r="H284" s="5">
        <v>44755</v>
      </c>
      <c r="I284" t="s">
        <v>1405</v>
      </c>
      <c r="J284" t="s">
        <v>25</v>
      </c>
      <c r="K284" t="s">
        <v>26</v>
      </c>
      <c r="L284" s="1">
        <v>44743</v>
      </c>
      <c r="M284">
        <v>2022</v>
      </c>
    </row>
    <row r="285" spans="1:13" x14ac:dyDescent="0.25">
      <c r="A285" t="s">
        <v>1422</v>
      </c>
      <c r="B285">
        <v>8044</v>
      </c>
      <c r="C285">
        <v>3634</v>
      </c>
      <c r="D285">
        <v>3</v>
      </c>
      <c r="E285" t="s">
        <v>30</v>
      </c>
      <c r="F285" t="s">
        <v>57</v>
      </c>
      <c r="G285" t="s">
        <v>65</v>
      </c>
      <c r="H285" s="5">
        <v>44841</v>
      </c>
      <c r="I285" t="s">
        <v>1424</v>
      </c>
      <c r="J285" t="s">
        <v>42</v>
      </c>
      <c r="K285" t="s">
        <v>75</v>
      </c>
      <c r="L285" s="1">
        <v>44835</v>
      </c>
      <c r="M285">
        <v>2022</v>
      </c>
    </row>
    <row r="286" spans="1:13" x14ac:dyDescent="0.25">
      <c r="A286" t="s">
        <v>1429</v>
      </c>
      <c r="B286">
        <v>8531</v>
      </c>
      <c r="C286">
        <v>2555</v>
      </c>
      <c r="D286">
        <v>4</v>
      </c>
      <c r="E286" t="s">
        <v>13</v>
      </c>
      <c r="F286" t="s">
        <v>39</v>
      </c>
      <c r="G286" t="s">
        <v>40</v>
      </c>
      <c r="H286" s="5">
        <v>44695</v>
      </c>
      <c r="I286" t="s">
        <v>1430</v>
      </c>
      <c r="J286" t="s">
        <v>71</v>
      </c>
      <c r="K286" t="s">
        <v>86</v>
      </c>
      <c r="L286" s="1">
        <v>44682</v>
      </c>
      <c r="M286">
        <v>2022</v>
      </c>
    </row>
    <row r="287" spans="1:13" x14ac:dyDescent="0.25">
      <c r="A287" t="s">
        <v>1443</v>
      </c>
      <c r="B287">
        <v>5024</v>
      </c>
      <c r="C287">
        <v>379</v>
      </c>
      <c r="D287">
        <v>2</v>
      </c>
      <c r="E287" t="s">
        <v>30</v>
      </c>
      <c r="F287" t="s">
        <v>64</v>
      </c>
      <c r="G287" t="s">
        <v>15</v>
      </c>
      <c r="H287" s="5">
        <v>44898</v>
      </c>
      <c r="I287" t="s">
        <v>1445</v>
      </c>
      <c r="J287" t="s">
        <v>21</v>
      </c>
      <c r="K287" t="s">
        <v>172</v>
      </c>
      <c r="L287" s="1">
        <v>44896</v>
      </c>
      <c r="M287">
        <v>2022</v>
      </c>
    </row>
    <row r="288" spans="1:13" x14ac:dyDescent="0.25">
      <c r="A288" t="s">
        <v>1451</v>
      </c>
      <c r="B288">
        <v>526</v>
      </c>
      <c r="C288">
        <v>83</v>
      </c>
      <c r="D288">
        <v>4</v>
      </c>
      <c r="E288" t="s">
        <v>45</v>
      </c>
      <c r="F288" t="s">
        <v>60</v>
      </c>
      <c r="G288" t="s">
        <v>47</v>
      </c>
      <c r="H288" s="5">
        <v>44610</v>
      </c>
      <c r="I288" t="s">
        <v>1452</v>
      </c>
      <c r="J288" t="s">
        <v>21</v>
      </c>
      <c r="K288" t="s">
        <v>22</v>
      </c>
      <c r="L288" s="1">
        <v>44593</v>
      </c>
      <c r="M288">
        <v>2022</v>
      </c>
    </row>
    <row r="289" spans="1:13" x14ac:dyDescent="0.25">
      <c r="A289" t="s">
        <v>1460</v>
      </c>
      <c r="B289">
        <v>2082</v>
      </c>
      <c r="C289">
        <v>642</v>
      </c>
      <c r="D289">
        <v>8</v>
      </c>
      <c r="E289" t="s">
        <v>13</v>
      </c>
      <c r="F289" t="s">
        <v>82</v>
      </c>
      <c r="G289" t="s">
        <v>40</v>
      </c>
      <c r="H289" s="5">
        <v>44910</v>
      </c>
      <c r="I289" t="s">
        <v>1462</v>
      </c>
      <c r="J289" t="s">
        <v>71</v>
      </c>
      <c r="K289" t="s">
        <v>86</v>
      </c>
      <c r="L289" s="1">
        <v>44896</v>
      </c>
      <c r="M289">
        <v>2022</v>
      </c>
    </row>
    <row r="290" spans="1:13" x14ac:dyDescent="0.25">
      <c r="A290" t="s">
        <v>12</v>
      </c>
      <c r="B290">
        <v>9726</v>
      </c>
      <c r="C290">
        <v>1275</v>
      </c>
      <c r="D290">
        <v>5</v>
      </c>
      <c r="E290" t="s">
        <v>13</v>
      </c>
      <c r="F290" t="s">
        <v>14</v>
      </c>
      <c r="G290" t="s">
        <v>15</v>
      </c>
      <c r="H290" s="5">
        <v>45653</v>
      </c>
      <c r="I290" t="s">
        <v>20</v>
      </c>
      <c r="J290" t="s">
        <v>21</v>
      </c>
      <c r="K290" t="s">
        <v>22</v>
      </c>
      <c r="L290" s="1">
        <v>45627</v>
      </c>
      <c r="M290">
        <v>2024</v>
      </c>
    </row>
    <row r="291" spans="1:13" x14ac:dyDescent="0.25">
      <c r="A291" t="s">
        <v>12</v>
      </c>
      <c r="B291">
        <v>4975</v>
      </c>
      <c r="C291">
        <v>1330</v>
      </c>
      <c r="D291">
        <v>14</v>
      </c>
      <c r="E291" t="s">
        <v>13</v>
      </c>
      <c r="F291" t="s">
        <v>28</v>
      </c>
      <c r="G291" t="s">
        <v>15</v>
      </c>
      <c r="H291" s="5">
        <v>45653</v>
      </c>
      <c r="I291" t="s">
        <v>20</v>
      </c>
      <c r="J291" t="s">
        <v>21</v>
      </c>
      <c r="K291" t="s">
        <v>22</v>
      </c>
      <c r="L291" s="1">
        <v>45627</v>
      </c>
      <c r="M291">
        <v>2024</v>
      </c>
    </row>
    <row r="292" spans="1:13" x14ac:dyDescent="0.25">
      <c r="A292" t="s">
        <v>29</v>
      </c>
      <c r="B292">
        <v>1525</v>
      </c>
      <c r="C292">
        <v>185</v>
      </c>
      <c r="D292">
        <v>12</v>
      </c>
      <c r="E292" t="s">
        <v>30</v>
      </c>
      <c r="F292" t="s">
        <v>31</v>
      </c>
      <c r="G292" t="s">
        <v>32</v>
      </c>
      <c r="H292" s="5">
        <v>45423</v>
      </c>
      <c r="I292" t="s">
        <v>33</v>
      </c>
      <c r="J292" t="s">
        <v>17</v>
      </c>
      <c r="K292" t="s">
        <v>34</v>
      </c>
      <c r="L292" s="1">
        <v>45413</v>
      </c>
      <c r="M292">
        <v>2024</v>
      </c>
    </row>
    <row r="293" spans="1:13" x14ac:dyDescent="0.25">
      <c r="A293" t="s">
        <v>66</v>
      </c>
      <c r="B293">
        <v>725</v>
      </c>
      <c r="C293">
        <v>133</v>
      </c>
      <c r="D293">
        <v>6</v>
      </c>
      <c r="E293" t="s">
        <v>30</v>
      </c>
      <c r="F293" t="s">
        <v>64</v>
      </c>
      <c r="G293" t="s">
        <v>47</v>
      </c>
      <c r="H293" s="5">
        <v>45656</v>
      </c>
      <c r="I293" t="s">
        <v>67</v>
      </c>
      <c r="J293" t="s">
        <v>25</v>
      </c>
      <c r="K293" t="s">
        <v>68</v>
      </c>
      <c r="L293" s="1">
        <v>45627</v>
      </c>
      <c r="M293">
        <v>2024</v>
      </c>
    </row>
    <row r="294" spans="1:13" x14ac:dyDescent="0.25">
      <c r="A294" t="s">
        <v>66</v>
      </c>
      <c r="B294">
        <v>7201</v>
      </c>
      <c r="C294">
        <v>2685</v>
      </c>
      <c r="D294">
        <v>2</v>
      </c>
      <c r="E294" t="s">
        <v>45</v>
      </c>
      <c r="F294" t="s">
        <v>46</v>
      </c>
      <c r="G294" t="s">
        <v>47</v>
      </c>
      <c r="H294" s="5">
        <v>45656</v>
      </c>
      <c r="I294" t="s">
        <v>67</v>
      </c>
      <c r="J294" t="s">
        <v>25</v>
      </c>
      <c r="K294" t="s">
        <v>68</v>
      </c>
      <c r="L294" s="1">
        <v>45627</v>
      </c>
      <c r="M294">
        <v>2024</v>
      </c>
    </row>
    <row r="295" spans="1:13" x14ac:dyDescent="0.25">
      <c r="A295" t="s">
        <v>69</v>
      </c>
      <c r="B295">
        <v>1629</v>
      </c>
      <c r="C295">
        <v>265</v>
      </c>
      <c r="D295">
        <v>1</v>
      </c>
      <c r="E295" t="s">
        <v>30</v>
      </c>
      <c r="F295" t="s">
        <v>64</v>
      </c>
      <c r="G295" t="s">
        <v>15</v>
      </c>
      <c r="H295" s="5">
        <v>45314</v>
      </c>
      <c r="I295" t="s">
        <v>74</v>
      </c>
      <c r="J295" t="s">
        <v>42</v>
      </c>
      <c r="K295" t="s">
        <v>75</v>
      </c>
      <c r="L295" s="1">
        <v>45292</v>
      </c>
      <c r="M295">
        <v>2024</v>
      </c>
    </row>
    <row r="296" spans="1:13" x14ac:dyDescent="0.25">
      <c r="A296" t="s">
        <v>81</v>
      </c>
      <c r="B296">
        <v>9380</v>
      </c>
      <c r="C296">
        <v>414</v>
      </c>
      <c r="D296">
        <v>11</v>
      </c>
      <c r="E296" t="s">
        <v>13</v>
      </c>
      <c r="F296" t="s">
        <v>82</v>
      </c>
      <c r="G296" t="s">
        <v>15</v>
      </c>
      <c r="H296" s="5">
        <v>45442</v>
      </c>
      <c r="I296" t="s">
        <v>83</v>
      </c>
      <c r="J296" t="s">
        <v>25</v>
      </c>
      <c r="K296" t="s">
        <v>68</v>
      </c>
      <c r="L296" s="1">
        <v>45413</v>
      </c>
      <c r="M296">
        <v>2024</v>
      </c>
    </row>
    <row r="297" spans="1:13" x14ac:dyDescent="0.25">
      <c r="A297" t="s">
        <v>81</v>
      </c>
      <c r="B297">
        <v>8558</v>
      </c>
      <c r="C297">
        <v>1644</v>
      </c>
      <c r="D297">
        <v>18</v>
      </c>
      <c r="E297" t="s">
        <v>30</v>
      </c>
      <c r="F297" t="s">
        <v>78</v>
      </c>
      <c r="G297" t="s">
        <v>47</v>
      </c>
      <c r="H297" s="5">
        <v>45442</v>
      </c>
      <c r="I297" t="s">
        <v>83</v>
      </c>
      <c r="J297" t="s">
        <v>25</v>
      </c>
      <c r="K297" t="s">
        <v>68</v>
      </c>
      <c r="L297" s="1">
        <v>45413</v>
      </c>
      <c r="M297">
        <v>2024</v>
      </c>
    </row>
    <row r="298" spans="1:13" x14ac:dyDescent="0.25">
      <c r="A298" t="s">
        <v>81</v>
      </c>
      <c r="B298">
        <v>4080</v>
      </c>
      <c r="C298">
        <v>72</v>
      </c>
      <c r="D298">
        <v>17</v>
      </c>
      <c r="E298" t="s">
        <v>30</v>
      </c>
      <c r="F298" t="s">
        <v>64</v>
      </c>
      <c r="G298" t="s">
        <v>65</v>
      </c>
      <c r="H298" s="5">
        <v>45442</v>
      </c>
      <c r="I298" t="s">
        <v>83</v>
      </c>
      <c r="J298" t="s">
        <v>25</v>
      </c>
      <c r="K298" t="s">
        <v>68</v>
      </c>
      <c r="L298" s="1">
        <v>45413</v>
      </c>
      <c r="M298">
        <v>2024</v>
      </c>
    </row>
    <row r="299" spans="1:13" x14ac:dyDescent="0.25">
      <c r="A299" t="s">
        <v>112</v>
      </c>
      <c r="B299">
        <v>7784</v>
      </c>
      <c r="C299">
        <v>2937</v>
      </c>
      <c r="D299">
        <v>12</v>
      </c>
      <c r="E299" t="s">
        <v>30</v>
      </c>
      <c r="F299" t="s">
        <v>57</v>
      </c>
      <c r="G299" t="s">
        <v>15</v>
      </c>
      <c r="H299" s="5">
        <v>45510</v>
      </c>
      <c r="I299" t="s">
        <v>113</v>
      </c>
      <c r="J299" t="s">
        <v>42</v>
      </c>
      <c r="K299" t="s">
        <v>92</v>
      </c>
      <c r="L299" s="1">
        <v>45505</v>
      </c>
      <c r="M299">
        <v>2024</v>
      </c>
    </row>
    <row r="300" spans="1:13" x14ac:dyDescent="0.25">
      <c r="A300" t="s">
        <v>112</v>
      </c>
      <c r="B300">
        <v>5591</v>
      </c>
      <c r="C300">
        <v>1696</v>
      </c>
      <c r="D300">
        <v>3</v>
      </c>
      <c r="E300" t="s">
        <v>30</v>
      </c>
      <c r="F300" t="s">
        <v>31</v>
      </c>
      <c r="G300" t="s">
        <v>65</v>
      </c>
      <c r="H300" s="5">
        <v>45510</v>
      </c>
      <c r="I300" t="s">
        <v>113</v>
      </c>
      <c r="J300" t="s">
        <v>42</v>
      </c>
      <c r="K300" t="s">
        <v>92</v>
      </c>
      <c r="L300" s="1">
        <v>45505</v>
      </c>
      <c r="M300">
        <v>2024</v>
      </c>
    </row>
    <row r="301" spans="1:13" x14ac:dyDescent="0.25">
      <c r="A301" t="s">
        <v>112</v>
      </c>
      <c r="B301">
        <v>5122</v>
      </c>
      <c r="C301">
        <v>2413</v>
      </c>
      <c r="D301">
        <v>12</v>
      </c>
      <c r="E301" t="s">
        <v>13</v>
      </c>
      <c r="F301" t="s">
        <v>14</v>
      </c>
      <c r="G301" t="s">
        <v>65</v>
      </c>
      <c r="H301" s="5">
        <v>45510</v>
      </c>
      <c r="I301" t="s">
        <v>113</v>
      </c>
      <c r="J301" t="s">
        <v>42</v>
      </c>
      <c r="K301" t="s">
        <v>92</v>
      </c>
      <c r="L301" s="1">
        <v>45505</v>
      </c>
      <c r="M301">
        <v>2024</v>
      </c>
    </row>
    <row r="302" spans="1:13" x14ac:dyDescent="0.25">
      <c r="A302" t="s">
        <v>122</v>
      </c>
      <c r="B302">
        <v>3090</v>
      </c>
      <c r="C302">
        <v>573</v>
      </c>
      <c r="D302">
        <v>6</v>
      </c>
      <c r="E302" t="s">
        <v>45</v>
      </c>
      <c r="F302" t="s">
        <v>46</v>
      </c>
      <c r="G302" t="s">
        <v>40</v>
      </c>
      <c r="H302" s="5">
        <v>45653</v>
      </c>
      <c r="I302" t="s">
        <v>123</v>
      </c>
      <c r="J302" t="s">
        <v>42</v>
      </c>
      <c r="K302" t="s">
        <v>75</v>
      </c>
      <c r="L302" s="1">
        <v>45627</v>
      </c>
      <c r="M302">
        <v>2024</v>
      </c>
    </row>
    <row r="303" spans="1:13" x14ac:dyDescent="0.25">
      <c r="A303" t="s">
        <v>122</v>
      </c>
      <c r="B303">
        <v>9683</v>
      </c>
      <c r="C303">
        <v>1014</v>
      </c>
      <c r="D303">
        <v>5</v>
      </c>
      <c r="E303" t="s">
        <v>13</v>
      </c>
      <c r="F303" t="s">
        <v>28</v>
      </c>
      <c r="G303" t="s">
        <v>15</v>
      </c>
      <c r="H303" s="5">
        <v>45653</v>
      </c>
      <c r="I303" t="s">
        <v>123</v>
      </c>
      <c r="J303" t="s">
        <v>42</v>
      </c>
      <c r="K303" t="s">
        <v>75</v>
      </c>
      <c r="L303" s="1">
        <v>45627</v>
      </c>
      <c r="M303">
        <v>2024</v>
      </c>
    </row>
    <row r="304" spans="1:13" x14ac:dyDescent="0.25">
      <c r="A304" t="s">
        <v>142</v>
      </c>
      <c r="B304">
        <v>953</v>
      </c>
      <c r="C304">
        <v>93</v>
      </c>
      <c r="D304">
        <v>2</v>
      </c>
      <c r="E304" t="s">
        <v>30</v>
      </c>
      <c r="F304" t="s">
        <v>64</v>
      </c>
      <c r="G304" t="s">
        <v>32</v>
      </c>
      <c r="H304" s="5">
        <v>45638</v>
      </c>
      <c r="I304" t="s">
        <v>143</v>
      </c>
      <c r="J304" t="s">
        <v>98</v>
      </c>
      <c r="K304" t="s">
        <v>117</v>
      </c>
      <c r="L304" s="1">
        <v>45627</v>
      </c>
      <c r="M304">
        <v>2024</v>
      </c>
    </row>
    <row r="305" spans="1:13" x14ac:dyDescent="0.25">
      <c r="A305" t="s">
        <v>142</v>
      </c>
      <c r="B305">
        <v>7355</v>
      </c>
      <c r="C305">
        <v>1034</v>
      </c>
      <c r="D305">
        <v>3</v>
      </c>
      <c r="E305" t="s">
        <v>45</v>
      </c>
      <c r="F305" t="s">
        <v>60</v>
      </c>
      <c r="G305" t="s">
        <v>65</v>
      </c>
      <c r="H305" s="5">
        <v>45638</v>
      </c>
      <c r="I305" t="s">
        <v>143</v>
      </c>
      <c r="J305" t="s">
        <v>98</v>
      </c>
      <c r="K305" t="s">
        <v>117</v>
      </c>
      <c r="L305" s="1">
        <v>45627</v>
      </c>
      <c r="M305">
        <v>2024</v>
      </c>
    </row>
    <row r="306" spans="1:13" x14ac:dyDescent="0.25">
      <c r="A306" t="s">
        <v>142</v>
      </c>
      <c r="B306">
        <v>1843</v>
      </c>
      <c r="C306">
        <v>248</v>
      </c>
      <c r="D306">
        <v>3</v>
      </c>
      <c r="E306" t="s">
        <v>13</v>
      </c>
      <c r="F306" t="s">
        <v>82</v>
      </c>
      <c r="G306" t="s">
        <v>47</v>
      </c>
      <c r="H306" s="5">
        <v>45638</v>
      </c>
      <c r="I306" t="s">
        <v>143</v>
      </c>
      <c r="J306" t="s">
        <v>98</v>
      </c>
      <c r="K306" t="s">
        <v>117</v>
      </c>
      <c r="L306" s="1">
        <v>45627</v>
      </c>
      <c r="M306">
        <v>2024</v>
      </c>
    </row>
    <row r="307" spans="1:13" x14ac:dyDescent="0.25">
      <c r="A307" t="s">
        <v>142</v>
      </c>
      <c r="B307">
        <v>1603</v>
      </c>
      <c r="C307">
        <v>361</v>
      </c>
      <c r="D307">
        <v>10</v>
      </c>
      <c r="E307" t="s">
        <v>30</v>
      </c>
      <c r="F307" t="s">
        <v>31</v>
      </c>
      <c r="G307" t="s">
        <v>32</v>
      </c>
      <c r="H307" s="5">
        <v>45638</v>
      </c>
      <c r="I307" t="s">
        <v>143</v>
      </c>
      <c r="J307" t="s">
        <v>98</v>
      </c>
      <c r="K307" t="s">
        <v>117</v>
      </c>
      <c r="L307" s="1">
        <v>45627</v>
      </c>
      <c r="M307">
        <v>2024</v>
      </c>
    </row>
    <row r="308" spans="1:13" x14ac:dyDescent="0.25">
      <c r="A308" t="s">
        <v>146</v>
      </c>
      <c r="B308">
        <v>2025</v>
      </c>
      <c r="C308">
        <v>528</v>
      </c>
      <c r="D308">
        <v>1</v>
      </c>
      <c r="E308" t="s">
        <v>30</v>
      </c>
      <c r="F308" t="s">
        <v>31</v>
      </c>
      <c r="G308" t="s">
        <v>47</v>
      </c>
      <c r="H308" s="5">
        <v>45319</v>
      </c>
      <c r="I308" t="s">
        <v>147</v>
      </c>
      <c r="J308" t="s">
        <v>17</v>
      </c>
      <c r="K308" t="s">
        <v>18</v>
      </c>
      <c r="L308" s="1">
        <v>45292</v>
      </c>
      <c r="M308">
        <v>2024</v>
      </c>
    </row>
    <row r="309" spans="1:13" x14ac:dyDescent="0.25">
      <c r="A309" t="s">
        <v>146</v>
      </c>
      <c r="B309">
        <v>6800</v>
      </c>
      <c r="C309">
        <v>167</v>
      </c>
      <c r="D309">
        <v>16</v>
      </c>
      <c r="E309" t="s">
        <v>30</v>
      </c>
      <c r="F309" t="s">
        <v>78</v>
      </c>
      <c r="G309" t="s">
        <v>40</v>
      </c>
      <c r="H309" s="5">
        <v>45319</v>
      </c>
      <c r="I309" t="s">
        <v>147</v>
      </c>
      <c r="J309" t="s">
        <v>17</v>
      </c>
      <c r="K309" t="s">
        <v>18</v>
      </c>
      <c r="L309" s="1">
        <v>45292</v>
      </c>
      <c r="M309">
        <v>2024</v>
      </c>
    </row>
    <row r="310" spans="1:13" x14ac:dyDescent="0.25">
      <c r="A310" t="s">
        <v>155</v>
      </c>
      <c r="B310">
        <v>2750</v>
      </c>
      <c r="C310">
        <v>1239</v>
      </c>
      <c r="D310">
        <v>11</v>
      </c>
      <c r="E310" t="s">
        <v>13</v>
      </c>
      <c r="F310" t="s">
        <v>82</v>
      </c>
      <c r="G310" t="s">
        <v>32</v>
      </c>
      <c r="H310" s="5">
        <v>45559</v>
      </c>
      <c r="I310" t="s">
        <v>158</v>
      </c>
      <c r="J310" t="s">
        <v>98</v>
      </c>
      <c r="K310" t="s">
        <v>117</v>
      </c>
      <c r="L310" s="1">
        <v>45536</v>
      </c>
      <c r="M310">
        <v>2024</v>
      </c>
    </row>
    <row r="311" spans="1:13" x14ac:dyDescent="0.25">
      <c r="A311" t="s">
        <v>155</v>
      </c>
      <c r="B311">
        <v>8639</v>
      </c>
      <c r="C311">
        <v>3104</v>
      </c>
      <c r="D311">
        <v>19</v>
      </c>
      <c r="E311" t="s">
        <v>30</v>
      </c>
      <c r="F311" t="s">
        <v>31</v>
      </c>
      <c r="G311" t="s">
        <v>40</v>
      </c>
      <c r="H311" s="5">
        <v>45559</v>
      </c>
      <c r="I311" t="s">
        <v>158</v>
      </c>
      <c r="J311" t="s">
        <v>98</v>
      </c>
      <c r="K311" t="s">
        <v>117</v>
      </c>
      <c r="L311" s="1">
        <v>45536</v>
      </c>
      <c r="M311">
        <v>2024</v>
      </c>
    </row>
    <row r="312" spans="1:13" x14ac:dyDescent="0.25">
      <c r="A312" t="s">
        <v>190</v>
      </c>
      <c r="B312">
        <v>523</v>
      </c>
      <c r="C312">
        <v>95</v>
      </c>
      <c r="D312">
        <v>20</v>
      </c>
      <c r="E312" t="s">
        <v>13</v>
      </c>
      <c r="F312" t="s">
        <v>28</v>
      </c>
      <c r="G312" t="s">
        <v>40</v>
      </c>
      <c r="H312" s="5">
        <v>45633</v>
      </c>
      <c r="I312" t="s">
        <v>191</v>
      </c>
      <c r="J312" t="s">
        <v>71</v>
      </c>
      <c r="K312" t="s">
        <v>72</v>
      </c>
      <c r="L312" s="1">
        <v>45627</v>
      </c>
      <c r="M312">
        <v>2024</v>
      </c>
    </row>
    <row r="313" spans="1:13" x14ac:dyDescent="0.25">
      <c r="A313" t="s">
        <v>197</v>
      </c>
      <c r="B313">
        <v>4358</v>
      </c>
      <c r="C313">
        <v>526</v>
      </c>
      <c r="D313">
        <v>19</v>
      </c>
      <c r="E313" t="s">
        <v>13</v>
      </c>
      <c r="F313" t="s">
        <v>82</v>
      </c>
      <c r="G313" t="s">
        <v>47</v>
      </c>
      <c r="H313" s="5">
        <v>45552</v>
      </c>
      <c r="I313" t="s">
        <v>199</v>
      </c>
      <c r="J313" t="s">
        <v>42</v>
      </c>
      <c r="K313" t="s">
        <v>92</v>
      </c>
      <c r="L313" s="1">
        <v>45536</v>
      </c>
      <c r="M313">
        <v>2024</v>
      </c>
    </row>
    <row r="314" spans="1:13" x14ac:dyDescent="0.25">
      <c r="A314" t="s">
        <v>197</v>
      </c>
      <c r="B314">
        <v>6459</v>
      </c>
      <c r="C314">
        <v>825</v>
      </c>
      <c r="D314">
        <v>8</v>
      </c>
      <c r="E314" t="s">
        <v>13</v>
      </c>
      <c r="F314" t="s">
        <v>82</v>
      </c>
      <c r="G314" t="s">
        <v>47</v>
      </c>
      <c r="H314" s="5">
        <v>45552</v>
      </c>
      <c r="I314" t="s">
        <v>199</v>
      </c>
      <c r="J314" t="s">
        <v>42</v>
      </c>
      <c r="K314" t="s">
        <v>92</v>
      </c>
      <c r="L314" s="1">
        <v>45536</v>
      </c>
      <c r="M314">
        <v>2024</v>
      </c>
    </row>
    <row r="315" spans="1:13" x14ac:dyDescent="0.25">
      <c r="A315" t="s">
        <v>210</v>
      </c>
      <c r="B315">
        <v>9538</v>
      </c>
      <c r="C315">
        <v>3158</v>
      </c>
      <c r="D315">
        <v>20</v>
      </c>
      <c r="E315" t="s">
        <v>13</v>
      </c>
      <c r="F315" t="s">
        <v>28</v>
      </c>
      <c r="G315" t="s">
        <v>47</v>
      </c>
      <c r="H315" s="5">
        <v>45539</v>
      </c>
      <c r="I315" t="s">
        <v>211</v>
      </c>
      <c r="J315" t="s">
        <v>42</v>
      </c>
      <c r="K315" t="s">
        <v>92</v>
      </c>
      <c r="L315" s="1">
        <v>45536</v>
      </c>
      <c r="M315">
        <v>2024</v>
      </c>
    </row>
    <row r="316" spans="1:13" x14ac:dyDescent="0.25">
      <c r="A316" t="s">
        <v>210</v>
      </c>
      <c r="B316">
        <v>9035</v>
      </c>
      <c r="C316">
        <v>1227</v>
      </c>
      <c r="D316">
        <v>14</v>
      </c>
      <c r="E316" t="s">
        <v>45</v>
      </c>
      <c r="F316" t="s">
        <v>49</v>
      </c>
      <c r="G316" t="s">
        <v>40</v>
      </c>
      <c r="H316" s="5">
        <v>45539</v>
      </c>
      <c r="I316" t="s">
        <v>211</v>
      </c>
      <c r="J316" t="s">
        <v>42</v>
      </c>
      <c r="K316" t="s">
        <v>92</v>
      </c>
      <c r="L316" s="1">
        <v>45536</v>
      </c>
      <c r="M316">
        <v>2024</v>
      </c>
    </row>
    <row r="317" spans="1:13" x14ac:dyDescent="0.25">
      <c r="A317" t="s">
        <v>213</v>
      </c>
      <c r="B317">
        <v>2684</v>
      </c>
      <c r="C317">
        <v>670</v>
      </c>
      <c r="D317">
        <v>2</v>
      </c>
      <c r="E317" t="s">
        <v>30</v>
      </c>
      <c r="F317" t="s">
        <v>64</v>
      </c>
      <c r="G317" t="s">
        <v>65</v>
      </c>
      <c r="H317" s="5">
        <v>45475</v>
      </c>
      <c r="I317" t="s">
        <v>214</v>
      </c>
      <c r="J317" t="s">
        <v>17</v>
      </c>
      <c r="K317" t="s">
        <v>150</v>
      </c>
      <c r="L317" s="1">
        <v>45474</v>
      </c>
      <c r="M317">
        <v>2024</v>
      </c>
    </row>
    <row r="318" spans="1:13" x14ac:dyDescent="0.25">
      <c r="A318" t="s">
        <v>213</v>
      </c>
      <c r="B318">
        <v>822</v>
      </c>
      <c r="C318">
        <v>147</v>
      </c>
      <c r="D318">
        <v>5</v>
      </c>
      <c r="E318" t="s">
        <v>45</v>
      </c>
      <c r="F318" t="s">
        <v>60</v>
      </c>
      <c r="G318" t="s">
        <v>47</v>
      </c>
      <c r="H318" s="5">
        <v>45475</v>
      </c>
      <c r="I318" t="s">
        <v>214</v>
      </c>
      <c r="J318" t="s">
        <v>17</v>
      </c>
      <c r="K318" t="s">
        <v>150</v>
      </c>
      <c r="L318" s="1">
        <v>45474</v>
      </c>
      <c r="M318">
        <v>2024</v>
      </c>
    </row>
    <row r="319" spans="1:13" x14ac:dyDescent="0.25">
      <c r="A319" t="s">
        <v>213</v>
      </c>
      <c r="B319">
        <v>9730</v>
      </c>
      <c r="C319">
        <v>2341</v>
      </c>
      <c r="D319">
        <v>2</v>
      </c>
      <c r="E319" t="s">
        <v>45</v>
      </c>
      <c r="F319" t="s">
        <v>49</v>
      </c>
      <c r="G319" t="s">
        <v>40</v>
      </c>
      <c r="H319" s="5">
        <v>45475</v>
      </c>
      <c r="I319" t="s">
        <v>214</v>
      </c>
      <c r="J319" t="s">
        <v>17</v>
      </c>
      <c r="K319" t="s">
        <v>150</v>
      </c>
      <c r="L319" s="1">
        <v>45474</v>
      </c>
      <c r="M319">
        <v>2024</v>
      </c>
    </row>
    <row r="320" spans="1:13" x14ac:dyDescent="0.25">
      <c r="A320" t="s">
        <v>213</v>
      </c>
      <c r="B320">
        <v>2483</v>
      </c>
      <c r="C320">
        <v>236</v>
      </c>
      <c r="D320">
        <v>2</v>
      </c>
      <c r="E320" t="s">
        <v>13</v>
      </c>
      <c r="F320" t="s">
        <v>14</v>
      </c>
      <c r="G320" t="s">
        <v>65</v>
      </c>
      <c r="H320" s="5">
        <v>45475</v>
      </c>
      <c r="I320" t="s">
        <v>214</v>
      </c>
      <c r="J320" t="s">
        <v>17</v>
      </c>
      <c r="K320" t="s">
        <v>150</v>
      </c>
      <c r="L320" s="1">
        <v>45474</v>
      </c>
      <c r="M320">
        <v>2024</v>
      </c>
    </row>
    <row r="321" spans="1:13" x14ac:dyDescent="0.25">
      <c r="A321" t="s">
        <v>216</v>
      </c>
      <c r="B321">
        <v>1297</v>
      </c>
      <c r="C321">
        <v>600</v>
      </c>
      <c r="D321">
        <v>7</v>
      </c>
      <c r="E321" t="s">
        <v>30</v>
      </c>
      <c r="F321" t="s">
        <v>78</v>
      </c>
      <c r="G321" t="s">
        <v>47</v>
      </c>
      <c r="H321" s="5">
        <v>45338</v>
      </c>
      <c r="I321" t="s">
        <v>217</v>
      </c>
      <c r="J321" t="s">
        <v>17</v>
      </c>
      <c r="K321" t="s">
        <v>34</v>
      </c>
      <c r="L321" s="1">
        <v>45323</v>
      </c>
      <c r="M321">
        <v>2024</v>
      </c>
    </row>
    <row r="322" spans="1:13" x14ac:dyDescent="0.25">
      <c r="A322" t="s">
        <v>216</v>
      </c>
      <c r="B322">
        <v>7909</v>
      </c>
      <c r="C322">
        <v>1942</v>
      </c>
      <c r="D322">
        <v>19</v>
      </c>
      <c r="E322" t="s">
        <v>13</v>
      </c>
      <c r="F322" t="s">
        <v>82</v>
      </c>
      <c r="G322" t="s">
        <v>65</v>
      </c>
      <c r="H322" s="5">
        <v>45338</v>
      </c>
      <c r="I322" t="s">
        <v>217</v>
      </c>
      <c r="J322" t="s">
        <v>17</v>
      </c>
      <c r="K322" t="s">
        <v>34</v>
      </c>
      <c r="L322" s="1">
        <v>45323</v>
      </c>
      <c r="M322">
        <v>2024</v>
      </c>
    </row>
    <row r="323" spans="1:13" x14ac:dyDescent="0.25">
      <c r="A323" t="s">
        <v>221</v>
      </c>
      <c r="B323">
        <v>3433</v>
      </c>
      <c r="C323">
        <v>1169</v>
      </c>
      <c r="D323">
        <v>10</v>
      </c>
      <c r="E323" t="s">
        <v>30</v>
      </c>
      <c r="F323" t="s">
        <v>78</v>
      </c>
      <c r="G323" t="s">
        <v>65</v>
      </c>
      <c r="H323" s="5">
        <v>45323</v>
      </c>
      <c r="I323" t="s">
        <v>222</v>
      </c>
      <c r="J323" t="s">
        <v>42</v>
      </c>
      <c r="K323" t="s">
        <v>92</v>
      </c>
      <c r="L323" s="1">
        <v>45323</v>
      </c>
      <c r="M323">
        <v>2024</v>
      </c>
    </row>
    <row r="324" spans="1:13" x14ac:dyDescent="0.25">
      <c r="A324" t="s">
        <v>221</v>
      </c>
      <c r="B324">
        <v>3887</v>
      </c>
      <c r="C324">
        <v>1490</v>
      </c>
      <c r="D324">
        <v>1</v>
      </c>
      <c r="E324" t="s">
        <v>30</v>
      </c>
      <c r="F324" t="s">
        <v>78</v>
      </c>
      <c r="G324" t="s">
        <v>32</v>
      </c>
      <c r="H324" s="5">
        <v>45323</v>
      </c>
      <c r="I324" t="s">
        <v>222</v>
      </c>
      <c r="J324" t="s">
        <v>42</v>
      </c>
      <c r="K324" t="s">
        <v>92</v>
      </c>
      <c r="L324" s="1">
        <v>45323</v>
      </c>
      <c r="M324">
        <v>2024</v>
      </c>
    </row>
    <row r="325" spans="1:13" x14ac:dyDescent="0.25">
      <c r="A325" t="s">
        <v>226</v>
      </c>
      <c r="B325">
        <v>1801</v>
      </c>
      <c r="C325">
        <v>641</v>
      </c>
      <c r="D325">
        <v>20</v>
      </c>
      <c r="E325" t="s">
        <v>30</v>
      </c>
      <c r="F325" t="s">
        <v>57</v>
      </c>
      <c r="G325" t="s">
        <v>47</v>
      </c>
      <c r="H325" s="5">
        <v>45482</v>
      </c>
      <c r="I325" t="s">
        <v>227</v>
      </c>
      <c r="J325" t="s">
        <v>42</v>
      </c>
      <c r="K325" t="s">
        <v>43</v>
      </c>
      <c r="L325" s="1">
        <v>45474</v>
      </c>
      <c r="M325">
        <v>2024</v>
      </c>
    </row>
    <row r="326" spans="1:13" x14ac:dyDescent="0.25">
      <c r="A326" t="s">
        <v>226</v>
      </c>
      <c r="B326">
        <v>5301</v>
      </c>
      <c r="C326">
        <v>817</v>
      </c>
      <c r="D326">
        <v>10</v>
      </c>
      <c r="E326" t="s">
        <v>45</v>
      </c>
      <c r="F326" t="s">
        <v>46</v>
      </c>
      <c r="G326" t="s">
        <v>32</v>
      </c>
      <c r="H326" s="5">
        <v>45482</v>
      </c>
      <c r="I326" t="s">
        <v>227</v>
      </c>
      <c r="J326" t="s">
        <v>42</v>
      </c>
      <c r="K326" t="s">
        <v>43</v>
      </c>
      <c r="L326" s="1">
        <v>45474</v>
      </c>
      <c r="M326">
        <v>2024</v>
      </c>
    </row>
    <row r="327" spans="1:13" x14ac:dyDescent="0.25">
      <c r="A327" t="s">
        <v>226</v>
      </c>
      <c r="B327">
        <v>1166</v>
      </c>
      <c r="C327">
        <v>520</v>
      </c>
      <c r="D327">
        <v>12</v>
      </c>
      <c r="E327" t="s">
        <v>30</v>
      </c>
      <c r="F327" t="s">
        <v>64</v>
      </c>
      <c r="G327" t="s">
        <v>32</v>
      </c>
      <c r="H327" s="5">
        <v>45482</v>
      </c>
      <c r="I327" t="s">
        <v>227</v>
      </c>
      <c r="J327" t="s">
        <v>42</v>
      </c>
      <c r="K327" t="s">
        <v>43</v>
      </c>
      <c r="L327" s="1">
        <v>45474</v>
      </c>
      <c r="M327">
        <v>2024</v>
      </c>
    </row>
    <row r="328" spans="1:13" x14ac:dyDescent="0.25">
      <c r="A328" t="s">
        <v>226</v>
      </c>
      <c r="B328">
        <v>3196</v>
      </c>
      <c r="C328">
        <v>1411</v>
      </c>
      <c r="D328">
        <v>15</v>
      </c>
      <c r="E328" t="s">
        <v>30</v>
      </c>
      <c r="F328" t="s">
        <v>64</v>
      </c>
      <c r="G328" t="s">
        <v>32</v>
      </c>
      <c r="H328" s="5">
        <v>45482</v>
      </c>
      <c r="I328" t="s">
        <v>227</v>
      </c>
      <c r="J328" t="s">
        <v>42</v>
      </c>
      <c r="K328" t="s">
        <v>43</v>
      </c>
      <c r="L328" s="1">
        <v>45474</v>
      </c>
      <c r="M328">
        <v>2024</v>
      </c>
    </row>
    <row r="329" spans="1:13" x14ac:dyDescent="0.25">
      <c r="A329" t="s">
        <v>232</v>
      </c>
      <c r="B329">
        <v>6009</v>
      </c>
      <c r="C329">
        <v>2107</v>
      </c>
      <c r="D329">
        <v>7</v>
      </c>
      <c r="E329" t="s">
        <v>13</v>
      </c>
      <c r="F329" t="s">
        <v>82</v>
      </c>
      <c r="G329" t="s">
        <v>15</v>
      </c>
      <c r="H329" s="5">
        <v>45411</v>
      </c>
      <c r="I329" t="s">
        <v>234</v>
      </c>
      <c r="J329" t="s">
        <v>71</v>
      </c>
      <c r="K329" t="s">
        <v>86</v>
      </c>
      <c r="L329" s="1">
        <v>45383</v>
      </c>
      <c r="M329">
        <v>2024</v>
      </c>
    </row>
    <row r="330" spans="1:13" x14ac:dyDescent="0.25">
      <c r="A330" t="s">
        <v>232</v>
      </c>
      <c r="B330">
        <v>2858</v>
      </c>
      <c r="C330">
        <v>230</v>
      </c>
      <c r="D330">
        <v>3</v>
      </c>
      <c r="E330" t="s">
        <v>45</v>
      </c>
      <c r="F330" t="s">
        <v>46</v>
      </c>
      <c r="G330" t="s">
        <v>47</v>
      </c>
      <c r="H330" s="5">
        <v>45411</v>
      </c>
      <c r="I330" t="s">
        <v>234</v>
      </c>
      <c r="J330" t="s">
        <v>71</v>
      </c>
      <c r="K330" t="s">
        <v>86</v>
      </c>
      <c r="L330" s="1">
        <v>45383</v>
      </c>
      <c r="M330">
        <v>2024</v>
      </c>
    </row>
    <row r="331" spans="1:13" x14ac:dyDescent="0.25">
      <c r="A331" t="s">
        <v>232</v>
      </c>
      <c r="B331">
        <v>8175</v>
      </c>
      <c r="C331">
        <v>525</v>
      </c>
      <c r="D331">
        <v>7</v>
      </c>
      <c r="E331" t="s">
        <v>45</v>
      </c>
      <c r="F331" t="s">
        <v>60</v>
      </c>
      <c r="G331" t="s">
        <v>47</v>
      </c>
      <c r="H331" s="5">
        <v>45411</v>
      </c>
      <c r="I331" t="s">
        <v>234</v>
      </c>
      <c r="J331" t="s">
        <v>71</v>
      </c>
      <c r="K331" t="s">
        <v>86</v>
      </c>
      <c r="L331" s="1">
        <v>45383</v>
      </c>
      <c r="M331">
        <v>2024</v>
      </c>
    </row>
    <row r="332" spans="1:13" x14ac:dyDescent="0.25">
      <c r="A332" t="s">
        <v>232</v>
      </c>
      <c r="B332">
        <v>5846</v>
      </c>
      <c r="C332">
        <v>586</v>
      </c>
      <c r="D332">
        <v>18</v>
      </c>
      <c r="E332" t="s">
        <v>45</v>
      </c>
      <c r="F332" t="s">
        <v>60</v>
      </c>
      <c r="G332" t="s">
        <v>15</v>
      </c>
      <c r="H332" s="5">
        <v>45411</v>
      </c>
      <c r="I332" t="s">
        <v>234</v>
      </c>
      <c r="J332" t="s">
        <v>71</v>
      </c>
      <c r="K332" t="s">
        <v>86</v>
      </c>
      <c r="L332" s="1">
        <v>45383</v>
      </c>
      <c r="M332">
        <v>2024</v>
      </c>
    </row>
    <row r="333" spans="1:13" x14ac:dyDescent="0.25">
      <c r="A333" t="s">
        <v>248</v>
      </c>
      <c r="B333">
        <v>6517</v>
      </c>
      <c r="C333">
        <v>1581</v>
      </c>
      <c r="D333">
        <v>10</v>
      </c>
      <c r="E333" t="s">
        <v>30</v>
      </c>
      <c r="F333" t="s">
        <v>64</v>
      </c>
      <c r="G333" t="s">
        <v>32</v>
      </c>
      <c r="H333" s="5">
        <v>45431</v>
      </c>
      <c r="I333" t="s">
        <v>249</v>
      </c>
      <c r="J333" t="s">
        <v>17</v>
      </c>
      <c r="K333" t="s">
        <v>18</v>
      </c>
      <c r="L333" s="1">
        <v>45413</v>
      </c>
      <c r="M333">
        <v>2024</v>
      </c>
    </row>
    <row r="334" spans="1:13" x14ac:dyDescent="0.25">
      <c r="A334" t="s">
        <v>248</v>
      </c>
      <c r="B334">
        <v>1166</v>
      </c>
      <c r="C334">
        <v>349</v>
      </c>
      <c r="D334">
        <v>11</v>
      </c>
      <c r="E334" t="s">
        <v>45</v>
      </c>
      <c r="F334" t="s">
        <v>46</v>
      </c>
      <c r="G334" t="s">
        <v>47</v>
      </c>
      <c r="H334" s="5">
        <v>45431</v>
      </c>
      <c r="I334" t="s">
        <v>249</v>
      </c>
      <c r="J334" t="s">
        <v>17</v>
      </c>
      <c r="K334" t="s">
        <v>18</v>
      </c>
      <c r="L334" s="1">
        <v>45413</v>
      </c>
      <c r="M334">
        <v>2024</v>
      </c>
    </row>
    <row r="335" spans="1:13" x14ac:dyDescent="0.25">
      <c r="A335" t="s">
        <v>253</v>
      </c>
      <c r="B335">
        <v>8563</v>
      </c>
      <c r="C335">
        <v>2624</v>
      </c>
      <c r="D335">
        <v>8</v>
      </c>
      <c r="E335" t="s">
        <v>30</v>
      </c>
      <c r="F335" t="s">
        <v>78</v>
      </c>
      <c r="G335" t="s">
        <v>65</v>
      </c>
      <c r="H335" s="5">
        <v>45606</v>
      </c>
      <c r="I335" t="s">
        <v>254</v>
      </c>
      <c r="J335" t="s">
        <v>71</v>
      </c>
      <c r="K335" t="s">
        <v>72</v>
      </c>
      <c r="L335" s="1">
        <v>45597</v>
      </c>
      <c r="M335">
        <v>2024</v>
      </c>
    </row>
    <row r="336" spans="1:13" x14ac:dyDescent="0.25">
      <c r="A336" t="s">
        <v>253</v>
      </c>
      <c r="B336">
        <v>4441</v>
      </c>
      <c r="C336">
        <v>281</v>
      </c>
      <c r="D336">
        <v>20</v>
      </c>
      <c r="E336" t="s">
        <v>13</v>
      </c>
      <c r="F336" t="s">
        <v>28</v>
      </c>
      <c r="G336" t="s">
        <v>65</v>
      </c>
      <c r="H336" s="5">
        <v>45606</v>
      </c>
      <c r="I336" t="s">
        <v>254</v>
      </c>
      <c r="J336" t="s">
        <v>71</v>
      </c>
      <c r="K336" t="s">
        <v>72</v>
      </c>
      <c r="L336" s="1">
        <v>45597</v>
      </c>
      <c r="M336">
        <v>2024</v>
      </c>
    </row>
    <row r="337" spans="1:13" x14ac:dyDescent="0.25">
      <c r="A337" t="s">
        <v>258</v>
      </c>
      <c r="B337">
        <v>1895</v>
      </c>
      <c r="C337">
        <v>391</v>
      </c>
      <c r="D337">
        <v>14</v>
      </c>
      <c r="E337" t="s">
        <v>45</v>
      </c>
      <c r="F337" t="s">
        <v>46</v>
      </c>
      <c r="G337" t="s">
        <v>15</v>
      </c>
      <c r="H337" s="5">
        <v>45478</v>
      </c>
      <c r="I337" t="s">
        <v>259</v>
      </c>
      <c r="J337" t="s">
        <v>17</v>
      </c>
      <c r="K337" t="s">
        <v>150</v>
      </c>
      <c r="L337" s="1">
        <v>45474</v>
      </c>
      <c r="M337">
        <v>2024</v>
      </c>
    </row>
    <row r="338" spans="1:13" x14ac:dyDescent="0.25">
      <c r="A338" t="s">
        <v>258</v>
      </c>
      <c r="B338">
        <v>5323</v>
      </c>
      <c r="C338">
        <v>322</v>
      </c>
      <c r="D338">
        <v>13</v>
      </c>
      <c r="E338" t="s">
        <v>30</v>
      </c>
      <c r="F338" t="s">
        <v>78</v>
      </c>
      <c r="G338" t="s">
        <v>65</v>
      </c>
      <c r="H338" s="5">
        <v>45478</v>
      </c>
      <c r="I338" t="s">
        <v>259</v>
      </c>
      <c r="J338" t="s">
        <v>17</v>
      </c>
      <c r="K338" t="s">
        <v>150</v>
      </c>
      <c r="L338" s="1">
        <v>45474</v>
      </c>
      <c r="M338">
        <v>2024</v>
      </c>
    </row>
    <row r="339" spans="1:13" x14ac:dyDescent="0.25">
      <c r="A339" t="s">
        <v>260</v>
      </c>
      <c r="B339">
        <v>8850</v>
      </c>
      <c r="C339">
        <v>279</v>
      </c>
      <c r="D339">
        <v>13</v>
      </c>
      <c r="E339" t="s">
        <v>30</v>
      </c>
      <c r="F339" t="s">
        <v>57</v>
      </c>
      <c r="G339" t="s">
        <v>32</v>
      </c>
      <c r="H339" s="5">
        <v>45468</v>
      </c>
      <c r="I339" t="s">
        <v>261</v>
      </c>
      <c r="J339" t="s">
        <v>17</v>
      </c>
      <c r="K339" t="s">
        <v>18</v>
      </c>
      <c r="L339" s="1">
        <v>45444</v>
      </c>
      <c r="M339">
        <v>2024</v>
      </c>
    </row>
    <row r="340" spans="1:13" x14ac:dyDescent="0.25">
      <c r="A340" t="s">
        <v>260</v>
      </c>
      <c r="B340">
        <v>8667</v>
      </c>
      <c r="C340">
        <v>1266</v>
      </c>
      <c r="D340">
        <v>6</v>
      </c>
      <c r="E340" t="s">
        <v>30</v>
      </c>
      <c r="F340" t="s">
        <v>64</v>
      </c>
      <c r="G340" t="s">
        <v>32</v>
      </c>
      <c r="H340" s="5">
        <v>45468</v>
      </c>
      <c r="I340" t="s">
        <v>261</v>
      </c>
      <c r="J340" t="s">
        <v>17</v>
      </c>
      <c r="K340" t="s">
        <v>18</v>
      </c>
      <c r="L340" s="1">
        <v>45444</v>
      </c>
      <c r="M340">
        <v>2024</v>
      </c>
    </row>
    <row r="341" spans="1:13" x14ac:dyDescent="0.25">
      <c r="A341" t="s">
        <v>263</v>
      </c>
      <c r="B341">
        <v>6903</v>
      </c>
      <c r="C341">
        <v>105</v>
      </c>
      <c r="D341">
        <v>1</v>
      </c>
      <c r="E341" t="s">
        <v>45</v>
      </c>
      <c r="F341" t="s">
        <v>46</v>
      </c>
      <c r="G341" t="s">
        <v>65</v>
      </c>
      <c r="H341" s="5">
        <v>45443</v>
      </c>
      <c r="I341" t="s">
        <v>264</v>
      </c>
      <c r="J341" t="s">
        <v>21</v>
      </c>
      <c r="K341" t="s">
        <v>22</v>
      </c>
      <c r="L341" s="1">
        <v>45413</v>
      </c>
      <c r="M341">
        <v>2024</v>
      </c>
    </row>
    <row r="342" spans="1:13" x14ac:dyDescent="0.25">
      <c r="A342" t="s">
        <v>263</v>
      </c>
      <c r="B342">
        <v>8793</v>
      </c>
      <c r="C342">
        <v>3010</v>
      </c>
      <c r="D342">
        <v>7</v>
      </c>
      <c r="E342" t="s">
        <v>30</v>
      </c>
      <c r="F342" t="s">
        <v>31</v>
      </c>
      <c r="G342" t="s">
        <v>65</v>
      </c>
      <c r="H342" s="5">
        <v>45443</v>
      </c>
      <c r="I342" t="s">
        <v>264</v>
      </c>
      <c r="J342" t="s">
        <v>21</v>
      </c>
      <c r="K342" t="s">
        <v>22</v>
      </c>
      <c r="L342" s="1">
        <v>45413</v>
      </c>
      <c r="M342">
        <v>2024</v>
      </c>
    </row>
    <row r="343" spans="1:13" x14ac:dyDescent="0.25">
      <c r="A343" t="s">
        <v>297</v>
      </c>
      <c r="B343">
        <v>6471</v>
      </c>
      <c r="C343">
        <v>2842</v>
      </c>
      <c r="D343">
        <v>18</v>
      </c>
      <c r="E343" t="s">
        <v>13</v>
      </c>
      <c r="F343" t="s">
        <v>14</v>
      </c>
      <c r="G343" t="s">
        <v>15</v>
      </c>
      <c r="H343" s="5">
        <v>45491</v>
      </c>
      <c r="I343" t="s">
        <v>298</v>
      </c>
      <c r="J343" t="s">
        <v>21</v>
      </c>
      <c r="K343" t="s">
        <v>172</v>
      </c>
      <c r="L343" s="1">
        <v>45474</v>
      </c>
      <c r="M343">
        <v>2024</v>
      </c>
    </row>
    <row r="344" spans="1:13" x14ac:dyDescent="0.25">
      <c r="A344" t="s">
        <v>299</v>
      </c>
      <c r="B344">
        <v>949</v>
      </c>
      <c r="C344">
        <v>301</v>
      </c>
      <c r="D344">
        <v>9</v>
      </c>
      <c r="E344" t="s">
        <v>30</v>
      </c>
      <c r="F344" t="s">
        <v>78</v>
      </c>
      <c r="G344" t="s">
        <v>15</v>
      </c>
      <c r="H344" s="5">
        <v>45632</v>
      </c>
      <c r="I344" t="s">
        <v>300</v>
      </c>
      <c r="J344" t="s">
        <v>98</v>
      </c>
      <c r="K344" t="s">
        <v>117</v>
      </c>
      <c r="L344" s="1">
        <v>45627</v>
      </c>
      <c r="M344">
        <v>2024</v>
      </c>
    </row>
    <row r="345" spans="1:13" x14ac:dyDescent="0.25">
      <c r="A345" t="s">
        <v>299</v>
      </c>
      <c r="B345">
        <v>6823</v>
      </c>
      <c r="C345">
        <v>771</v>
      </c>
      <c r="D345">
        <v>6</v>
      </c>
      <c r="E345" t="s">
        <v>30</v>
      </c>
      <c r="F345" t="s">
        <v>78</v>
      </c>
      <c r="G345" t="s">
        <v>40</v>
      </c>
      <c r="H345" s="5">
        <v>45632</v>
      </c>
      <c r="I345" t="s">
        <v>300</v>
      </c>
      <c r="J345" t="s">
        <v>98</v>
      </c>
      <c r="K345" t="s">
        <v>117</v>
      </c>
      <c r="L345" s="1">
        <v>45627</v>
      </c>
      <c r="M345">
        <v>2024</v>
      </c>
    </row>
    <row r="346" spans="1:13" x14ac:dyDescent="0.25">
      <c r="A346" t="s">
        <v>299</v>
      </c>
      <c r="B346">
        <v>4364</v>
      </c>
      <c r="C346">
        <v>831</v>
      </c>
      <c r="D346">
        <v>2</v>
      </c>
      <c r="E346" t="s">
        <v>45</v>
      </c>
      <c r="F346" t="s">
        <v>46</v>
      </c>
      <c r="G346" t="s">
        <v>40</v>
      </c>
      <c r="H346" s="5">
        <v>45632</v>
      </c>
      <c r="I346" t="s">
        <v>300</v>
      </c>
      <c r="J346" t="s">
        <v>98</v>
      </c>
      <c r="K346" t="s">
        <v>117</v>
      </c>
      <c r="L346" s="1">
        <v>45627</v>
      </c>
      <c r="M346">
        <v>2024</v>
      </c>
    </row>
    <row r="347" spans="1:13" x14ac:dyDescent="0.25">
      <c r="A347" t="s">
        <v>321</v>
      </c>
      <c r="B347">
        <v>2759</v>
      </c>
      <c r="C347">
        <v>1149</v>
      </c>
      <c r="D347">
        <v>6</v>
      </c>
      <c r="E347" t="s">
        <v>45</v>
      </c>
      <c r="F347" t="s">
        <v>46</v>
      </c>
      <c r="G347" t="s">
        <v>47</v>
      </c>
      <c r="H347" s="5">
        <v>45653</v>
      </c>
      <c r="I347" t="s">
        <v>322</v>
      </c>
      <c r="J347" t="s">
        <v>25</v>
      </c>
      <c r="K347" t="s">
        <v>51</v>
      </c>
      <c r="L347" s="1">
        <v>45627</v>
      </c>
      <c r="M347">
        <v>2024</v>
      </c>
    </row>
    <row r="348" spans="1:13" x14ac:dyDescent="0.25">
      <c r="A348" t="s">
        <v>336</v>
      </c>
      <c r="B348">
        <v>6962</v>
      </c>
      <c r="C348">
        <v>3429</v>
      </c>
      <c r="D348">
        <v>12</v>
      </c>
      <c r="E348" t="s">
        <v>13</v>
      </c>
      <c r="F348" t="s">
        <v>14</v>
      </c>
      <c r="G348" t="s">
        <v>15</v>
      </c>
      <c r="H348" s="5">
        <v>45375</v>
      </c>
      <c r="I348" t="s">
        <v>337</v>
      </c>
      <c r="J348" t="s">
        <v>71</v>
      </c>
      <c r="K348" t="s">
        <v>72</v>
      </c>
      <c r="L348" s="1">
        <v>45352</v>
      </c>
      <c r="M348">
        <v>2024</v>
      </c>
    </row>
    <row r="349" spans="1:13" x14ac:dyDescent="0.25">
      <c r="A349" t="s">
        <v>340</v>
      </c>
      <c r="B349">
        <v>1085</v>
      </c>
      <c r="C349">
        <v>301</v>
      </c>
      <c r="D349">
        <v>20</v>
      </c>
      <c r="E349" t="s">
        <v>45</v>
      </c>
      <c r="F349" t="s">
        <v>109</v>
      </c>
      <c r="G349" t="s">
        <v>15</v>
      </c>
      <c r="H349" s="5">
        <v>45486</v>
      </c>
      <c r="I349" t="s">
        <v>341</v>
      </c>
      <c r="J349" t="s">
        <v>25</v>
      </c>
      <c r="K349" t="s">
        <v>26</v>
      </c>
      <c r="L349" s="1">
        <v>45474</v>
      </c>
      <c r="M349">
        <v>2024</v>
      </c>
    </row>
    <row r="350" spans="1:13" x14ac:dyDescent="0.25">
      <c r="A350" t="s">
        <v>342</v>
      </c>
      <c r="B350">
        <v>738</v>
      </c>
      <c r="C350">
        <v>342</v>
      </c>
      <c r="D350">
        <v>2</v>
      </c>
      <c r="E350" t="s">
        <v>45</v>
      </c>
      <c r="F350" t="s">
        <v>49</v>
      </c>
      <c r="G350" t="s">
        <v>32</v>
      </c>
      <c r="H350" s="5">
        <v>45426</v>
      </c>
      <c r="I350" t="s">
        <v>345</v>
      </c>
      <c r="J350" t="s">
        <v>98</v>
      </c>
      <c r="K350" t="s">
        <v>107</v>
      </c>
      <c r="L350" s="1">
        <v>45413</v>
      </c>
      <c r="M350">
        <v>2024</v>
      </c>
    </row>
    <row r="351" spans="1:13" x14ac:dyDescent="0.25">
      <c r="A351" t="s">
        <v>352</v>
      </c>
      <c r="B351">
        <v>5934</v>
      </c>
      <c r="C351">
        <v>1563</v>
      </c>
      <c r="D351">
        <v>2</v>
      </c>
      <c r="E351" t="s">
        <v>30</v>
      </c>
      <c r="F351" t="s">
        <v>57</v>
      </c>
      <c r="G351" t="s">
        <v>40</v>
      </c>
      <c r="H351" s="5">
        <v>45541</v>
      </c>
      <c r="I351" t="s">
        <v>353</v>
      </c>
      <c r="J351" t="s">
        <v>21</v>
      </c>
      <c r="K351" t="s">
        <v>172</v>
      </c>
      <c r="L351" s="1">
        <v>45536</v>
      </c>
      <c r="M351">
        <v>2024</v>
      </c>
    </row>
    <row r="352" spans="1:13" x14ac:dyDescent="0.25">
      <c r="A352" t="s">
        <v>358</v>
      </c>
      <c r="B352">
        <v>3479</v>
      </c>
      <c r="C352">
        <v>1087</v>
      </c>
      <c r="D352">
        <v>2</v>
      </c>
      <c r="E352" t="s">
        <v>30</v>
      </c>
      <c r="F352" t="s">
        <v>57</v>
      </c>
      <c r="G352" t="s">
        <v>40</v>
      </c>
      <c r="H352" s="5">
        <v>45582</v>
      </c>
      <c r="I352" t="s">
        <v>359</v>
      </c>
      <c r="J352" t="s">
        <v>71</v>
      </c>
      <c r="K352" t="s">
        <v>72</v>
      </c>
      <c r="L352" s="1">
        <v>45566</v>
      </c>
      <c r="M352">
        <v>2024</v>
      </c>
    </row>
    <row r="353" spans="1:13" x14ac:dyDescent="0.25">
      <c r="A353" t="s">
        <v>358</v>
      </c>
      <c r="B353">
        <v>5457</v>
      </c>
      <c r="C353">
        <v>1765</v>
      </c>
      <c r="D353">
        <v>7</v>
      </c>
      <c r="E353" t="s">
        <v>13</v>
      </c>
      <c r="F353" t="s">
        <v>28</v>
      </c>
      <c r="G353" t="s">
        <v>40</v>
      </c>
      <c r="H353" s="5">
        <v>45582</v>
      </c>
      <c r="I353" t="s">
        <v>359</v>
      </c>
      <c r="J353" t="s">
        <v>71</v>
      </c>
      <c r="K353" t="s">
        <v>72</v>
      </c>
      <c r="L353" s="1">
        <v>45566</v>
      </c>
      <c r="M353">
        <v>2024</v>
      </c>
    </row>
    <row r="354" spans="1:13" x14ac:dyDescent="0.25">
      <c r="A354" t="s">
        <v>363</v>
      </c>
      <c r="B354">
        <v>4404</v>
      </c>
      <c r="C354">
        <v>858</v>
      </c>
      <c r="D354">
        <v>17</v>
      </c>
      <c r="E354" t="s">
        <v>30</v>
      </c>
      <c r="F354" t="s">
        <v>31</v>
      </c>
      <c r="G354" t="s">
        <v>32</v>
      </c>
      <c r="H354" s="5">
        <v>45368</v>
      </c>
      <c r="I354" t="s">
        <v>364</v>
      </c>
      <c r="J354" t="s">
        <v>98</v>
      </c>
      <c r="K354" t="s">
        <v>99</v>
      </c>
      <c r="L354" s="1">
        <v>45352</v>
      </c>
      <c r="M354">
        <v>2024</v>
      </c>
    </row>
    <row r="355" spans="1:13" x14ac:dyDescent="0.25">
      <c r="A355" t="s">
        <v>363</v>
      </c>
      <c r="B355">
        <v>8776</v>
      </c>
      <c r="C355">
        <v>2529</v>
      </c>
      <c r="D355">
        <v>15</v>
      </c>
      <c r="E355" t="s">
        <v>45</v>
      </c>
      <c r="F355" t="s">
        <v>60</v>
      </c>
      <c r="G355" t="s">
        <v>47</v>
      </c>
      <c r="H355" s="5">
        <v>45368</v>
      </c>
      <c r="I355" t="s">
        <v>364</v>
      </c>
      <c r="J355" t="s">
        <v>98</v>
      </c>
      <c r="K355" t="s">
        <v>99</v>
      </c>
      <c r="L355" s="1">
        <v>45352</v>
      </c>
      <c r="M355">
        <v>2024</v>
      </c>
    </row>
    <row r="356" spans="1:13" x14ac:dyDescent="0.25">
      <c r="A356" t="s">
        <v>367</v>
      </c>
      <c r="B356">
        <v>9574</v>
      </c>
      <c r="C356">
        <v>4045</v>
      </c>
      <c r="D356">
        <v>19</v>
      </c>
      <c r="E356" t="s">
        <v>45</v>
      </c>
      <c r="F356" t="s">
        <v>109</v>
      </c>
      <c r="G356" t="s">
        <v>15</v>
      </c>
      <c r="H356" s="5">
        <v>45364</v>
      </c>
      <c r="I356" t="s">
        <v>368</v>
      </c>
      <c r="J356" t="s">
        <v>42</v>
      </c>
      <c r="K356" t="s">
        <v>92</v>
      </c>
      <c r="L356" s="1">
        <v>45352</v>
      </c>
      <c r="M356">
        <v>2024</v>
      </c>
    </row>
    <row r="357" spans="1:13" x14ac:dyDescent="0.25">
      <c r="A357" t="s">
        <v>367</v>
      </c>
      <c r="B357">
        <v>4382</v>
      </c>
      <c r="C357">
        <v>482</v>
      </c>
      <c r="D357">
        <v>17</v>
      </c>
      <c r="E357" t="s">
        <v>13</v>
      </c>
      <c r="F357" t="s">
        <v>14</v>
      </c>
      <c r="G357" t="s">
        <v>65</v>
      </c>
      <c r="H357" s="5">
        <v>45364</v>
      </c>
      <c r="I357" t="s">
        <v>368</v>
      </c>
      <c r="J357" t="s">
        <v>42</v>
      </c>
      <c r="K357" t="s">
        <v>92</v>
      </c>
      <c r="L357" s="1">
        <v>45352</v>
      </c>
      <c r="M357">
        <v>2024</v>
      </c>
    </row>
    <row r="358" spans="1:13" x14ac:dyDescent="0.25">
      <c r="A358" t="s">
        <v>371</v>
      </c>
      <c r="B358">
        <v>3348</v>
      </c>
      <c r="C358">
        <v>568</v>
      </c>
      <c r="D358">
        <v>5</v>
      </c>
      <c r="E358" t="s">
        <v>30</v>
      </c>
      <c r="F358" t="s">
        <v>57</v>
      </c>
      <c r="G358" t="s">
        <v>47</v>
      </c>
      <c r="H358" s="5">
        <v>45353</v>
      </c>
      <c r="I358" t="s">
        <v>372</v>
      </c>
      <c r="J358" t="s">
        <v>98</v>
      </c>
      <c r="K358" t="s">
        <v>117</v>
      </c>
      <c r="L358" s="1">
        <v>45352</v>
      </c>
      <c r="M358">
        <v>2024</v>
      </c>
    </row>
    <row r="359" spans="1:13" x14ac:dyDescent="0.25">
      <c r="A359" t="s">
        <v>371</v>
      </c>
      <c r="B359">
        <v>8856</v>
      </c>
      <c r="C359">
        <v>2020</v>
      </c>
      <c r="D359">
        <v>9</v>
      </c>
      <c r="E359" t="s">
        <v>30</v>
      </c>
      <c r="F359" t="s">
        <v>31</v>
      </c>
      <c r="G359" t="s">
        <v>32</v>
      </c>
      <c r="H359" s="5">
        <v>45353</v>
      </c>
      <c r="I359" t="s">
        <v>372</v>
      </c>
      <c r="J359" t="s">
        <v>98</v>
      </c>
      <c r="K359" t="s">
        <v>117</v>
      </c>
      <c r="L359" s="1">
        <v>45352</v>
      </c>
      <c r="M359">
        <v>2024</v>
      </c>
    </row>
    <row r="360" spans="1:13" x14ac:dyDescent="0.25">
      <c r="A360" t="s">
        <v>410</v>
      </c>
      <c r="B360">
        <v>9204</v>
      </c>
      <c r="C360">
        <v>3289</v>
      </c>
      <c r="D360">
        <v>16</v>
      </c>
      <c r="E360" t="s">
        <v>13</v>
      </c>
      <c r="F360" t="s">
        <v>39</v>
      </c>
      <c r="G360" t="s">
        <v>47</v>
      </c>
      <c r="H360" s="5">
        <v>45347</v>
      </c>
      <c r="I360" t="s">
        <v>411</v>
      </c>
      <c r="J360" t="s">
        <v>17</v>
      </c>
      <c r="K360" t="s">
        <v>18</v>
      </c>
      <c r="L360" s="1">
        <v>45323</v>
      </c>
      <c r="M360">
        <v>2024</v>
      </c>
    </row>
    <row r="361" spans="1:13" x14ac:dyDescent="0.25">
      <c r="A361" t="s">
        <v>410</v>
      </c>
      <c r="B361">
        <v>9894</v>
      </c>
      <c r="C361">
        <v>3698</v>
      </c>
      <c r="D361">
        <v>20</v>
      </c>
      <c r="E361" t="s">
        <v>30</v>
      </c>
      <c r="F361" t="s">
        <v>64</v>
      </c>
      <c r="G361" t="s">
        <v>40</v>
      </c>
      <c r="H361" s="5">
        <v>45347</v>
      </c>
      <c r="I361" t="s">
        <v>411</v>
      </c>
      <c r="J361" t="s">
        <v>17</v>
      </c>
      <c r="K361" t="s">
        <v>18</v>
      </c>
      <c r="L361" s="1">
        <v>45323</v>
      </c>
      <c r="M361">
        <v>2024</v>
      </c>
    </row>
    <row r="362" spans="1:13" x14ac:dyDescent="0.25">
      <c r="A362" t="s">
        <v>419</v>
      </c>
      <c r="B362">
        <v>8383</v>
      </c>
      <c r="C362">
        <v>937</v>
      </c>
      <c r="D362">
        <v>4</v>
      </c>
      <c r="E362" t="s">
        <v>45</v>
      </c>
      <c r="F362" t="s">
        <v>60</v>
      </c>
      <c r="G362" t="s">
        <v>15</v>
      </c>
      <c r="H362" s="5">
        <v>45417</v>
      </c>
      <c r="I362" t="s">
        <v>420</v>
      </c>
      <c r="J362" t="s">
        <v>17</v>
      </c>
      <c r="K362" t="s">
        <v>34</v>
      </c>
      <c r="L362" s="1">
        <v>45413</v>
      </c>
      <c r="M362">
        <v>2024</v>
      </c>
    </row>
    <row r="363" spans="1:13" x14ac:dyDescent="0.25">
      <c r="A363" t="s">
        <v>430</v>
      </c>
      <c r="B363">
        <v>6891</v>
      </c>
      <c r="C363">
        <v>2529</v>
      </c>
      <c r="D363">
        <v>3</v>
      </c>
      <c r="E363" t="s">
        <v>30</v>
      </c>
      <c r="F363" t="s">
        <v>78</v>
      </c>
      <c r="G363" t="s">
        <v>32</v>
      </c>
      <c r="H363" s="5">
        <v>45413</v>
      </c>
      <c r="I363" t="s">
        <v>431</v>
      </c>
      <c r="J363" t="s">
        <v>98</v>
      </c>
      <c r="K363" t="s">
        <v>117</v>
      </c>
      <c r="L363" s="1">
        <v>45413</v>
      </c>
      <c r="M363">
        <v>2024</v>
      </c>
    </row>
    <row r="364" spans="1:13" x14ac:dyDescent="0.25">
      <c r="A364" t="s">
        <v>434</v>
      </c>
      <c r="B364">
        <v>4215</v>
      </c>
      <c r="C364">
        <v>432</v>
      </c>
      <c r="D364">
        <v>14</v>
      </c>
      <c r="E364" t="s">
        <v>45</v>
      </c>
      <c r="F364" t="s">
        <v>49</v>
      </c>
      <c r="G364" t="s">
        <v>32</v>
      </c>
      <c r="H364" s="5">
        <v>45324</v>
      </c>
      <c r="I364" t="s">
        <v>435</v>
      </c>
      <c r="J364" t="s">
        <v>98</v>
      </c>
      <c r="K364" t="s">
        <v>99</v>
      </c>
      <c r="L364" s="1">
        <v>45323</v>
      </c>
      <c r="M364">
        <v>2024</v>
      </c>
    </row>
    <row r="365" spans="1:13" x14ac:dyDescent="0.25">
      <c r="A365" t="s">
        <v>436</v>
      </c>
      <c r="B365">
        <v>622</v>
      </c>
      <c r="C365">
        <v>218</v>
      </c>
      <c r="D365">
        <v>19</v>
      </c>
      <c r="E365" t="s">
        <v>45</v>
      </c>
      <c r="F365" t="s">
        <v>109</v>
      </c>
      <c r="G365" t="s">
        <v>47</v>
      </c>
      <c r="H365" s="5">
        <v>45466</v>
      </c>
      <c r="I365" t="s">
        <v>437</v>
      </c>
      <c r="J365" t="s">
        <v>42</v>
      </c>
      <c r="K365" t="s">
        <v>75</v>
      </c>
      <c r="L365" s="1">
        <v>45444</v>
      </c>
      <c r="M365">
        <v>2024</v>
      </c>
    </row>
    <row r="366" spans="1:13" x14ac:dyDescent="0.25">
      <c r="A366" t="s">
        <v>436</v>
      </c>
      <c r="B366">
        <v>1755</v>
      </c>
      <c r="C366">
        <v>495</v>
      </c>
      <c r="D366">
        <v>18</v>
      </c>
      <c r="E366" t="s">
        <v>30</v>
      </c>
      <c r="F366" t="s">
        <v>31</v>
      </c>
      <c r="G366" t="s">
        <v>15</v>
      </c>
      <c r="H366" s="5">
        <v>45466</v>
      </c>
      <c r="I366" t="s">
        <v>437</v>
      </c>
      <c r="J366" t="s">
        <v>42</v>
      </c>
      <c r="K366" t="s">
        <v>75</v>
      </c>
      <c r="L366" s="1">
        <v>45444</v>
      </c>
      <c r="M366">
        <v>2024</v>
      </c>
    </row>
    <row r="367" spans="1:13" x14ac:dyDescent="0.25">
      <c r="A367" t="s">
        <v>436</v>
      </c>
      <c r="B367">
        <v>8020</v>
      </c>
      <c r="C367">
        <v>3898</v>
      </c>
      <c r="D367">
        <v>20</v>
      </c>
      <c r="E367" t="s">
        <v>13</v>
      </c>
      <c r="F367" t="s">
        <v>14</v>
      </c>
      <c r="G367" t="s">
        <v>40</v>
      </c>
      <c r="H367" s="5">
        <v>45466</v>
      </c>
      <c r="I367" t="s">
        <v>437</v>
      </c>
      <c r="J367" t="s">
        <v>42</v>
      </c>
      <c r="K367" t="s">
        <v>75</v>
      </c>
      <c r="L367" s="1">
        <v>45444</v>
      </c>
      <c r="M367">
        <v>2024</v>
      </c>
    </row>
    <row r="368" spans="1:13" x14ac:dyDescent="0.25">
      <c r="A368" t="s">
        <v>438</v>
      </c>
      <c r="B368">
        <v>7333</v>
      </c>
      <c r="C368">
        <v>1576</v>
      </c>
      <c r="D368">
        <v>4</v>
      </c>
      <c r="E368" t="s">
        <v>13</v>
      </c>
      <c r="F368" t="s">
        <v>39</v>
      </c>
      <c r="G368" t="s">
        <v>47</v>
      </c>
      <c r="H368" s="5">
        <v>45450</v>
      </c>
      <c r="I368" t="s">
        <v>439</v>
      </c>
      <c r="J368" t="s">
        <v>25</v>
      </c>
      <c r="K368" t="s">
        <v>26</v>
      </c>
      <c r="L368" s="1">
        <v>45444</v>
      </c>
      <c r="M368">
        <v>2024</v>
      </c>
    </row>
    <row r="369" spans="1:13" x14ac:dyDescent="0.25">
      <c r="A369" t="s">
        <v>451</v>
      </c>
      <c r="B369">
        <v>6113</v>
      </c>
      <c r="C369">
        <v>2508</v>
      </c>
      <c r="D369">
        <v>6</v>
      </c>
      <c r="E369" t="s">
        <v>13</v>
      </c>
      <c r="F369" t="s">
        <v>39</v>
      </c>
      <c r="G369" t="s">
        <v>15</v>
      </c>
      <c r="H369" s="5">
        <v>45459</v>
      </c>
      <c r="I369" t="s">
        <v>452</v>
      </c>
      <c r="J369" t="s">
        <v>17</v>
      </c>
      <c r="K369" t="s">
        <v>34</v>
      </c>
      <c r="L369" s="1">
        <v>45444</v>
      </c>
      <c r="M369">
        <v>2024</v>
      </c>
    </row>
    <row r="370" spans="1:13" x14ac:dyDescent="0.25">
      <c r="A370" t="s">
        <v>451</v>
      </c>
      <c r="B370">
        <v>7733</v>
      </c>
      <c r="C370">
        <v>2784</v>
      </c>
      <c r="D370">
        <v>15</v>
      </c>
      <c r="E370" t="s">
        <v>45</v>
      </c>
      <c r="F370" t="s">
        <v>46</v>
      </c>
      <c r="G370" t="s">
        <v>40</v>
      </c>
      <c r="H370" s="5">
        <v>45459</v>
      </c>
      <c r="I370" t="s">
        <v>452</v>
      </c>
      <c r="J370" t="s">
        <v>17</v>
      </c>
      <c r="K370" t="s">
        <v>34</v>
      </c>
      <c r="L370" s="1">
        <v>45444</v>
      </c>
      <c r="M370">
        <v>2024</v>
      </c>
    </row>
    <row r="371" spans="1:13" x14ac:dyDescent="0.25">
      <c r="A371" t="s">
        <v>451</v>
      </c>
      <c r="B371">
        <v>8524</v>
      </c>
      <c r="C371">
        <v>154</v>
      </c>
      <c r="D371">
        <v>14</v>
      </c>
      <c r="E371" t="s">
        <v>45</v>
      </c>
      <c r="F371" t="s">
        <v>46</v>
      </c>
      <c r="G371" t="s">
        <v>65</v>
      </c>
      <c r="H371" s="5">
        <v>45459</v>
      </c>
      <c r="I371" t="s">
        <v>452</v>
      </c>
      <c r="J371" t="s">
        <v>17</v>
      </c>
      <c r="K371" t="s">
        <v>34</v>
      </c>
      <c r="L371" s="1">
        <v>45444</v>
      </c>
      <c r="M371">
        <v>2024</v>
      </c>
    </row>
    <row r="372" spans="1:13" x14ac:dyDescent="0.25">
      <c r="A372" t="s">
        <v>451</v>
      </c>
      <c r="B372">
        <v>6187</v>
      </c>
      <c r="C372">
        <v>2344</v>
      </c>
      <c r="D372">
        <v>15</v>
      </c>
      <c r="E372" t="s">
        <v>45</v>
      </c>
      <c r="F372" t="s">
        <v>109</v>
      </c>
      <c r="G372" t="s">
        <v>40</v>
      </c>
      <c r="H372" s="5">
        <v>45459</v>
      </c>
      <c r="I372" t="s">
        <v>452</v>
      </c>
      <c r="J372" t="s">
        <v>17</v>
      </c>
      <c r="K372" t="s">
        <v>34</v>
      </c>
      <c r="L372" s="1">
        <v>45444</v>
      </c>
      <c r="M372">
        <v>2024</v>
      </c>
    </row>
    <row r="373" spans="1:13" x14ac:dyDescent="0.25">
      <c r="A373" t="s">
        <v>458</v>
      </c>
      <c r="B373">
        <v>2493</v>
      </c>
      <c r="C373">
        <v>1221</v>
      </c>
      <c r="D373">
        <v>9</v>
      </c>
      <c r="E373" t="s">
        <v>30</v>
      </c>
      <c r="F373" t="s">
        <v>64</v>
      </c>
      <c r="G373" t="s">
        <v>47</v>
      </c>
      <c r="H373" s="5">
        <v>45398</v>
      </c>
      <c r="I373" t="s">
        <v>459</v>
      </c>
      <c r="J373" t="s">
        <v>21</v>
      </c>
      <c r="K373" t="s">
        <v>63</v>
      </c>
      <c r="L373" s="1">
        <v>45383</v>
      </c>
      <c r="M373">
        <v>2024</v>
      </c>
    </row>
    <row r="374" spans="1:13" x14ac:dyDescent="0.25">
      <c r="A374" t="s">
        <v>458</v>
      </c>
      <c r="B374">
        <v>9849</v>
      </c>
      <c r="C374">
        <v>963</v>
      </c>
      <c r="D374">
        <v>1</v>
      </c>
      <c r="E374" t="s">
        <v>30</v>
      </c>
      <c r="F374" t="s">
        <v>31</v>
      </c>
      <c r="G374" t="s">
        <v>47</v>
      </c>
      <c r="H374" s="5">
        <v>45398</v>
      </c>
      <c r="I374" t="s">
        <v>459</v>
      </c>
      <c r="J374" t="s">
        <v>21</v>
      </c>
      <c r="K374" t="s">
        <v>63</v>
      </c>
      <c r="L374" s="1">
        <v>45383</v>
      </c>
      <c r="M374">
        <v>2024</v>
      </c>
    </row>
    <row r="375" spans="1:13" x14ac:dyDescent="0.25">
      <c r="A375" t="s">
        <v>460</v>
      </c>
      <c r="B375">
        <v>3423</v>
      </c>
      <c r="C375">
        <v>804</v>
      </c>
      <c r="D375">
        <v>4</v>
      </c>
      <c r="E375" t="s">
        <v>13</v>
      </c>
      <c r="F375" t="s">
        <v>28</v>
      </c>
      <c r="G375" t="s">
        <v>47</v>
      </c>
      <c r="H375" s="5">
        <v>45315</v>
      </c>
      <c r="I375" t="s">
        <v>464</v>
      </c>
      <c r="J375" t="s">
        <v>71</v>
      </c>
      <c r="K375" t="s">
        <v>86</v>
      </c>
      <c r="L375" s="1">
        <v>45292</v>
      </c>
      <c r="M375">
        <v>2024</v>
      </c>
    </row>
    <row r="376" spans="1:13" x14ac:dyDescent="0.25">
      <c r="A376" t="s">
        <v>473</v>
      </c>
      <c r="B376">
        <v>3461</v>
      </c>
      <c r="C376">
        <v>1537</v>
      </c>
      <c r="D376">
        <v>15</v>
      </c>
      <c r="E376" t="s">
        <v>45</v>
      </c>
      <c r="F376" t="s">
        <v>60</v>
      </c>
      <c r="G376" t="s">
        <v>40</v>
      </c>
      <c r="H376" s="5">
        <v>45527</v>
      </c>
      <c r="I376" t="s">
        <v>474</v>
      </c>
      <c r="J376" t="s">
        <v>21</v>
      </c>
      <c r="K376" t="s">
        <v>22</v>
      </c>
      <c r="L376" s="1">
        <v>45505</v>
      </c>
      <c r="M376">
        <v>2024</v>
      </c>
    </row>
    <row r="377" spans="1:13" x14ac:dyDescent="0.25">
      <c r="A377" t="s">
        <v>473</v>
      </c>
      <c r="B377">
        <v>5714</v>
      </c>
      <c r="C377">
        <v>1438</v>
      </c>
      <c r="D377">
        <v>6</v>
      </c>
      <c r="E377" t="s">
        <v>13</v>
      </c>
      <c r="F377" t="s">
        <v>14</v>
      </c>
      <c r="G377" t="s">
        <v>47</v>
      </c>
      <c r="H377" s="5">
        <v>45527</v>
      </c>
      <c r="I377" t="s">
        <v>474</v>
      </c>
      <c r="J377" t="s">
        <v>21</v>
      </c>
      <c r="K377" t="s">
        <v>22</v>
      </c>
      <c r="L377" s="1">
        <v>45505</v>
      </c>
      <c r="M377">
        <v>2024</v>
      </c>
    </row>
    <row r="378" spans="1:13" x14ac:dyDescent="0.25">
      <c r="A378" t="s">
        <v>473</v>
      </c>
      <c r="B378">
        <v>3853</v>
      </c>
      <c r="C378">
        <v>1457</v>
      </c>
      <c r="D378">
        <v>10</v>
      </c>
      <c r="E378" t="s">
        <v>30</v>
      </c>
      <c r="F378" t="s">
        <v>78</v>
      </c>
      <c r="G378" t="s">
        <v>65</v>
      </c>
      <c r="H378" s="5">
        <v>45527</v>
      </c>
      <c r="I378" t="s">
        <v>474</v>
      </c>
      <c r="J378" t="s">
        <v>21</v>
      </c>
      <c r="K378" t="s">
        <v>22</v>
      </c>
      <c r="L378" s="1">
        <v>45505</v>
      </c>
      <c r="M378">
        <v>2024</v>
      </c>
    </row>
    <row r="379" spans="1:13" x14ac:dyDescent="0.25">
      <c r="A379" t="s">
        <v>477</v>
      </c>
      <c r="B379">
        <v>1290</v>
      </c>
      <c r="C379">
        <v>204</v>
      </c>
      <c r="D379">
        <v>12</v>
      </c>
      <c r="E379" t="s">
        <v>30</v>
      </c>
      <c r="F379" t="s">
        <v>57</v>
      </c>
      <c r="G379" t="s">
        <v>15</v>
      </c>
      <c r="H379" s="5">
        <v>45458</v>
      </c>
      <c r="I379" t="s">
        <v>478</v>
      </c>
      <c r="J379" t="s">
        <v>25</v>
      </c>
      <c r="K379" t="s">
        <v>26</v>
      </c>
      <c r="L379" s="1">
        <v>45444</v>
      </c>
      <c r="M379">
        <v>2024</v>
      </c>
    </row>
    <row r="380" spans="1:13" x14ac:dyDescent="0.25">
      <c r="A380" t="s">
        <v>477</v>
      </c>
      <c r="B380">
        <v>1290</v>
      </c>
      <c r="C380">
        <v>204</v>
      </c>
      <c r="D380">
        <v>12</v>
      </c>
      <c r="E380" t="s">
        <v>30</v>
      </c>
      <c r="F380" t="s">
        <v>57</v>
      </c>
      <c r="G380" t="s">
        <v>15</v>
      </c>
      <c r="H380" s="5">
        <v>45645</v>
      </c>
      <c r="I380" t="s">
        <v>479</v>
      </c>
      <c r="J380" t="s">
        <v>42</v>
      </c>
      <c r="K380" t="s">
        <v>92</v>
      </c>
      <c r="L380" s="1">
        <v>45627</v>
      </c>
      <c r="M380">
        <v>2024</v>
      </c>
    </row>
    <row r="381" spans="1:13" x14ac:dyDescent="0.25">
      <c r="A381" t="s">
        <v>484</v>
      </c>
      <c r="B381">
        <v>3522</v>
      </c>
      <c r="C381">
        <v>898</v>
      </c>
      <c r="D381">
        <v>15</v>
      </c>
      <c r="E381" t="s">
        <v>30</v>
      </c>
      <c r="F381" t="s">
        <v>31</v>
      </c>
      <c r="G381" t="s">
        <v>47</v>
      </c>
      <c r="H381" s="5">
        <v>45533</v>
      </c>
      <c r="I381" t="s">
        <v>485</v>
      </c>
      <c r="J381" t="s">
        <v>98</v>
      </c>
      <c r="K381" t="s">
        <v>117</v>
      </c>
      <c r="L381" s="1">
        <v>45505</v>
      </c>
      <c r="M381">
        <v>2024</v>
      </c>
    </row>
    <row r="382" spans="1:13" x14ac:dyDescent="0.25">
      <c r="A382" t="s">
        <v>487</v>
      </c>
      <c r="B382">
        <v>7301</v>
      </c>
      <c r="C382">
        <v>3602</v>
      </c>
      <c r="D382">
        <v>3</v>
      </c>
      <c r="E382" t="s">
        <v>30</v>
      </c>
      <c r="F382" t="s">
        <v>78</v>
      </c>
      <c r="G382" t="s">
        <v>32</v>
      </c>
      <c r="H382" s="5">
        <v>45389</v>
      </c>
      <c r="I382" t="s">
        <v>488</v>
      </c>
      <c r="J382" t="s">
        <v>71</v>
      </c>
      <c r="K382" t="s">
        <v>138</v>
      </c>
      <c r="L382" s="1">
        <v>45383</v>
      </c>
      <c r="M382">
        <v>2024</v>
      </c>
    </row>
    <row r="383" spans="1:13" x14ac:dyDescent="0.25">
      <c r="A383" t="s">
        <v>507</v>
      </c>
      <c r="B383">
        <v>8649</v>
      </c>
      <c r="C383">
        <v>2631</v>
      </c>
      <c r="D383">
        <v>13</v>
      </c>
      <c r="E383" t="s">
        <v>13</v>
      </c>
      <c r="F383" t="s">
        <v>39</v>
      </c>
      <c r="G383" t="s">
        <v>40</v>
      </c>
      <c r="H383" s="5">
        <v>45301</v>
      </c>
      <c r="I383" t="s">
        <v>508</v>
      </c>
      <c r="J383" t="s">
        <v>42</v>
      </c>
      <c r="K383" t="s">
        <v>92</v>
      </c>
      <c r="L383" s="1">
        <v>45292</v>
      </c>
      <c r="M383">
        <v>2024</v>
      </c>
    </row>
    <row r="384" spans="1:13" x14ac:dyDescent="0.25">
      <c r="A384" t="s">
        <v>521</v>
      </c>
      <c r="B384">
        <v>7930</v>
      </c>
      <c r="C384">
        <v>1981</v>
      </c>
      <c r="D384">
        <v>13</v>
      </c>
      <c r="E384" t="s">
        <v>45</v>
      </c>
      <c r="F384" t="s">
        <v>49</v>
      </c>
      <c r="G384" t="s">
        <v>47</v>
      </c>
      <c r="H384" s="5">
        <v>45513</v>
      </c>
      <c r="I384" t="s">
        <v>523</v>
      </c>
      <c r="J384" t="s">
        <v>21</v>
      </c>
      <c r="K384" t="s">
        <v>63</v>
      </c>
      <c r="L384" s="1">
        <v>45505</v>
      </c>
      <c r="M384">
        <v>2024</v>
      </c>
    </row>
    <row r="385" spans="1:13" x14ac:dyDescent="0.25">
      <c r="A385" t="s">
        <v>537</v>
      </c>
      <c r="B385">
        <v>3944</v>
      </c>
      <c r="C385">
        <v>1559</v>
      </c>
      <c r="D385">
        <v>18</v>
      </c>
      <c r="E385" t="s">
        <v>13</v>
      </c>
      <c r="F385" t="s">
        <v>82</v>
      </c>
      <c r="G385" t="s">
        <v>47</v>
      </c>
      <c r="H385" s="5">
        <v>45455</v>
      </c>
      <c r="I385" t="s">
        <v>538</v>
      </c>
      <c r="J385" t="s">
        <v>42</v>
      </c>
      <c r="K385" t="s">
        <v>92</v>
      </c>
      <c r="L385" s="1">
        <v>45444</v>
      </c>
      <c r="M385">
        <v>2024</v>
      </c>
    </row>
    <row r="386" spans="1:13" x14ac:dyDescent="0.25">
      <c r="A386" t="s">
        <v>537</v>
      </c>
      <c r="B386">
        <v>6711</v>
      </c>
      <c r="C386">
        <v>1045</v>
      </c>
      <c r="D386">
        <v>12</v>
      </c>
      <c r="E386" t="s">
        <v>30</v>
      </c>
      <c r="F386" t="s">
        <v>31</v>
      </c>
      <c r="G386" t="s">
        <v>47</v>
      </c>
      <c r="H386" s="5">
        <v>45455</v>
      </c>
      <c r="I386" t="s">
        <v>538</v>
      </c>
      <c r="J386" t="s">
        <v>42</v>
      </c>
      <c r="K386" t="s">
        <v>92</v>
      </c>
      <c r="L386" s="1">
        <v>45444</v>
      </c>
      <c r="M386">
        <v>2024</v>
      </c>
    </row>
    <row r="387" spans="1:13" x14ac:dyDescent="0.25">
      <c r="A387" t="s">
        <v>537</v>
      </c>
      <c r="B387">
        <v>5031</v>
      </c>
      <c r="C387">
        <v>714</v>
      </c>
      <c r="D387">
        <v>4</v>
      </c>
      <c r="E387" t="s">
        <v>45</v>
      </c>
      <c r="F387" t="s">
        <v>46</v>
      </c>
      <c r="G387" t="s">
        <v>47</v>
      </c>
      <c r="H387" s="5">
        <v>45455</v>
      </c>
      <c r="I387" t="s">
        <v>538</v>
      </c>
      <c r="J387" t="s">
        <v>42</v>
      </c>
      <c r="K387" t="s">
        <v>92</v>
      </c>
      <c r="L387" s="1">
        <v>45444</v>
      </c>
      <c r="M387">
        <v>2024</v>
      </c>
    </row>
    <row r="388" spans="1:13" x14ac:dyDescent="0.25">
      <c r="A388" t="s">
        <v>537</v>
      </c>
      <c r="B388">
        <v>6295</v>
      </c>
      <c r="C388">
        <v>2469</v>
      </c>
      <c r="D388">
        <v>14</v>
      </c>
      <c r="E388" t="s">
        <v>30</v>
      </c>
      <c r="F388" t="s">
        <v>78</v>
      </c>
      <c r="G388" t="s">
        <v>40</v>
      </c>
      <c r="H388" s="5">
        <v>45455</v>
      </c>
      <c r="I388" t="s">
        <v>538</v>
      </c>
      <c r="J388" t="s">
        <v>42</v>
      </c>
      <c r="K388" t="s">
        <v>92</v>
      </c>
      <c r="L388" s="1">
        <v>45444</v>
      </c>
      <c r="M388">
        <v>2024</v>
      </c>
    </row>
    <row r="389" spans="1:13" x14ac:dyDescent="0.25">
      <c r="A389" t="s">
        <v>546</v>
      </c>
      <c r="B389">
        <v>1248</v>
      </c>
      <c r="C389">
        <v>584</v>
      </c>
      <c r="D389">
        <v>13</v>
      </c>
      <c r="E389" t="s">
        <v>30</v>
      </c>
      <c r="F389" t="s">
        <v>31</v>
      </c>
      <c r="G389" t="s">
        <v>40</v>
      </c>
      <c r="H389" s="5">
        <v>45313</v>
      </c>
      <c r="I389" t="s">
        <v>547</v>
      </c>
      <c r="J389" t="s">
        <v>98</v>
      </c>
      <c r="K389" t="s">
        <v>99</v>
      </c>
      <c r="L389" s="1">
        <v>45292</v>
      </c>
      <c r="M389">
        <v>2024</v>
      </c>
    </row>
    <row r="390" spans="1:13" x14ac:dyDescent="0.25">
      <c r="A390" t="s">
        <v>546</v>
      </c>
      <c r="B390">
        <v>3669</v>
      </c>
      <c r="C390">
        <v>154</v>
      </c>
      <c r="D390">
        <v>14</v>
      </c>
      <c r="E390" t="s">
        <v>30</v>
      </c>
      <c r="F390" t="s">
        <v>57</v>
      </c>
      <c r="G390" t="s">
        <v>40</v>
      </c>
      <c r="H390" s="5">
        <v>45313</v>
      </c>
      <c r="I390" t="s">
        <v>547</v>
      </c>
      <c r="J390" t="s">
        <v>98</v>
      </c>
      <c r="K390" t="s">
        <v>99</v>
      </c>
      <c r="L390" s="1">
        <v>45292</v>
      </c>
      <c r="M390">
        <v>2024</v>
      </c>
    </row>
    <row r="391" spans="1:13" x14ac:dyDescent="0.25">
      <c r="A391" t="s">
        <v>546</v>
      </c>
      <c r="B391">
        <v>514</v>
      </c>
      <c r="C391">
        <v>109</v>
      </c>
      <c r="D391">
        <v>15</v>
      </c>
      <c r="E391" t="s">
        <v>30</v>
      </c>
      <c r="F391" t="s">
        <v>64</v>
      </c>
      <c r="G391" t="s">
        <v>32</v>
      </c>
      <c r="H391" s="5">
        <v>45313</v>
      </c>
      <c r="I391" t="s">
        <v>547</v>
      </c>
      <c r="J391" t="s">
        <v>98</v>
      </c>
      <c r="K391" t="s">
        <v>99</v>
      </c>
      <c r="L391" s="1">
        <v>45292</v>
      </c>
      <c r="M391">
        <v>2024</v>
      </c>
    </row>
    <row r="392" spans="1:13" x14ac:dyDescent="0.25">
      <c r="A392" t="s">
        <v>549</v>
      </c>
      <c r="B392">
        <v>3273</v>
      </c>
      <c r="C392">
        <v>85</v>
      </c>
      <c r="D392">
        <v>16</v>
      </c>
      <c r="E392" t="s">
        <v>13</v>
      </c>
      <c r="F392" t="s">
        <v>82</v>
      </c>
      <c r="G392" t="s">
        <v>15</v>
      </c>
      <c r="H392" s="5">
        <v>45381</v>
      </c>
      <c r="I392" t="s">
        <v>550</v>
      </c>
      <c r="J392" t="s">
        <v>98</v>
      </c>
      <c r="K392" t="s">
        <v>107</v>
      </c>
      <c r="L392" s="1">
        <v>45352</v>
      </c>
      <c r="M392">
        <v>2024</v>
      </c>
    </row>
    <row r="393" spans="1:13" x14ac:dyDescent="0.25">
      <c r="A393" t="s">
        <v>565</v>
      </c>
      <c r="B393">
        <v>3956</v>
      </c>
      <c r="C393">
        <v>142</v>
      </c>
      <c r="D393">
        <v>12</v>
      </c>
      <c r="E393" t="s">
        <v>30</v>
      </c>
      <c r="F393" t="s">
        <v>31</v>
      </c>
      <c r="G393" t="s">
        <v>32</v>
      </c>
      <c r="H393" s="5">
        <v>45652</v>
      </c>
      <c r="I393" t="s">
        <v>567</v>
      </c>
      <c r="J393" t="s">
        <v>71</v>
      </c>
      <c r="K393" t="s">
        <v>72</v>
      </c>
      <c r="L393" s="1">
        <v>45627</v>
      </c>
      <c r="M393">
        <v>2024</v>
      </c>
    </row>
    <row r="394" spans="1:13" x14ac:dyDescent="0.25">
      <c r="A394" t="s">
        <v>565</v>
      </c>
      <c r="B394">
        <v>6449</v>
      </c>
      <c r="C394">
        <v>2628</v>
      </c>
      <c r="D394">
        <v>11</v>
      </c>
      <c r="E394" t="s">
        <v>45</v>
      </c>
      <c r="F394" t="s">
        <v>109</v>
      </c>
      <c r="G394" t="s">
        <v>40</v>
      </c>
      <c r="H394" s="5">
        <v>45652</v>
      </c>
      <c r="I394" t="s">
        <v>567</v>
      </c>
      <c r="J394" t="s">
        <v>71</v>
      </c>
      <c r="K394" t="s">
        <v>72</v>
      </c>
      <c r="L394" s="1">
        <v>45627</v>
      </c>
      <c r="M394">
        <v>2024</v>
      </c>
    </row>
    <row r="395" spans="1:13" x14ac:dyDescent="0.25">
      <c r="A395" t="s">
        <v>580</v>
      </c>
      <c r="B395">
        <v>5911</v>
      </c>
      <c r="C395">
        <v>2333</v>
      </c>
      <c r="D395">
        <v>14</v>
      </c>
      <c r="E395" t="s">
        <v>45</v>
      </c>
      <c r="F395" t="s">
        <v>109</v>
      </c>
      <c r="G395" t="s">
        <v>40</v>
      </c>
      <c r="H395" s="5">
        <v>45621</v>
      </c>
      <c r="I395" t="s">
        <v>582</v>
      </c>
      <c r="J395" t="s">
        <v>42</v>
      </c>
      <c r="K395" t="s">
        <v>92</v>
      </c>
      <c r="L395" s="1">
        <v>45597</v>
      </c>
      <c r="M395">
        <v>2024</v>
      </c>
    </row>
    <row r="396" spans="1:13" x14ac:dyDescent="0.25">
      <c r="A396" t="s">
        <v>580</v>
      </c>
      <c r="B396">
        <v>1818</v>
      </c>
      <c r="C396">
        <v>738</v>
      </c>
      <c r="D396">
        <v>11</v>
      </c>
      <c r="E396" t="s">
        <v>30</v>
      </c>
      <c r="F396" t="s">
        <v>57</v>
      </c>
      <c r="G396" t="s">
        <v>40</v>
      </c>
      <c r="H396" s="5">
        <v>45621</v>
      </c>
      <c r="I396" t="s">
        <v>582</v>
      </c>
      <c r="J396" t="s">
        <v>42</v>
      </c>
      <c r="K396" t="s">
        <v>92</v>
      </c>
      <c r="L396" s="1">
        <v>45597</v>
      </c>
      <c r="M396">
        <v>2024</v>
      </c>
    </row>
    <row r="397" spans="1:13" x14ac:dyDescent="0.25">
      <c r="A397" t="s">
        <v>589</v>
      </c>
      <c r="B397">
        <v>7564</v>
      </c>
      <c r="C397">
        <v>3463</v>
      </c>
      <c r="D397">
        <v>5</v>
      </c>
      <c r="E397" t="s">
        <v>30</v>
      </c>
      <c r="F397" t="s">
        <v>64</v>
      </c>
      <c r="G397" t="s">
        <v>47</v>
      </c>
      <c r="H397" s="5">
        <v>45459</v>
      </c>
      <c r="I397" t="s">
        <v>590</v>
      </c>
      <c r="J397" t="s">
        <v>17</v>
      </c>
      <c r="K397" t="s">
        <v>150</v>
      </c>
      <c r="L397" s="1">
        <v>45444</v>
      </c>
      <c r="M397">
        <v>2024</v>
      </c>
    </row>
    <row r="398" spans="1:13" x14ac:dyDescent="0.25">
      <c r="A398" t="s">
        <v>589</v>
      </c>
      <c r="B398">
        <v>7564</v>
      </c>
      <c r="C398">
        <v>3463</v>
      </c>
      <c r="D398">
        <v>5</v>
      </c>
      <c r="E398" t="s">
        <v>30</v>
      </c>
      <c r="F398" t="s">
        <v>64</v>
      </c>
      <c r="G398" t="s">
        <v>47</v>
      </c>
      <c r="H398" s="5">
        <v>45566</v>
      </c>
      <c r="I398" t="s">
        <v>592</v>
      </c>
      <c r="J398" t="s">
        <v>17</v>
      </c>
      <c r="K398" t="s">
        <v>18</v>
      </c>
      <c r="L398" s="1">
        <v>45566</v>
      </c>
      <c r="M398">
        <v>2024</v>
      </c>
    </row>
    <row r="399" spans="1:13" x14ac:dyDescent="0.25">
      <c r="A399" t="s">
        <v>589</v>
      </c>
      <c r="B399">
        <v>7564</v>
      </c>
      <c r="C399">
        <v>3463</v>
      </c>
      <c r="D399">
        <v>5</v>
      </c>
      <c r="E399" t="s">
        <v>30</v>
      </c>
      <c r="F399" t="s">
        <v>64</v>
      </c>
      <c r="G399" t="s">
        <v>47</v>
      </c>
      <c r="H399" s="5">
        <v>45474</v>
      </c>
      <c r="I399" t="s">
        <v>593</v>
      </c>
      <c r="J399" t="s">
        <v>71</v>
      </c>
      <c r="K399" t="s">
        <v>138</v>
      </c>
      <c r="L399" s="1">
        <v>45474</v>
      </c>
      <c r="M399">
        <v>2024</v>
      </c>
    </row>
    <row r="400" spans="1:13" x14ac:dyDescent="0.25">
      <c r="A400" t="s">
        <v>589</v>
      </c>
      <c r="B400">
        <v>3409</v>
      </c>
      <c r="C400">
        <v>1605</v>
      </c>
      <c r="D400">
        <v>20</v>
      </c>
      <c r="E400" t="s">
        <v>13</v>
      </c>
      <c r="F400" t="s">
        <v>14</v>
      </c>
      <c r="G400" t="s">
        <v>15</v>
      </c>
      <c r="H400" s="5">
        <v>45459</v>
      </c>
      <c r="I400" t="s">
        <v>590</v>
      </c>
      <c r="J400" t="s">
        <v>17</v>
      </c>
      <c r="K400" t="s">
        <v>150</v>
      </c>
      <c r="L400" s="1">
        <v>45444</v>
      </c>
      <c r="M400">
        <v>2024</v>
      </c>
    </row>
    <row r="401" spans="1:13" x14ac:dyDescent="0.25">
      <c r="A401" t="s">
        <v>589</v>
      </c>
      <c r="B401">
        <v>3409</v>
      </c>
      <c r="C401">
        <v>1605</v>
      </c>
      <c r="D401">
        <v>20</v>
      </c>
      <c r="E401" t="s">
        <v>13</v>
      </c>
      <c r="F401" t="s">
        <v>14</v>
      </c>
      <c r="G401" t="s">
        <v>15</v>
      </c>
      <c r="H401" s="5">
        <v>45566</v>
      </c>
      <c r="I401" t="s">
        <v>592</v>
      </c>
      <c r="J401" t="s">
        <v>17</v>
      </c>
      <c r="K401" t="s">
        <v>18</v>
      </c>
      <c r="L401" s="1">
        <v>45566</v>
      </c>
      <c r="M401">
        <v>2024</v>
      </c>
    </row>
    <row r="402" spans="1:13" x14ac:dyDescent="0.25">
      <c r="A402" t="s">
        <v>589</v>
      </c>
      <c r="B402">
        <v>3409</v>
      </c>
      <c r="C402">
        <v>1605</v>
      </c>
      <c r="D402">
        <v>20</v>
      </c>
      <c r="E402" t="s">
        <v>13</v>
      </c>
      <c r="F402" t="s">
        <v>14</v>
      </c>
      <c r="G402" t="s">
        <v>15</v>
      </c>
      <c r="H402" s="5">
        <v>45474</v>
      </c>
      <c r="I402" t="s">
        <v>593</v>
      </c>
      <c r="J402" t="s">
        <v>71</v>
      </c>
      <c r="K402" t="s">
        <v>138</v>
      </c>
      <c r="L402" s="1">
        <v>45474</v>
      </c>
      <c r="M402">
        <v>2024</v>
      </c>
    </row>
    <row r="403" spans="1:13" x14ac:dyDescent="0.25">
      <c r="A403" t="s">
        <v>604</v>
      </c>
      <c r="B403">
        <v>7497</v>
      </c>
      <c r="C403">
        <v>319</v>
      </c>
      <c r="D403">
        <v>18</v>
      </c>
      <c r="E403" t="s">
        <v>45</v>
      </c>
      <c r="F403" t="s">
        <v>49</v>
      </c>
      <c r="G403" t="s">
        <v>65</v>
      </c>
      <c r="H403" s="5">
        <v>45334</v>
      </c>
      <c r="I403" t="s">
        <v>605</v>
      </c>
      <c r="J403" t="s">
        <v>21</v>
      </c>
      <c r="K403" t="s">
        <v>172</v>
      </c>
      <c r="L403" s="1">
        <v>45323</v>
      </c>
      <c r="M403">
        <v>2024</v>
      </c>
    </row>
    <row r="404" spans="1:13" x14ac:dyDescent="0.25">
      <c r="A404" t="s">
        <v>610</v>
      </c>
      <c r="B404">
        <v>7792</v>
      </c>
      <c r="C404">
        <v>1403</v>
      </c>
      <c r="D404">
        <v>13</v>
      </c>
      <c r="E404" t="s">
        <v>30</v>
      </c>
      <c r="F404" t="s">
        <v>64</v>
      </c>
      <c r="G404" t="s">
        <v>15</v>
      </c>
      <c r="H404" s="5">
        <v>45310</v>
      </c>
      <c r="I404" t="s">
        <v>613</v>
      </c>
      <c r="J404" t="s">
        <v>42</v>
      </c>
      <c r="K404" t="s">
        <v>75</v>
      </c>
      <c r="L404" s="1">
        <v>45292</v>
      </c>
      <c r="M404">
        <v>2024</v>
      </c>
    </row>
    <row r="405" spans="1:13" x14ac:dyDescent="0.25">
      <c r="A405" t="s">
        <v>610</v>
      </c>
      <c r="B405">
        <v>2346</v>
      </c>
      <c r="C405">
        <v>388</v>
      </c>
      <c r="D405">
        <v>14</v>
      </c>
      <c r="E405" t="s">
        <v>45</v>
      </c>
      <c r="F405" t="s">
        <v>49</v>
      </c>
      <c r="G405" t="s">
        <v>32</v>
      </c>
      <c r="H405" s="5">
        <v>45310</v>
      </c>
      <c r="I405" t="s">
        <v>613</v>
      </c>
      <c r="J405" t="s">
        <v>42</v>
      </c>
      <c r="K405" t="s">
        <v>75</v>
      </c>
      <c r="L405" s="1">
        <v>45292</v>
      </c>
      <c r="M405">
        <v>2024</v>
      </c>
    </row>
    <row r="406" spans="1:13" x14ac:dyDescent="0.25">
      <c r="A406" t="s">
        <v>618</v>
      </c>
      <c r="B406">
        <v>2895</v>
      </c>
      <c r="C406">
        <v>104</v>
      </c>
      <c r="D406">
        <v>6</v>
      </c>
      <c r="E406" t="s">
        <v>45</v>
      </c>
      <c r="F406" t="s">
        <v>49</v>
      </c>
      <c r="G406" t="s">
        <v>65</v>
      </c>
      <c r="H406" s="5">
        <v>45425</v>
      </c>
      <c r="I406" t="s">
        <v>620</v>
      </c>
      <c r="J406" t="s">
        <v>71</v>
      </c>
      <c r="K406" t="s">
        <v>138</v>
      </c>
      <c r="L406" s="1">
        <v>45413</v>
      </c>
      <c r="M406">
        <v>2024</v>
      </c>
    </row>
    <row r="407" spans="1:13" x14ac:dyDescent="0.25">
      <c r="A407" t="s">
        <v>618</v>
      </c>
      <c r="B407">
        <v>697</v>
      </c>
      <c r="C407">
        <v>116</v>
      </c>
      <c r="D407">
        <v>1</v>
      </c>
      <c r="E407" t="s">
        <v>45</v>
      </c>
      <c r="F407" t="s">
        <v>49</v>
      </c>
      <c r="G407" t="s">
        <v>15</v>
      </c>
      <c r="H407" s="5">
        <v>45425</v>
      </c>
      <c r="I407" t="s">
        <v>620</v>
      </c>
      <c r="J407" t="s">
        <v>71</v>
      </c>
      <c r="K407" t="s">
        <v>138</v>
      </c>
      <c r="L407" s="1">
        <v>45413</v>
      </c>
      <c r="M407">
        <v>2024</v>
      </c>
    </row>
    <row r="408" spans="1:13" x14ac:dyDescent="0.25">
      <c r="A408" t="s">
        <v>646</v>
      </c>
      <c r="B408">
        <v>6200</v>
      </c>
      <c r="C408">
        <v>2321</v>
      </c>
      <c r="D408">
        <v>18</v>
      </c>
      <c r="E408" t="s">
        <v>45</v>
      </c>
      <c r="F408" t="s">
        <v>46</v>
      </c>
      <c r="G408" t="s">
        <v>47</v>
      </c>
      <c r="H408" s="5">
        <v>45484</v>
      </c>
      <c r="I408" t="s">
        <v>647</v>
      </c>
      <c r="J408" t="s">
        <v>42</v>
      </c>
      <c r="K408" t="s">
        <v>43</v>
      </c>
      <c r="L408" s="1">
        <v>45474</v>
      </c>
      <c r="M408">
        <v>2024</v>
      </c>
    </row>
    <row r="409" spans="1:13" x14ac:dyDescent="0.25">
      <c r="A409" t="s">
        <v>646</v>
      </c>
      <c r="B409">
        <v>6200</v>
      </c>
      <c r="C409">
        <v>2321</v>
      </c>
      <c r="D409">
        <v>18</v>
      </c>
      <c r="E409" t="s">
        <v>45</v>
      </c>
      <c r="F409" t="s">
        <v>46</v>
      </c>
      <c r="G409" t="s">
        <v>47</v>
      </c>
      <c r="H409" s="5">
        <v>45556</v>
      </c>
      <c r="I409" t="s">
        <v>648</v>
      </c>
      <c r="J409" t="s">
        <v>17</v>
      </c>
      <c r="K409" t="s">
        <v>18</v>
      </c>
      <c r="L409" s="1">
        <v>45536</v>
      </c>
      <c r="M409">
        <v>2024</v>
      </c>
    </row>
    <row r="410" spans="1:13" x14ac:dyDescent="0.25">
      <c r="A410" t="s">
        <v>673</v>
      </c>
      <c r="B410">
        <v>4852</v>
      </c>
      <c r="C410">
        <v>218</v>
      </c>
      <c r="D410">
        <v>2</v>
      </c>
      <c r="E410" t="s">
        <v>45</v>
      </c>
      <c r="F410" t="s">
        <v>46</v>
      </c>
      <c r="G410" t="s">
        <v>40</v>
      </c>
      <c r="H410" s="5">
        <v>45406</v>
      </c>
      <c r="I410" t="s">
        <v>674</v>
      </c>
      <c r="J410" t="s">
        <v>71</v>
      </c>
      <c r="K410" t="s">
        <v>72</v>
      </c>
      <c r="L410" s="1">
        <v>45383</v>
      </c>
      <c r="M410">
        <v>2024</v>
      </c>
    </row>
    <row r="411" spans="1:13" x14ac:dyDescent="0.25">
      <c r="A411" t="s">
        <v>679</v>
      </c>
      <c r="B411">
        <v>3288</v>
      </c>
      <c r="C411">
        <v>1477</v>
      </c>
      <c r="D411">
        <v>3</v>
      </c>
      <c r="E411" t="s">
        <v>30</v>
      </c>
      <c r="F411" t="s">
        <v>31</v>
      </c>
      <c r="G411" t="s">
        <v>40</v>
      </c>
      <c r="H411" s="5">
        <v>45438</v>
      </c>
      <c r="I411" t="s">
        <v>680</v>
      </c>
      <c r="J411" t="s">
        <v>71</v>
      </c>
      <c r="K411" t="s">
        <v>86</v>
      </c>
      <c r="L411" s="1">
        <v>45413</v>
      </c>
      <c r="M411">
        <v>2024</v>
      </c>
    </row>
    <row r="412" spans="1:13" x14ac:dyDescent="0.25">
      <c r="A412" t="s">
        <v>682</v>
      </c>
      <c r="B412">
        <v>3977</v>
      </c>
      <c r="C412">
        <v>813</v>
      </c>
      <c r="D412">
        <v>5</v>
      </c>
      <c r="E412" t="s">
        <v>30</v>
      </c>
      <c r="F412" t="s">
        <v>78</v>
      </c>
      <c r="G412" t="s">
        <v>47</v>
      </c>
      <c r="H412" s="5">
        <v>45635</v>
      </c>
      <c r="I412" t="s">
        <v>683</v>
      </c>
      <c r="J412" t="s">
        <v>25</v>
      </c>
      <c r="K412" t="s">
        <v>51</v>
      </c>
      <c r="L412" s="1">
        <v>45627</v>
      </c>
      <c r="M412">
        <v>2024</v>
      </c>
    </row>
    <row r="413" spans="1:13" x14ac:dyDescent="0.25">
      <c r="A413" t="s">
        <v>698</v>
      </c>
      <c r="B413">
        <v>5343</v>
      </c>
      <c r="C413">
        <v>655</v>
      </c>
      <c r="D413">
        <v>1</v>
      </c>
      <c r="E413" t="s">
        <v>45</v>
      </c>
      <c r="F413" t="s">
        <v>49</v>
      </c>
      <c r="G413" t="s">
        <v>40</v>
      </c>
      <c r="H413" s="5">
        <v>45395</v>
      </c>
      <c r="I413" t="s">
        <v>699</v>
      </c>
      <c r="J413" t="s">
        <v>42</v>
      </c>
      <c r="K413" t="s">
        <v>75</v>
      </c>
      <c r="L413" s="1">
        <v>45383</v>
      </c>
      <c r="M413">
        <v>2024</v>
      </c>
    </row>
    <row r="414" spans="1:13" x14ac:dyDescent="0.25">
      <c r="A414" t="s">
        <v>702</v>
      </c>
      <c r="B414">
        <v>5306</v>
      </c>
      <c r="C414">
        <v>2405</v>
      </c>
      <c r="D414">
        <v>17</v>
      </c>
      <c r="E414" t="s">
        <v>45</v>
      </c>
      <c r="F414" t="s">
        <v>46</v>
      </c>
      <c r="G414" t="s">
        <v>40</v>
      </c>
      <c r="H414" s="5">
        <v>45374</v>
      </c>
      <c r="I414" t="s">
        <v>703</v>
      </c>
      <c r="J414" t="s">
        <v>25</v>
      </c>
      <c r="K414" t="s">
        <v>26</v>
      </c>
      <c r="L414" s="1">
        <v>45352</v>
      </c>
      <c r="M414">
        <v>2024</v>
      </c>
    </row>
    <row r="415" spans="1:13" x14ac:dyDescent="0.25">
      <c r="A415" t="s">
        <v>711</v>
      </c>
      <c r="B415">
        <v>9808</v>
      </c>
      <c r="C415">
        <v>2117</v>
      </c>
      <c r="D415">
        <v>2</v>
      </c>
      <c r="E415" t="s">
        <v>30</v>
      </c>
      <c r="F415" t="s">
        <v>31</v>
      </c>
      <c r="G415" t="s">
        <v>15</v>
      </c>
      <c r="H415" s="5">
        <v>45405</v>
      </c>
      <c r="I415" t="s">
        <v>712</v>
      </c>
      <c r="J415" t="s">
        <v>42</v>
      </c>
      <c r="K415" t="s">
        <v>43</v>
      </c>
      <c r="L415" s="1">
        <v>45383</v>
      </c>
      <c r="M415">
        <v>2024</v>
      </c>
    </row>
    <row r="416" spans="1:13" x14ac:dyDescent="0.25">
      <c r="A416" t="s">
        <v>713</v>
      </c>
      <c r="B416">
        <v>1133</v>
      </c>
      <c r="C416">
        <v>73</v>
      </c>
      <c r="D416">
        <v>17</v>
      </c>
      <c r="E416" t="s">
        <v>45</v>
      </c>
      <c r="F416" t="s">
        <v>49</v>
      </c>
      <c r="G416" t="s">
        <v>15</v>
      </c>
      <c r="H416" s="5">
        <v>45449</v>
      </c>
      <c r="I416" t="s">
        <v>715</v>
      </c>
      <c r="J416" t="s">
        <v>42</v>
      </c>
      <c r="K416" t="s">
        <v>75</v>
      </c>
      <c r="L416" s="1">
        <v>45444</v>
      </c>
      <c r="M416">
        <v>2024</v>
      </c>
    </row>
    <row r="417" spans="1:13" x14ac:dyDescent="0.25">
      <c r="A417" t="s">
        <v>713</v>
      </c>
      <c r="B417">
        <v>6248</v>
      </c>
      <c r="C417">
        <v>1168</v>
      </c>
      <c r="D417">
        <v>19</v>
      </c>
      <c r="E417" t="s">
        <v>45</v>
      </c>
      <c r="F417" t="s">
        <v>109</v>
      </c>
      <c r="G417" t="s">
        <v>65</v>
      </c>
      <c r="H417" s="5">
        <v>45449</v>
      </c>
      <c r="I417" t="s">
        <v>715</v>
      </c>
      <c r="J417" t="s">
        <v>42</v>
      </c>
      <c r="K417" t="s">
        <v>75</v>
      </c>
      <c r="L417" s="1">
        <v>45444</v>
      </c>
      <c r="M417">
        <v>2024</v>
      </c>
    </row>
    <row r="418" spans="1:13" x14ac:dyDescent="0.25">
      <c r="A418" t="s">
        <v>723</v>
      </c>
      <c r="B418">
        <v>5410</v>
      </c>
      <c r="C418">
        <v>2456</v>
      </c>
      <c r="D418">
        <v>8</v>
      </c>
      <c r="E418" t="s">
        <v>45</v>
      </c>
      <c r="F418" t="s">
        <v>49</v>
      </c>
      <c r="G418" t="s">
        <v>47</v>
      </c>
      <c r="H418" s="5">
        <v>45441</v>
      </c>
      <c r="I418" t="s">
        <v>724</v>
      </c>
      <c r="J418" t="s">
        <v>42</v>
      </c>
      <c r="K418" t="s">
        <v>43</v>
      </c>
      <c r="L418" s="1">
        <v>45413</v>
      </c>
      <c r="M418">
        <v>2024</v>
      </c>
    </row>
    <row r="419" spans="1:13" x14ac:dyDescent="0.25">
      <c r="A419" t="s">
        <v>726</v>
      </c>
      <c r="B419">
        <v>3024</v>
      </c>
      <c r="C419">
        <v>1353</v>
      </c>
      <c r="D419">
        <v>1</v>
      </c>
      <c r="E419" t="s">
        <v>45</v>
      </c>
      <c r="F419" t="s">
        <v>60</v>
      </c>
      <c r="G419" t="s">
        <v>47</v>
      </c>
      <c r="H419" s="5">
        <v>45414</v>
      </c>
      <c r="I419" t="s">
        <v>727</v>
      </c>
      <c r="J419" t="s">
        <v>42</v>
      </c>
      <c r="K419" t="s">
        <v>43</v>
      </c>
      <c r="L419" s="1">
        <v>45413</v>
      </c>
      <c r="M419">
        <v>2024</v>
      </c>
    </row>
    <row r="420" spans="1:13" x14ac:dyDescent="0.25">
      <c r="A420" t="s">
        <v>754</v>
      </c>
      <c r="B420">
        <v>5632</v>
      </c>
      <c r="C420">
        <v>2358</v>
      </c>
      <c r="D420">
        <v>20</v>
      </c>
      <c r="E420" t="s">
        <v>45</v>
      </c>
      <c r="F420" t="s">
        <v>60</v>
      </c>
      <c r="G420" t="s">
        <v>47</v>
      </c>
      <c r="H420" s="5">
        <v>45333</v>
      </c>
      <c r="I420" t="s">
        <v>756</v>
      </c>
      <c r="J420" t="s">
        <v>17</v>
      </c>
      <c r="K420" t="s">
        <v>18</v>
      </c>
      <c r="L420" s="1">
        <v>45323</v>
      </c>
      <c r="M420">
        <v>2024</v>
      </c>
    </row>
    <row r="421" spans="1:13" x14ac:dyDescent="0.25">
      <c r="A421" t="s">
        <v>766</v>
      </c>
      <c r="B421">
        <v>5730</v>
      </c>
      <c r="C421">
        <v>482</v>
      </c>
      <c r="D421">
        <v>6</v>
      </c>
      <c r="E421" t="s">
        <v>13</v>
      </c>
      <c r="F421" t="s">
        <v>39</v>
      </c>
      <c r="G421" t="s">
        <v>65</v>
      </c>
      <c r="H421" s="5">
        <v>45525</v>
      </c>
      <c r="I421" t="s">
        <v>767</v>
      </c>
      <c r="J421" t="s">
        <v>17</v>
      </c>
      <c r="K421" t="s">
        <v>150</v>
      </c>
      <c r="L421" s="1">
        <v>45505</v>
      </c>
      <c r="M421">
        <v>2024</v>
      </c>
    </row>
    <row r="422" spans="1:13" x14ac:dyDescent="0.25">
      <c r="A422" t="s">
        <v>776</v>
      </c>
      <c r="B422">
        <v>7122</v>
      </c>
      <c r="C422">
        <v>1836</v>
      </c>
      <c r="D422">
        <v>6</v>
      </c>
      <c r="E422" t="s">
        <v>13</v>
      </c>
      <c r="F422" t="s">
        <v>82</v>
      </c>
      <c r="G422" t="s">
        <v>32</v>
      </c>
      <c r="H422" s="5">
        <v>45407</v>
      </c>
      <c r="I422" t="s">
        <v>777</v>
      </c>
      <c r="J422" t="s">
        <v>71</v>
      </c>
      <c r="K422" t="s">
        <v>72</v>
      </c>
      <c r="L422" s="1">
        <v>45383</v>
      </c>
      <c r="M422">
        <v>2024</v>
      </c>
    </row>
    <row r="423" spans="1:13" x14ac:dyDescent="0.25">
      <c r="A423" t="s">
        <v>776</v>
      </c>
      <c r="B423">
        <v>7327</v>
      </c>
      <c r="C423">
        <v>2596</v>
      </c>
      <c r="D423">
        <v>15</v>
      </c>
      <c r="E423" t="s">
        <v>30</v>
      </c>
      <c r="F423" t="s">
        <v>57</v>
      </c>
      <c r="G423" t="s">
        <v>47</v>
      </c>
      <c r="H423" s="5">
        <v>45407</v>
      </c>
      <c r="I423" t="s">
        <v>777</v>
      </c>
      <c r="J423" t="s">
        <v>71</v>
      </c>
      <c r="K423" t="s">
        <v>72</v>
      </c>
      <c r="L423" s="1">
        <v>45383</v>
      </c>
      <c r="M423">
        <v>2024</v>
      </c>
    </row>
    <row r="424" spans="1:13" x14ac:dyDescent="0.25">
      <c r="A424" t="s">
        <v>780</v>
      </c>
      <c r="B424">
        <v>2239</v>
      </c>
      <c r="C424">
        <v>1094</v>
      </c>
      <c r="D424">
        <v>18</v>
      </c>
      <c r="E424" t="s">
        <v>13</v>
      </c>
      <c r="F424" t="s">
        <v>28</v>
      </c>
      <c r="G424" t="s">
        <v>65</v>
      </c>
      <c r="H424" s="5">
        <v>45501</v>
      </c>
      <c r="I424" t="s">
        <v>781</v>
      </c>
      <c r="J424" t="s">
        <v>17</v>
      </c>
      <c r="K424" t="s">
        <v>150</v>
      </c>
      <c r="L424" s="1">
        <v>45474</v>
      </c>
      <c r="M424">
        <v>2024</v>
      </c>
    </row>
    <row r="425" spans="1:13" x14ac:dyDescent="0.25">
      <c r="A425" t="s">
        <v>780</v>
      </c>
      <c r="B425">
        <v>4932</v>
      </c>
      <c r="C425">
        <v>1153</v>
      </c>
      <c r="D425">
        <v>1</v>
      </c>
      <c r="E425" t="s">
        <v>30</v>
      </c>
      <c r="F425" t="s">
        <v>57</v>
      </c>
      <c r="G425" t="s">
        <v>65</v>
      </c>
      <c r="H425" s="5">
        <v>45501</v>
      </c>
      <c r="I425" t="s">
        <v>781</v>
      </c>
      <c r="J425" t="s">
        <v>17</v>
      </c>
      <c r="K425" t="s">
        <v>150</v>
      </c>
      <c r="L425" s="1">
        <v>45474</v>
      </c>
      <c r="M425">
        <v>2024</v>
      </c>
    </row>
    <row r="426" spans="1:13" x14ac:dyDescent="0.25">
      <c r="A426" t="s">
        <v>784</v>
      </c>
      <c r="B426">
        <v>1388</v>
      </c>
      <c r="C426">
        <v>345</v>
      </c>
      <c r="D426">
        <v>5</v>
      </c>
      <c r="E426" t="s">
        <v>45</v>
      </c>
      <c r="F426" t="s">
        <v>60</v>
      </c>
      <c r="G426" t="s">
        <v>15</v>
      </c>
      <c r="H426" s="5">
        <v>45570</v>
      </c>
      <c r="I426" t="s">
        <v>785</v>
      </c>
      <c r="J426" t="s">
        <v>25</v>
      </c>
      <c r="K426" t="s">
        <v>51</v>
      </c>
      <c r="L426" s="1">
        <v>45566</v>
      </c>
      <c r="M426">
        <v>2024</v>
      </c>
    </row>
    <row r="427" spans="1:13" x14ac:dyDescent="0.25">
      <c r="A427" t="s">
        <v>784</v>
      </c>
      <c r="B427">
        <v>8555</v>
      </c>
      <c r="C427">
        <v>1638</v>
      </c>
      <c r="D427">
        <v>8</v>
      </c>
      <c r="E427" t="s">
        <v>13</v>
      </c>
      <c r="F427" t="s">
        <v>39</v>
      </c>
      <c r="G427" t="s">
        <v>47</v>
      </c>
      <c r="H427" s="5">
        <v>45570</v>
      </c>
      <c r="I427" t="s">
        <v>785</v>
      </c>
      <c r="J427" t="s">
        <v>25</v>
      </c>
      <c r="K427" t="s">
        <v>51</v>
      </c>
      <c r="L427" s="1">
        <v>45566</v>
      </c>
      <c r="M427">
        <v>2024</v>
      </c>
    </row>
    <row r="428" spans="1:13" x14ac:dyDescent="0.25">
      <c r="A428" t="s">
        <v>786</v>
      </c>
      <c r="B428">
        <v>9024</v>
      </c>
      <c r="C428">
        <v>730</v>
      </c>
      <c r="D428">
        <v>4</v>
      </c>
      <c r="E428" t="s">
        <v>45</v>
      </c>
      <c r="F428" t="s">
        <v>46</v>
      </c>
      <c r="G428" t="s">
        <v>47</v>
      </c>
      <c r="H428" s="5">
        <v>45342</v>
      </c>
      <c r="I428" t="s">
        <v>787</v>
      </c>
      <c r="J428" t="s">
        <v>71</v>
      </c>
      <c r="K428" t="s">
        <v>72</v>
      </c>
      <c r="L428" s="1">
        <v>45323</v>
      </c>
      <c r="M428">
        <v>2024</v>
      </c>
    </row>
    <row r="429" spans="1:13" x14ac:dyDescent="0.25">
      <c r="A429" t="s">
        <v>786</v>
      </c>
      <c r="B429">
        <v>2468</v>
      </c>
      <c r="C429">
        <v>418</v>
      </c>
      <c r="D429">
        <v>4</v>
      </c>
      <c r="E429" t="s">
        <v>13</v>
      </c>
      <c r="F429" t="s">
        <v>39</v>
      </c>
      <c r="G429" t="s">
        <v>47</v>
      </c>
      <c r="H429" s="5">
        <v>45342</v>
      </c>
      <c r="I429" t="s">
        <v>787</v>
      </c>
      <c r="J429" t="s">
        <v>71</v>
      </c>
      <c r="K429" t="s">
        <v>72</v>
      </c>
      <c r="L429" s="1">
        <v>45323</v>
      </c>
      <c r="M429">
        <v>2024</v>
      </c>
    </row>
    <row r="430" spans="1:13" x14ac:dyDescent="0.25">
      <c r="A430" t="s">
        <v>794</v>
      </c>
      <c r="B430">
        <v>7195</v>
      </c>
      <c r="C430">
        <v>1665</v>
      </c>
      <c r="D430">
        <v>7</v>
      </c>
      <c r="E430" t="s">
        <v>30</v>
      </c>
      <c r="F430" t="s">
        <v>57</v>
      </c>
      <c r="G430" t="s">
        <v>65</v>
      </c>
      <c r="H430" s="5">
        <v>45500</v>
      </c>
      <c r="I430" t="s">
        <v>795</v>
      </c>
      <c r="J430" t="s">
        <v>25</v>
      </c>
      <c r="K430" t="s">
        <v>68</v>
      </c>
      <c r="L430" s="1">
        <v>45474</v>
      </c>
      <c r="M430">
        <v>2024</v>
      </c>
    </row>
    <row r="431" spans="1:13" x14ac:dyDescent="0.25">
      <c r="A431" t="s">
        <v>797</v>
      </c>
      <c r="B431">
        <v>3098</v>
      </c>
      <c r="C431">
        <v>957</v>
      </c>
      <c r="D431">
        <v>18</v>
      </c>
      <c r="E431" t="s">
        <v>45</v>
      </c>
      <c r="F431" t="s">
        <v>109</v>
      </c>
      <c r="G431" t="s">
        <v>65</v>
      </c>
      <c r="H431" s="5">
        <v>45477</v>
      </c>
      <c r="I431" t="s">
        <v>798</v>
      </c>
      <c r="J431" t="s">
        <v>71</v>
      </c>
      <c r="K431" t="s">
        <v>86</v>
      </c>
      <c r="L431" s="1">
        <v>45474</v>
      </c>
      <c r="M431">
        <v>2024</v>
      </c>
    </row>
    <row r="432" spans="1:13" x14ac:dyDescent="0.25">
      <c r="A432" t="s">
        <v>799</v>
      </c>
      <c r="B432">
        <v>5412</v>
      </c>
      <c r="C432">
        <v>1192</v>
      </c>
      <c r="D432">
        <v>18</v>
      </c>
      <c r="E432" t="s">
        <v>45</v>
      </c>
      <c r="F432" t="s">
        <v>46</v>
      </c>
      <c r="G432" t="s">
        <v>47</v>
      </c>
      <c r="H432" s="5">
        <v>45350</v>
      </c>
      <c r="I432" t="s">
        <v>800</v>
      </c>
      <c r="J432" t="s">
        <v>42</v>
      </c>
      <c r="K432" t="s">
        <v>75</v>
      </c>
      <c r="L432" s="1">
        <v>45323</v>
      </c>
      <c r="M432">
        <v>2024</v>
      </c>
    </row>
    <row r="433" spans="1:13" x14ac:dyDescent="0.25">
      <c r="A433" t="s">
        <v>809</v>
      </c>
      <c r="B433">
        <v>9653</v>
      </c>
      <c r="C433">
        <v>2471</v>
      </c>
      <c r="D433">
        <v>6</v>
      </c>
      <c r="E433" t="s">
        <v>30</v>
      </c>
      <c r="F433" t="s">
        <v>64</v>
      </c>
      <c r="G433" t="s">
        <v>15</v>
      </c>
      <c r="H433" s="5">
        <v>45481</v>
      </c>
      <c r="I433" t="s">
        <v>810</v>
      </c>
      <c r="J433" t="s">
        <v>25</v>
      </c>
      <c r="K433" t="s">
        <v>26</v>
      </c>
      <c r="L433" s="1">
        <v>45474</v>
      </c>
      <c r="M433">
        <v>2024</v>
      </c>
    </row>
    <row r="434" spans="1:13" x14ac:dyDescent="0.25">
      <c r="A434" t="s">
        <v>826</v>
      </c>
      <c r="B434">
        <v>2858</v>
      </c>
      <c r="C434">
        <v>482</v>
      </c>
      <c r="D434">
        <v>13</v>
      </c>
      <c r="E434" t="s">
        <v>13</v>
      </c>
      <c r="F434" t="s">
        <v>14</v>
      </c>
      <c r="G434" t="s">
        <v>65</v>
      </c>
      <c r="H434" s="5">
        <v>45436</v>
      </c>
      <c r="I434" t="s">
        <v>827</v>
      </c>
      <c r="J434" t="s">
        <v>71</v>
      </c>
      <c r="K434" t="s">
        <v>86</v>
      </c>
      <c r="L434" s="1">
        <v>45413</v>
      </c>
      <c r="M434">
        <v>2024</v>
      </c>
    </row>
    <row r="435" spans="1:13" x14ac:dyDescent="0.25">
      <c r="A435" t="s">
        <v>830</v>
      </c>
      <c r="B435">
        <v>3913</v>
      </c>
      <c r="C435">
        <v>961</v>
      </c>
      <c r="D435">
        <v>15</v>
      </c>
      <c r="E435" t="s">
        <v>45</v>
      </c>
      <c r="F435" t="s">
        <v>60</v>
      </c>
      <c r="G435" t="s">
        <v>15</v>
      </c>
      <c r="H435" s="5">
        <v>45332</v>
      </c>
      <c r="I435" t="s">
        <v>831</v>
      </c>
      <c r="J435" t="s">
        <v>98</v>
      </c>
      <c r="K435" t="s">
        <v>99</v>
      </c>
      <c r="L435" s="1">
        <v>45323</v>
      </c>
      <c r="M435">
        <v>2024</v>
      </c>
    </row>
    <row r="436" spans="1:13" x14ac:dyDescent="0.25">
      <c r="A436" t="s">
        <v>835</v>
      </c>
      <c r="B436">
        <v>1579</v>
      </c>
      <c r="C436">
        <v>602</v>
      </c>
      <c r="D436">
        <v>9</v>
      </c>
      <c r="E436" t="s">
        <v>13</v>
      </c>
      <c r="F436" t="s">
        <v>39</v>
      </c>
      <c r="G436" t="s">
        <v>47</v>
      </c>
      <c r="H436" s="5">
        <v>45543</v>
      </c>
      <c r="I436" t="s">
        <v>839</v>
      </c>
      <c r="J436" t="s">
        <v>25</v>
      </c>
      <c r="K436" t="s">
        <v>68</v>
      </c>
      <c r="L436" s="1">
        <v>45536</v>
      </c>
      <c r="M436">
        <v>2024</v>
      </c>
    </row>
    <row r="437" spans="1:13" x14ac:dyDescent="0.25">
      <c r="A437" t="s">
        <v>835</v>
      </c>
      <c r="B437">
        <v>3760</v>
      </c>
      <c r="C437">
        <v>1849</v>
      </c>
      <c r="D437">
        <v>19</v>
      </c>
      <c r="E437" t="s">
        <v>45</v>
      </c>
      <c r="F437" t="s">
        <v>49</v>
      </c>
      <c r="G437" t="s">
        <v>40</v>
      </c>
      <c r="H437" s="5">
        <v>45543</v>
      </c>
      <c r="I437" t="s">
        <v>839</v>
      </c>
      <c r="J437" t="s">
        <v>25</v>
      </c>
      <c r="K437" t="s">
        <v>68</v>
      </c>
      <c r="L437" s="1">
        <v>45536</v>
      </c>
      <c r="M437">
        <v>2024</v>
      </c>
    </row>
    <row r="438" spans="1:13" x14ac:dyDescent="0.25">
      <c r="A438" t="s">
        <v>850</v>
      </c>
      <c r="B438">
        <v>717</v>
      </c>
      <c r="C438">
        <v>158</v>
      </c>
      <c r="D438">
        <v>16</v>
      </c>
      <c r="E438" t="s">
        <v>45</v>
      </c>
      <c r="F438" t="s">
        <v>46</v>
      </c>
      <c r="G438" t="s">
        <v>47</v>
      </c>
      <c r="H438" s="5">
        <v>45620</v>
      </c>
      <c r="I438" t="s">
        <v>854</v>
      </c>
      <c r="J438" t="s">
        <v>25</v>
      </c>
      <c r="K438" t="s">
        <v>51</v>
      </c>
      <c r="L438" s="1">
        <v>45597</v>
      </c>
      <c r="M438">
        <v>2024</v>
      </c>
    </row>
    <row r="439" spans="1:13" x14ac:dyDescent="0.25">
      <c r="A439" t="s">
        <v>850</v>
      </c>
      <c r="B439">
        <v>508</v>
      </c>
      <c r="C439">
        <v>177</v>
      </c>
      <c r="D439">
        <v>17</v>
      </c>
      <c r="E439" t="s">
        <v>45</v>
      </c>
      <c r="F439" t="s">
        <v>60</v>
      </c>
      <c r="G439" t="s">
        <v>15</v>
      </c>
      <c r="H439" s="5">
        <v>45620</v>
      </c>
      <c r="I439" t="s">
        <v>854</v>
      </c>
      <c r="J439" t="s">
        <v>25</v>
      </c>
      <c r="K439" t="s">
        <v>51</v>
      </c>
      <c r="L439" s="1">
        <v>45597</v>
      </c>
      <c r="M439">
        <v>2024</v>
      </c>
    </row>
    <row r="440" spans="1:13" x14ac:dyDescent="0.25">
      <c r="A440" t="s">
        <v>860</v>
      </c>
      <c r="B440">
        <v>2663</v>
      </c>
      <c r="C440">
        <v>64</v>
      </c>
      <c r="D440">
        <v>19</v>
      </c>
      <c r="E440" t="s">
        <v>45</v>
      </c>
      <c r="F440" t="s">
        <v>60</v>
      </c>
      <c r="G440" t="s">
        <v>65</v>
      </c>
      <c r="H440" s="5">
        <v>45459</v>
      </c>
      <c r="I440" t="s">
        <v>861</v>
      </c>
      <c r="J440" t="s">
        <v>42</v>
      </c>
      <c r="K440" t="s">
        <v>92</v>
      </c>
      <c r="L440" s="1">
        <v>45444</v>
      </c>
      <c r="M440">
        <v>2024</v>
      </c>
    </row>
    <row r="441" spans="1:13" x14ac:dyDescent="0.25">
      <c r="A441" t="s">
        <v>883</v>
      </c>
      <c r="B441">
        <v>2710</v>
      </c>
      <c r="C441">
        <v>555</v>
      </c>
      <c r="D441">
        <v>20</v>
      </c>
      <c r="E441" t="s">
        <v>13</v>
      </c>
      <c r="F441" t="s">
        <v>39</v>
      </c>
      <c r="G441" t="s">
        <v>32</v>
      </c>
      <c r="H441" s="5">
        <v>45586</v>
      </c>
      <c r="I441" t="s">
        <v>884</v>
      </c>
      <c r="J441" t="s">
        <v>21</v>
      </c>
      <c r="K441" t="s">
        <v>22</v>
      </c>
      <c r="L441" s="1">
        <v>45566</v>
      </c>
      <c r="M441">
        <v>2024</v>
      </c>
    </row>
    <row r="442" spans="1:13" x14ac:dyDescent="0.25">
      <c r="A442" t="s">
        <v>883</v>
      </c>
      <c r="B442">
        <v>3224</v>
      </c>
      <c r="C442">
        <v>1018</v>
      </c>
      <c r="D442">
        <v>14</v>
      </c>
      <c r="E442" t="s">
        <v>30</v>
      </c>
      <c r="F442" t="s">
        <v>78</v>
      </c>
      <c r="G442" t="s">
        <v>15</v>
      </c>
      <c r="H442" s="5">
        <v>45586</v>
      </c>
      <c r="I442" t="s">
        <v>884</v>
      </c>
      <c r="J442" t="s">
        <v>21</v>
      </c>
      <c r="K442" t="s">
        <v>22</v>
      </c>
      <c r="L442" s="1">
        <v>45566</v>
      </c>
      <c r="M442">
        <v>2024</v>
      </c>
    </row>
    <row r="443" spans="1:13" x14ac:dyDescent="0.25">
      <c r="A443" t="s">
        <v>892</v>
      </c>
      <c r="B443">
        <v>2957</v>
      </c>
      <c r="C443">
        <v>917</v>
      </c>
      <c r="D443">
        <v>16</v>
      </c>
      <c r="E443" t="s">
        <v>30</v>
      </c>
      <c r="F443" t="s">
        <v>31</v>
      </c>
      <c r="G443" t="s">
        <v>32</v>
      </c>
      <c r="H443" s="5">
        <v>45613</v>
      </c>
      <c r="I443" t="s">
        <v>893</v>
      </c>
      <c r="J443" t="s">
        <v>21</v>
      </c>
      <c r="K443" t="s">
        <v>22</v>
      </c>
      <c r="L443" s="1">
        <v>45597</v>
      </c>
      <c r="M443">
        <v>2024</v>
      </c>
    </row>
    <row r="444" spans="1:13" x14ac:dyDescent="0.25">
      <c r="A444" t="s">
        <v>904</v>
      </c>
      <c r="B444">
        <v>2944</v>
      </c>
      <c r="C444">
        <v>249</v>
      </c>
      <c r="D444">
        <v>5</v>
      </c>
      <c r="E444" t="s">
        <v>30</v>
      </c>
      <c r="F444" t="s">
        <v>78</v>
      </c>
      <c r="G444" t="s">
        <v>47</v>
      </c>
      <c r="H444" s="5">
        <v>45535</v>
      </c>
      <c r="I444" t="s">
        <v>905</v>
      </c>
      <c r="J444" t="s">
        <v>98</v>
      </c>
      <c r="K444" t="s">
        <v>99</v>
      </c>
      <c r="L444" s="1">
        <v>45505</v>
      </c>
      <c r="M444">
        <v>2024</v>
      </c>
    </row>
    <row r="445" spans="1:13" x14ac:dyDescent="0.25">
      <c r="A445" t="s">
        <v>907</v>
      </c>
      <c r="B445">
        <v>4220</v>
      </c>
      <c r="C445">
        <v>945</v>
      </c>
      <c r="D445">
        <v>13</v>
      </c>
      <c r="E445" t="s">
        <v>30</v>
      </c>
      <c r="F445" t="s">
        <v>57</v>
      </c>
      <c r="G445" t="s">
        <v>40</v>
      </c>
      <c r="H445" s="5">
        <v>45372</v>
      </c>
      <c r="I445" t="s">
        <v>908</v>
      </c>
      <c r="J445" t="s">
        <v>21</v>
      </c>
      <c r="K445" t="s">
        <v>63</v>
      </c>
      <c r="L445" s="1">
        <v>45352</v>
      </c>
      <c r="M445">
        <v>2024</v>
      </c>
    </row>
    <row r="446" spans="1:13" x14ac:dyDescent="0.25">
      <c r="A446" t="s">
        <v>914</v>
      </c>
      <c r="B446">
        <v>599</v>
      </c>
      <c r="C446">
        <v>265</v>
      </c>
      <c r="D446">
        <v>4</v>
      </c>
      <c r="E446" t="s">
        <v>13</v>
      </c>
      <c r="F446" t="s">
        <v>82</v>
      </c>
      <c r="G446" t="s">
        <v>47</v>
      </c>
      <c r="H446" s="5">
        <v>45631</v>
      </c>
      <c r="I446" t="s">
        <v>916</v>
      </c>
      <c r="J446" t="s">
        <v>25</v>
      </c>
      <c r="K446" t="s">
        <v>68</v>
      </c>
      <c r="L446" s="1">
        <v>45627</v>
      </c>
      <c r="M446">
        <v>2024</v>
      </c>
    </row>
    <row r="447" spans="1:13" x14ac:dyDescent="0.25">
      <c r="A447" t="s">
        <v>914</v>
      </c>
      <c r="B447">
        <v>2727</v>
      </c>
      <c r="C447">
        <v>543</v>
      </c>
      <c r="D447">
        <v>10</v>
      </c>
      <c r="E447" t="s">
        <v>45</v>
      </c>
      <c r="F447" t="s">
        <v>109</v>
      </c>
      <c r="G447" t="s">
        <v>47</v>
      </c>
      <c r="H447" s="5">
        <v>45631</v>
      </c>
      <c r="I447" t="s">
        <v>916</v>
      </c>
      <c r="J447" t="s">
        <v>25</v>
      </c>
      <c r="K447" t="s">
        <v>68</v>
      </c>
      <c r="L447" s="1">
        <v>45627</v>
      </c>
      <c r="M447">
        <v>2024</v>
      </c>
    </row>
    <row r="448" spans="1:13" x14ac:dyDescent="0.25">
      <c r="A448" t="s">
        <v>917</v>
      </c>
      <c r="B448">
        <v>2589</v>
      </c>
      <c r="C448">
        <v>605</v>
      </c>
      <c r="D448">
        <v>11</v>
      </c>
      <c r="E448" t="s">
        <v>30</v>
      </c>
      <c r="F448" t="s">
        <v>31</v>
      </c>
      <c r="G448" t="s">
        <v>40</v>
      </c>
      <c r="H448" s="5">
        <v>45570</v>
      </c>
      <c r="I448" t="s">
        <v>919</v>
      </c>
      <c r="J448" t="s">
        <v>98</v>
      </c>
      <c r="K448" t="s">
        <v>117</v>
      </c>
      <c r="L448" s="1">
        <v>45566</v>
      </c>
      <c r="M448">
        <v>2024</v>
      </c>
    </row>
    <row r="449" spans="1:13" x14ac:dyDescent="0.25">
      <c r="A449" t="s">
        <v>931</v>
      </c>
      <c r="B449">
        <v>9680</v>
      </c>
      <c r="C449">
        <v>3295</v>
      </c>
      <c r="D449">
        <v>9</v>
      </c>
      <c r="E449" t="s">
        <v>45</v>
      </c>
      <c r="F449" t="s">
        <v>46</v>
      </c>
      <c r="G449" t="s">
        <v>65</v>
      </c>
      <c r="H449" s="5">
        <v>45411</v>
      </c>
      <c r="I449" t="s">
        <v>932</v>
      </c>
      <c r="J449" t="s">
        <v>25</v>
      </c>
      <c r="K449" t="s">
        <v>68</v>
      </c>
      <c r="L449" s="1">
        <v>45383</v>
      </c>
      <c r="M449">
        <v>2024</v>
      </c>
    </row>
    <row r="450" spans="1:13" x14ac:dyDescent="0.25">
      <c r="A450" t="s">
        <v>931</v>
      </c>
      <c r="B450">
        <v>8468</v>
      </c>
      <c r="C450">
        <v>3666</v>
      </c>
      <c r="D450">
        <v>8</v>
      </c>
      <c r="E450" t="s">
        <v>30</v>
      </c>
      <c r="F450" t="s">
        <v>31</v>
      </c>
      <c r="G450" t="s">
        <v>15</v>
      </c>
      <c r="H450" s="5">
        <v>45411</v>
      </c>
      <c r="I450" t="s">
        <v>932</v>
      </c>
      <c r="J450" t="s">
        <v>25</v>
      </c>
      <c r="K450" t="s">
        <v>68</v>
      </c>
      <c r="L450" s="1">
        <v>45383</v>
      </c>
      <c r="M450">
        <v>2024</v>
      </c>
    </row>
    <row r="451" spans="1:13" x14ac:dyDescent="0.25">
      <c r="A451" t="s">
        <v>931</v>
      </c>
      <c r="B451">
        <v>4441</v>
      </c>
      <c r="C451">
        <v>314</v>
      </c>
      <c r="D451">
        <v>14</v>
      </c>
      <c r="E451" t="s">
        <v>45</v>
      </c>
      <c r="F451" t="s">
        <v>49</v>
      </c>
      <c r="G451" t="s">
        <v>32</v>
      </c>
      <c r="H451" s="5">
        <v>45411</v>
      </c>
      <c r="I451" t="s">
        <v>932</v>
      </c>
      <c r="J451" t="s">
        <v>25</v>
      </c>
      <c r="K451" t="s">
        <v>68</v>
      </c>
      <c r="L451" s="1">
        <v>45383</v>
      </c>
      <c r="M451">
        <v>2024</v>
      </c>
    </row>
    <row r="452" spans="1:13" x14ac:dyDescent="0.25">
      <c r="A452" t="s">
        <v>933</v>
      </c>
      <c r="B452">
        <v>6622</v>
      </c>
      <c r="C452">
        <v>2673</v>
      </c>
      <c r="D452">
        <v>8</v>
      </c>
      <c r="E452" t="s">
        <v>45</v>
      </c>
      <c r="F452" t="s">
        <v>60</v>
      </c>
      <c r="G452" t="s">
        <v>65</v>
      </c>
      <c r="H452" s="5">
        <v>45392</v>
      </c>
      <c r="I452" t="s">
        <v>934</v>
      </c>
      <c r="J452" t="s">
        <v>25</v>
      </c>
      <c r="K452" t="s">
        <v>51</v>
      </c>
      <c r="L452" s="1">
        <v>45383</v>
      </c>
      <c r="M452">
        <v>2024</v>
      </c>
    </row>
    <row r="453" spans="1:13" x14ac:dyDescent="0.25">
      <c r="A453" t="s">
        <v>937</v>
      </c>
      <c r="B453">
        <v>8709</v>
      </c>
      <c r="C453">
        <v>2322</v>
      </c>
      <c r="D453">
        <v>8</v>
      </c>
      <c r="E453" t="s">
        <v>45</v>
      </c>
      <c r="F453" t="s">
        <v>46</v>
      </c>
      <c r="G453" t="s">
        <v>32</v>
      </c>
      <c r="H453" s="5">
        <v>45414</v>
      </c>
      <c r="I453" t="s">
        <v>938</v>
      </c>
      <c r="J453" t="s">
        <v>71</v>
      </c>
      <c r="K453" t="s">
        <v>86</v>
      </c>
      <c r="L453" s="1">
        <v>45413</v>
      </c>
      <c r="M453">
        <v>2024</v>
      </c>
    </row>
    <row r="454" spans="1:13" x14ac:dyDescent="0.25">
      <c r="A454" t="s">
        <v>937</v>
      </c>
      <c r="B454">
        <v>8709</v>
      </c>
      <c r="C454">
        <v>2322</v>
      </c>
      <c r="D454">
        <v>8</v>
      </c>
      <c r="E454" t="s">
        <v>45</v>
      </c>
      <c r="F454" t="s">
        <v>46</v>
      </c>
      <c r="G454" t="s">
        <v>32</v>
      </c>
      <c r="H454" s="5">
        <v>45617</v>
      </c>
      <c r="I454" t="s">
        <v>939</v>
      </c>
      <c r="J454" t="s">
        <v>42</v>
      </c>
      <c r="K454" t="s">
        <v>92</v>
      </c>
      <c r="L454" s="1">
        <v>45597</v>
      </c>
      <c r="M454">
        <v>2024</v>
      </c>
    </row>
    <row r="455" spans="1:13" x14ac:dyDescent="0.25">
      <c r="A455" t="s">
        <v>943</v>
      </c>
      <c r="B455">
        <v>4116</v>
      </c>
      <c r="C455">
        <v>921</v>
      </c>
      <c r="D455">
        <v>20</v>
      </c>
      <c r="E455" t="s">
        <v>30</v>
      </c>
      <c r="F455" t="s">
        <v>64</v>
      </c>
      <c r="G455" t="s">
        <v>15</v>
      </c>
      <c r="H455" s="5">
        <v>45572</v>
      </c>
      <c r="I455" t="s">
        <v>944</v>
      </c>
      <c r="J455" t="s">
        <v>42</v>
      </c>
      <c r="K455" t="s">
        <v>43</v>
      </c>
      <c r="L455" s="1">
        <v>45566</v>
      </c>
      <c r="M455">
        <v>2024</v>
      </c>
    </row>
    <row r="456" spans="1:13" x14ac:dyDescent="0.25">
      <c r="A456" t="s">
        <v>953</v>
      </c>
      <c r="B456">
        <v>5831</v>
      </c>
      <c r="C456">
        <v>1574</v>
      </c>
      <c r="D456">
        <v>17</v>
      </c>
      <c r="E456" t="s">
        <v>30</v>
      </c>
      <c r="F456" t="s">
        <v>31</v>
      </c>
      <c r="G456" t="s">
        <v>32</v>
      </c>
      <c r="H456" s="5">
        <v>45491</v>
      </c>
      <c r="I456" t="s">
        <v>955</v>
      </c>
      <c r="J456" t="s">
        <v>42</v>
      </c>
      <c r="K456" t="s">
        <v>75</v>
      </c>
      <c r="L456" s="1">
        <v>45474</v>
      </c>
      <c r="M456">
        <v>2024</v>
      </c>
    </row>
    <row r="457" spans="1:13" x14ac:dyDescent="0.25">
      <c r="A457" t="s">
        <v>959</v>
      </c>
      <c r="B457">
        <v>3659</v>
      </c>
      <c r="C457">
        <v>379</v>
      </c>
      <c r="D457">
        <v>5</v>
      </c>
      <c r="E457" t="s">
        <v>45</v>
      </c>
      <c r="F457" t="s">
        <v>109</v>
      </c>
      <c r="G457" t="s">
        <v>15</v>
      </c>
      <c r="H457" s="5">
        <v>45465</v>
      </c>
      <c r="I457" t="s">
        <v>960</v>
      </c>
      <c r="J457" t="s">
        <v>42</v>
      </c>
      <c r="K457" t="s">
        <v>43</v>
      </c>
      <c r="L457" s="1">
        <v>45444</v>
      </c>
      <c r="M457">
        <v>2024</v>
      </c>
    </row>
    <row r="458" spans="1:13" x14ac:dyDescent="0.25">
      <c r="A458" t="s">
        <v>963</v>
      </c>
      <c r="B458">
        <v>7478</v>
      </c>
      <c r="C458">
        <v>1381</v>
      </c>
      <c r="D458">
        <v>11</v>
      </c>
      <c r="E458" t="s">
        <v>13</v>
      </c>
      <c r="F458" t="s">
        <v>82</v>
      </c>
      <c r="G458" t="s">
        <v>40</v>
      </c>
      <c r="H458" s="5">
        <v>45398</v>
      </c>
      <c r="I458" t="s">
        <v>964</v>
      </c>
      <c r="J458" t="s">
        <v>71</v>
      </c>
      <c r="K458" t="s">
        <v>138</v>
      </c>
      <c r="L458" s="1">
        <v>45383</v>
      </c>
      <c r="M458">
        <v>2024</v>
      </c>
    </row>
    <row r="459" spans="1:13" x14ac:dyDescent="0.25">
      <c r="A459" t="s">
        <v>984</v>
      </c>
      <c r="B459">
        <v>6402</v>
      </c>
      <c r="C459">
        <v>2770</v>
      </c>
      <c r="D459">
        <v>19</v>
      </c>
      <c r="E459" t="s">
        <v>30</v>
      </c>
      <c r="F459" t="s">
        <v>57</v>
      </c>
      <c r="G459" t="s">
        <v>32</v>
      </c>
      <c r="H459" s="5">
        <v>45361</v>
      </c>
      <c r="I459" t="s">
        <v>985</v>
      </c>
      <c r="J459" t="s">
        <v>17</v>
      </c>
      <c r="K459" t="s">
        <v>34</v>
      </c>
      <c r="L459" s="1">
        <v>45352</v>
      </c>
      <c r="M459">
        <v>2024</v>
      </c>
    </row>
    <row r="460" spans="1:13" x14ac:dyDescent="0.25">
      <c r="A460" t="s">
        <v>984</v>
      </c>
      <c r="B460">
        <v>5916</v>
      </c>
      <c r="C460">
        <v>1594</v>
      </c>
      <c r="D460">
        <v>19</v>
      </c>
      <c r="E460" t="s">
        <v>13</v>
      </c>
      <c r="F460" t="s">
        <v>28</v>
      </c>
      <c r="G460" t="s">
        <v>32</v>
      </c>
      <c r="H460" s="5">
        <v>45361</v>
      </c>
      <c r="I460" t="s">
        <v>985</v>
      </c>
      <c r="J460" t="s">
        <v>17</v>
      </c>
      <c r="K460" t="s">
        <v>34</v>
      </c>
      <c r="L460" s="1">
        <v>45352</v>
      </c>
      <c r="M460">
        <v>2024</v>
      </c>
    </row>
    <row r="461" spans="1:13" x14ac:dyDescent="0.25">
      <c r="A461" t="s">
        <v>1006</v>
      </c>
      <c r="B461">
        <v>3756</v>
      </c>
      <c r="C461">
        <v>1318</v>
      </c>
      <c r="D461">
        <v>5</v>
      </c>
      <c r="E461" t="s">
        <v>45</v>
      </c>
      <c r="F461" t="s">
        <v>46</v>
      </c>
      <c r="G461" t="s">
        <v>15</v>
      </c>
      <c r="H461" s="5">
        <v>45341</v>
      </c>
      <c r="I461" t="s">
        <v>1007</v>
      </c>
      <c r="J461" t="s">
        <v>17</v>
      </c>
      <c r="K461" t="s">
        <v>18</v>
      </c>
      <c r="L461" s="1">
        <v>45323</v>
      </c>
      <c r="M461">
        <v>2024</v>
      </c>
    </row>
    <row r="462" spans="1:13" x14ac:dyDescent="0.25">
      <c r="A462" t="s">
        <v>1010</v>
      </c>
      <c r="B462">
        <v>6673</v>
      </c>
      <c r="C462">
        <v>950</v>
      </c>
      <c r="D462">
        <v>19</v>
      </c>
      <c r="E462" t="s">
        <v>30</v>
      </c>
      <c r="F462" t="s">
        <v>57</v>
      </c>
      <c r="G462" t="s">
        <v>40</v>
      </c>
      <c r="H462" s="5">
        <v>45645</v>
      </c>
      <c r="I462" t="s">
        <v>1011</v>
      </c>
      <c r="J462" t="s">
        <v>25</v>
      </c>
      <c r="K462" t="s">
        <v>26</v>
      </c>
      <c r="L462" s="1">
        <v>45627</v>
      </c>
      <c r="M462">
        <v>2024</v>
      </c>
    </row>
    <row r="463" spans="1:13" x14ac:dyDescent="0.25">
      <c r="A463" t="s">
        <v>1027</v>
      </c>
      <c r="B463">
        <v>7484</v>
      </c>
      <c r="C463">
        <v>2871</v>
      </c>
      <c r="D463">
        <v>15</v>
      </c>
      <c r="E463" t="s">
        <v>13</v>
      </c>
      <c r="F463" t="s">
        <v>82</v>
      </c>
      <c r="G463" t="s">
        <v>15</v>
      </c>
      <c r="H463" s="5">
        <v>45398</v>
      </c>
      <c r="I463" t="s">
        <v>1029</v>
      </c>
      <c r="J463" t="s">
        <v>21</v>
      </c>
      <c r="K463" t="s">
        <v>22</v>
      </c>
      <c r="L463" s="1">
        <v>45383</v>
      </c>
      <c r="M463">
        <v>2024</v>
      </c>
    </row>
    <row r="464" spans="1:13" x14ac:dyDescent="0.25">
      <c r="A464" t="s">
        <v>1027</v>
      </c>
      <c r="B464">
        <v>7700</v>
      </c>
      <c r="C464">
        <v>2712</v>
      </c>
      <c r="D464">
        <v>1</v>
      </c>
      <c r="E464" t="s">
        <v>45</v>
      </c>
      <c r="F464" t="s">
        <v>60</v>
      </c>
      <c r="G464" t="s">
        <v>47</v>
      </c>
      <c r="H464" s="5">
        <v>45398</v>
      </c>
      <c r="I464" t="s">
        <v>1029</v>
      </c>
      <c r="J464" t="s">
        <v>21</v>
      </c>
      <c r="K464" t="s">
        <v>22</v>
      </c>
      <c r="L464" s="1">
        <v>45383</v>
      </c>
      <c r="M464">
        <v>2024</v>
      </c>
    </row>
    <row r="465" spans="1:13" x14ac:dyDescent="0.25">
      <c r="A465" t="s">
        <v>1032</v>
      </c>
      <c r="B465">
        <v>8858</v>
      </c>
      <c r="C465">
        <v>3394</v>
      </c>
      <c r="D465">
        <v>6</v>
      </c>
      <c r="E465" t="s">
        <v>45</v>
      </c>
      <c r="F465" t="s">
        <v>49</v>
      </c>
      <c r="G465" t="s">
        <v>65</v>
      </c>
      <c r="H465" s="5">
        <v>45596</v>
      </c>
      <c r="I465" t="s">
        <v>1033</v>
      </c>
      <c r="J465" t="s">
        <v>42</v>
      </c>
      <c r="K465" t="s">
        <v>75</v>
      </c>
      <c r="L465" s="1">
        <v>45566</v>
      </c>
      <c r="M465">
        <v>2024</v>
      </c>
    </row>
    <row r="466" spans="1:13" x14ac:dyDescent="0.25">
      <c r="A466" t="s">
        <v>1034</v>
      </c>
      <c r="B466">
        <v>5313</v>
      </c>
      <c r="C466">
        <v>2037</v>
      </c>
      <c r="D466">
        <v>7</v>
      </c>
      <c r="E466" t="s">
        <v>13</v>
      </c>
      <c r="F466" t="s">
        <v>28</v>
      </c>
      <c r="G466" t="s">
        <v>32</v>
      </c>
      <c r="H466" s="5">
        <v>45621</v>
      </c>
      <c r="I466" t="s">
        <v>1035</v>
      </c>
      <c r="J466" t="s">
        <v>42</v>
      </c>
      <c r="K466" t="s">
        <v>92</v>
      </c>
      <c r="L466" s="1">
        <v>45597</v>
      </c>
      <c r="M466">
        <v>2024</v>
      </c>
    </row>
    <row r="467" spans="1:13" x14ac:dyDescent="0.25">
      <c r="A467" t="s">
        <v>1055</v>
      </c>
      <c r="B467">
        <v>5317</v>
      </c>
      <c r="C467">
        <v>1345</v>
      </c>
      <c r="D467">
        <v>18</v>
      </c>
      <c r="E467" t="s">
        <v>45</v>
      </c>
      <c r="F467" t="s">
        <v>49</v>
      </c>
      <c r="G467" t="s">
        <v>32</v>
      </c>
      <c r="H467" s="5">
        <v>45618</v>
      </c>
      <c r="I467" t="s">
        <v>1058</v>
      </c>
      <c r="J467" t="s">
        <v>42</v>
      </c>
      <c r="K467" t="s">
        <v>92</v>
      </c>
      <c r="L467" s="1">
        <v>45597</v>
      </c>
      <c r="M467">
        <v>2024</v>
      </c>
    </row>
    <row r="468" spans="1:13" x14ac:dyDescent="0.25">
      <c r="A468" t="s">
        <v>1055</v>
      </c>
      <c r="B468">
        <v>6304</v>
      </c>
      <c r="C468">
        <v>766</v>
      </c>
      <c r="D468">
        <v>14</v>
      </c>
      <c r="E468" t="s">
        <v>45</v>
      </c>
      <c r="F468" t="s">
        <v>46</v>
      </c>
      <c r="G468" t="s">
        <v>40</v>
      </c>
      <c r="H468" s="5">
        <v>45618</v>
      </c>
      <c r="I468" t="s">
        <v>1058</v>
      </c>
      <c r="J468" t="s">
        <v>42</v>
      </c>
      <c r="K468" t="s">
        <v>92</v>
      </c>
      <c r="L468" s="1">
        <v>45597</v>
      </c>
      <c r="M468">
        <v>2024</v>
      </c>
    </row>
    <row r="469" spans="1:13" x14ac:dyDescent="0.25">
      <c r="A469" t="s">
        <v>1059</v>
      </c>
      <c r="B469">
        <v>9565</v>
      </c>
      <c r="C469">
        <v>1691</v>
      </c>
      <c r="D469">
        <v>3</v>
      </c>
      <c r="E469" t="s">
        <v>30</v>
      </c>
      <c r="F469" t="s">
        <v>64</v>
      </c>
      <c r="G469" t="s">
        <v>32</v>
      </c>
      <c r="H469" s="5">
        <v>45475</v>
      </c>
      <c r="I469" t="s">
        <v>1060</v>
      </c>
      <c r="J469" t="s">
        <v>21</v>
      </c>
      <c r="K469" t="s">
        <v>63</v>
      </c>
      <c r="L469" s="1">
        <v>45474</v>
      </c>
      <c r="M469">
        <v>2024</v>
      </c>
    </row>
    <row r="470" spans="1:13" x14ac:dyDescent="0.25">
      <c r="A470" t="s">
        <v>1059</v>
      </c>
      <c r="B470">
        <v>8245</v>
      </c>
      <c r="C470">
        <v>324</v>
      </c>
      <c r="D470">
        <v>11</v>
      </c>
      <c r="E470" t="s">
        <v>30</v>
      </c>
      <c r="F470" t="s">
        <v>64</v>
      </c>
      <c r="G470" t="s">
        <v>40</v>
      </c>
      <c r="H470" s="5">
        <v>45475</v>
      </c>
      <c r="I470" t="s">
        <v>1060</v>
      </c>
      <c r="J470" t="s">
        <v>21</v>
      </c>
      <c r="K470" t="s">
        <v>63</v>
      </c>
      <c r="L470" s="1">
        <v>45474</v>
      </c>
      <c r="M470">
        <v>2024</v>
      </c>
    </row>
    <row r="471" spans="1:13" x14ac:dyDescent="0.25">
      <c r="A471" t="s">
        <v>1063</v>
      </c>
      <c r="B471">
        <v>8400</v>
      </c>
      <c r="C471">
        <v>267</v>
      </c>
      <c r="D471">
        <v>5</v>
      </c>
      <c r="E471" t="s">
        <v>13</v>
      </c>
      <c r="F471" t="s">
        <v>82</v>
      </c>
      <c r="G471" t="s">
        <v>32</v>
      </c>
      <c r="H471" s="5">
        <v>45573</v>
      </c>
      <c r="I471" t="s">
        <v>1064</v>
      </c>
      <c r="J471" t="s">
        <v>98</v>
      </c>
      <c r="K471" t="s">
        <v>99</v>
      </c>
      <c r="L471" s="1">
        <v>45566</v>
      </c>
      <c r="M471">
        <v>2024</v>
      </c>
    </row>
    <row r="472" spans="1:13" x14ac:dyDescent="0.25">
      <c r="A472" t="s">
        <v>1063</v>
      </c>
      <c r="B472">
        <v>4963</v>
      </c>
      <c r="C472">
        <v>1254</v>
      </c>
      <c r="D472">
        <v>15</v>
      </c>
      <c r="E472" t="s">
        <v>30</v>
      </c>
      <c r="F472" t="s">
        <v>64</v>
      </c>
      <c r="G472" t="s">
        <v>40</v>
      </c>
      <c r="H472" s="5">
        <v>45573</v>
      </c>
      <c r="I472" t="s">
        <v>1064</v>
      </c>
      <c r="J472" t="s">
        <v>98</v>
      </c>
      <c r="K472" t="s">
        <v>99</v>
      </c>
      <c r="L472" s="1">
        <v>45566</v>
      </c>
      <c r="M472">
        <v>2024</v>
      </c>
    </row>
    <row r="473" spans="1:13" x14ac:dyDescent="0.25">
      <c r="A473" t="s">
        <v>1073</v>
      </c>
      <c r="B473">
        <v>4544</v>
      </c>
      <c r="C473">
        <v>1726</v>
      </c>
      <c r="D473">
        <v>9</v>
      </c>
      <c r="E473" t="s">
        <v>13</v>
      </c>
      <c r="F473" t="s">
        <v>82</v>
      </c>
      <c r="G473" t="s">
        <v>40</v>
      </c>
      <c r="H473" s="5">
        <v>45525</v>
      </c>
      <c r="I473" t="s">
        <v>1074</v>
      </c>
      <c r="J473" t="s">
        <v>71</v>
      </c>
      <c r="K473" t="s">
        <v>72</v>
      </c>
      <c r="L473" s="1">
        <v>45505</v>
      </c>
      <c r="M473">
        <v>2024</v>
      </c>
    </row>
    <row r="474" spans="1:13" x14ac:dyDescent="0.25">
      <c r="A474" t="s">
        <v>1073</v>
      </c>
      <c r="B474">
        <v>5900</v>
      </c>
      <c r="C474">
        <v>1738</v>
      </c>
      <c r="D474">
        <v>20</v>
      </c>
      <c r="E474" t="s">
        <v>13</v>
      </c>
      <c r="F474" t="s">
        <v>82</v>
      </c>
      <c r="G474" t="s">
        <v>15</v>
      </c>
      <c r="H474" s="5">
        <v>45525</v>
      </c>
      <c r="I474" t="s">
        <v>1074</v>
      </c>
      <c r="J474" t="s">
        <v>71</v>
      </c>
      <c r="K474" t="s">
        <v>72</v>
      </c>
      <c r="L474" s="1">
        <v>45505</v>
      </c>
      <c r="M474">
        <v>2024</v>
      </c>
    </row>
    <row r="475" spans="1:13" x14ac:dyDescent="0.25">
      <c r="A475" t="s">
        <v>1085</v>
      </c>
      <c r="B475">
        <v>8780</v>
      </c>
      <c r="C475">
        <v>3430</v>
      </c>
      <c r="D475">
        <v>4</v>
      </c>
      <c r="E475" t="s">
        <v>13</v>
      </c>
      <c r="F475" t="s">
        <v>14</v>
      </c>
      <c r="G475" t="s">
        <v>47</v>
      </c>
      <c r="H475" s="5">
        <v>45480</v>
      </c>
      <c r="I475" t="s">
        <v>1086</v>
      </c>
      <c r="J475" t="s">
        <v>71</v>
      </c>
      <c r="K475" t="s">
        <v>86</v>
      </c>
      <c r="L475" s="1">
        <v>45474</v>
      </c>
      <c r="M475">
        <v>2024</v>
      </c>
    </row>
    <row r="476" spans="1:13" x14ac:dyDescent="0.25">
      <c r="A476" t="s">
        <v>1104</v>
      </c>
      <c r="B476">
        <v>1093</v>
      </c>
      <c r="C476">
        <v>397</v>
      </c>
      <c r="D476">
        <v>17</v>
      </c>
      <c r="E476" t="s">
        <v>13</v>
      </c>
      <c r="F476" t="s">
        <v>28</v>
      </c>
      <c r="G476" t="s">
        <v>47</v>
      </c>
      <c r="H476" s="5">
        <v>45378</v>
      </c>
      <c r="I476" t="s">
        <v>1105</v>
      </c>
      <c r="J476" t="s">
        <v>21</v>
      </c>
      <c r="K476" t="s">
        <v>172</v>
      </c>
      <c r="L476" s="1">
        <v>45352</v>
      </c>
      <c r="M476">
        <v>2024</v>
      </c>
    </row>
    <row r="477" spans="1:13" x14ac:dyDescent="0.25">
      <c r="A477" t="s">
        <v>1104</v>
      </c>
      <c r="B477">
        <v>1093</v>
      </c>
      <c r="C477">
        <v>397</v>
      </c>
      <c r="D477">
        <v>17</v>
      </c>
      <c r="E477" t="s">
        <v>13</v>
      </c>
      <c r="F477" t="s">
        <v>28</v>
      </c>
      <c r="G477" t="s">
        <v>47</v>
      </c>
      <c r="H477" s="5">
        <v>45536</v>
      </c>
      <c r="I477" t="s">
        <v>1106</v>
      </c>
      <c r="J477" t="s">
        <v>25</v>
      </c>
      <c r="K477" t="s">
        <v>26</v>
      </c>
      <c r="L477" s="1">
        <v>45536</v>
      </c>
      <c r="M477">
        <v>2024</v>
      </c>
    </row>
    <row r="478" spans="1:13" x14ac:dyDescent="0.25">
      <c r="A478" t="s">
        <v>1104</v>
      </c>
      <c r="B478">
        <v>2636</v>
      </c>
      <c r="C478">
        <v>88</v>
      </c>
      <c r="D478">
        <v>11</v>
      </c>
      <c r="E478" t="s">
        <v>30</v>
      </c>
      <c r="F478" t="s">
        <v>64</v>
      </c>
      <c r="G478" t="s">
        <v>32</v>
      </c>
      <c r="H478" s="5">
        <v>45378</v>
      </c>
      <c r="I478" t="s">
        <v>1105</v>
      </c>
      <c r="J478" t="s">
        <v>21</v>
      </c>
      <c r="K478" t="s">
        <v>172</v>
      </c>
      <c r="L478" s="1">
        <v>45352</v>
      </c>
      <c r="M478">
        <v>2024</v>
      </c>
    </row>
    <row r="479" spans="1:13" x14ac:dyDescent="0.25">
      <c r="A479" t="s">
        <v>1104</v>
      </c>
      <c r="B479">
        <v>2636</v>
      </c>
      <c r="C479">
        <v>88</v>
      </c>
      <c r="D479">
        <v>11</v>
      </c>
      <c r="E479" t="s">
        <v>30</v>
      </c>
      <c r="F479" t="s">
        <v>64</v>
      </c>
      <c r="G479" t="s">
        <v>32</v>
      </c>
      <c r="H479" s="5">
        <v>45536</v>
      </c>
      <c r="I479" t="s">
        <v>1106</v>
      </c>
      <c r="J479" t="s">
        <v>25</v>
      </c>
      <c r="K479" t="s">
        <v>26</v>
      </c>
      <c r="L479" s="1">
        <v>45536</v>
      </c>
      <c r="M479">
        <v>2024</v>
      </c>
    </row>
    <row r="480" spans="1:13" x14ac:dyDescent="0.25">
      <c r="A480" t="s">
        <v>1116</v>
      </c>
      <c r="B480">
        <v>2451</v>
      </c>
      <c r="C480">
        <v>342</v>
      </c>
      <c r="D480">
        <v>8</v>
      </c>
      <c r="E480" t="s">
        <v>30</v>
      </c>
      <c r="F480" t="s">
        <v>64</v>
      </c>
      <c r="G480" t="s">
        <v>40</v>
      </c>
      <c r="H480" s="5">
        <v>45503</v>
      </c>
      <c r="I480" t="s">
        <v>1119</v>
      </c>
      <c r="J480" t="s">
        <v>71</v>
      </c>
      <c r="K480" t="s">
        <v>138</v>
      </c>
      <c r="L480" s="1">
        <v>45474</v>
      </c>
      <c r="M480">
        <v>2024</v>
      </c>
    </row>
    <row r="481" spans="1:13" x14ac:dyDescent="0.25">
      <c r="A481" t="s">
        <v>1122</v>
      </c>
      <c r="B481">
        <v>4307</v>
      </c>
      <c r="C481">
        <v>615</v>
      </c>
      <c r="D481">
        <v>3</v>
      </c>
      <c r="E481" t="s">
        <v>13</v>
      </c>
      <c r="F481" t="s">
        <v>14</v>
      </c>
      <c r="G481" t="s">
        <v>15</v>
      </c>
      <c r="H481" s="5">
        <v>45366</v>
      </c>
      <c r="I481" t="s">
        <v>1123</v>
      </c>
      <c r="J481" t="s">
        <v>25</v>
      </c>
      <c r="K481" t="s">
        <v>51</v>
      </c>
      <c r="L481" s="1">
        <v>45352</v>
      </c>
      <c r="M481">
        <v>2024</v>
      </c>
    </row>
    <row r="482" spans="1:13" x14ac:dyDescent="0.25">
      <c r="A482" t="s">
        <v>1122</v>
      </c>
      <c r="B482">
        <v>5694</v>
      </c>
      <c r="C482">
        <v>1134</v>
      </c>
      <c r="D482">
        <v>5</v>
      </c>
      <c r="E482" t="s">
        <v>45</v>
      </c>
      <c r="F482" t="s">
        <v>49</v>
      </c>
      <c r="G482" t="s">
        <v>40</v>
      </c>
      <c r="H482" s="5">
        <v>45366</v>
      </c>
      <c r="I482" t="s">
        <v>1123</v>
      </c>
      <c r="J482" t="s">
        <v>25</v>
      </c>
      <c r="K482" t="s">
        <v>51</v>
      </c>
      <c r="L482" s="1">
        <v>45352</v>
      </c>
      <c r="M482">
        <v>2024</v>
      </c>
    </row>
    <row r="483" spans="1:13" x14ac:dyDescent="0.25">
      <c r="A483" t="s">
        <v>1127</v>
      </c>
      <c r="B483">
        <v>2995</v>
      </c>
      <c r="C483">
        <v>220</v>
      </c>
      <c r="D483">
        <v>14</v>
      </c>
      <c r="E483" t="s">
        <v>45</v>
      </c>
      <c r="F483" t="s">
        <v>109</v>
      </c>
      <c r="G483" t="s">
        <v>47</v>
      </c>
      <c r="H483" s="5">
        <v>45548</v>
      </c>
      <c r="I483" t="s">
        <v>1128</v>
      </c>
      <c r="J483" t="s">
        <v>25</v>
      </c>
      <c r="K483" t="s">
        <v>26</v>
      </c>
      <c r="L483" s="1">
        <v>45536</v>
      </c>
      <c r="M483">
        <v>2024</v>
      </c>
    </row>
    <row r="484" spans="1:13" x14ac:dyDescent="0.25">
      <c r="A484" t="s">
        <v>1127</v>
      </c>
      <c r="B484">
        <v>2047</v>
      </c>
      <c r="C484">
        <v>914</v>
      </c>
      <c r="D484">
        <v>5</v>
      </c>
      <c r="E484" t="s">
        <v>30</v>
      </c>
      <c r="F484" t="s">
        <v>57</v>
      </c>
      <c r="G484" t="s">
        <v>32</v>
      </c>
      <c r="H484" s="5">
        <v>45548</v>
      </c>
      <c r="I484" t="s">
        <v>1128</v>
      </c>
      <c r="J484" t="s">
        <v>25</v>
      </c>
      <c r="K484" t="s">
        <v>26</v>
      </c>
      <c r="L484" s="1">
        <v>45536</v>
      </c>
      <c r="M484">
        <v>2024</v>
      </c>
    </row>
    <row r="485" spans="1:13" x14ac:dyDescent="0.25">
      <c r="A485" t="s">
        <v>1135</v>
      </c>
      <c r="B485">
        <v>9914</v>
      </c>
      <c r="C485">
        <v>3858</v>
      </c>
      <c r="D485">
        <v>16</v>
      </c>
      <c r="E485" t="s">
        <v>45</v>
      </c>
      <c r="F485" t="s">
        <v>60</v>
      </c>
      <c r="G485" t="s">
        <v>47</v>
      </c>
      <c r="H485" s="5">
        <v>45451</v>
      </c>
      <c r="I485" t="s">
        <v>1137</v>
      </c>
      <c r="J485" t="s">
        <v>25</v>
      </c>
      <c r="K485" t="s">
        <v>68</v>
      </c>
      <c r="L485" s="1">
        <v>45444</v>
      </c>
      <c r="M485">
        <v>2024</v>
      </c>
    </row>
    <row r="486" spans="1:13" x14ac:dyDescent="0.25">
      <c r="A486" t="s">
        <v>1135</v>
      </c>
      <c r="B486">
        <v>5470</v>
      </c>
      <c r="C486">
        <v>292</v>
      </c>
      <c r="D486">
        <v>7</v>
      </c>
      <c r="E486" t="s">
        <v>30</v>
      </c>
      <c r="F486" t="s">
        <v>31</v>
      </c>
      <c r="G486" t="s">
        <v>32</v>
      </c>
      <c r="H486" s="5">
        <v>45451</v>
      </c>
      <c r="I486" t="s">
        <v>1137</v>
      </c>
      <c r="J486" t="s">
        <v>25</v>
      </c>
      <c r="K486" t="s">
        <v>68</v>
      </c>
      <c r="L486" s="1">
        <v>45444</v>
      </c>
      <c r="M486">
        <v>2024</v>
      </c>
    </row>
    <row r="487" spans="1:13" x14ac:dyDescent="0.25">
      <c r="A487" t="s">
        <v>1135</v>
      </c>
      <c r="B487">
        <v>1496</v>
      </c>
      <c r="C487">
        <v>662</v>
      </c>
      <c r="D487">
        <v>17</v>
      </c>
      <c r="E487" t="s">
        <v>45</v>
      </c>
      <c r="F487" t="s">
        <v>109</v>
      </c>
      <c r="G487" t="s">
        <v>15</v>
      </c>
      <c r="H487" s="5">
        <v>45451</v>
      </c>
      <c r="I487" t="s">
        <v>1137</v>
      </c>
      <c r="J487" t="s">
        <v>25</v>
      </c>
      <c r="K487" t="s">
        <v>68</v>
      </c>
      <c r="L487" s="1">
        <v>45444</v>
      </c>
      <c r="M487">
        <v>2024</v>
      </c>
    </row>
    <row r="488" spans="1:13" x14ac:dyDescent="0.25">
      <c r="A488" t="s">
        <v>1149</v>
      </c>
      <c r="B488">
        <v>594</v>
      </c>
      <c r="C488">
        <v>67</v>
      </c>
      <c r="D488">
        <v>19</v>
      </c>
      <c r="E488" t="s">
        <v>30</v>
      </c>
      <c r="F488" t="s">
        <v>64</v>
      </c>
      <c r="G488" t="s">
        <v>32</v>
      </c>
      <c r="H488" s="5">
        <v>45296</v>
      </c>
      <c r="I488" t="s">
        <v>1151</v>
      </c>
      <c r="J488" t="s">
        <v>17</v>
      </c>
      <c r="K488" t="s">
        <v>18</v>
      </c>
      <c r="L488" s="1">
        <v>45292</v>
      </c>
      <c r="M488">
        <v>2024</v>
      </c>
    </row>
    <row r="489" spans="1:13" x14ac:dyDescent="0.25">
      <c r="A489" t="s">
        <v>1149</v>
      </c>
      <c r="B489">
        <v>594</v>
      </c>
      <c r="C489">
        <v>67</v>
      </c>
      <c r="D489">
        <v>19</v>
      </c>
      <c r="E489" t="s">
        <v>30</v>
      </c>
      <c r="F489" t="s">
        <v>64</v>
      </c>
      <c r="G489" t="s">
        <v>32</v>
      </c>
      <c r="H489" s="5">
        <v>45420</v>
      </c>
      <c r="I489" t="s">
        <v>1152</v>
      </c>
      <c r="J489" t="s">
        <v>71</v>
      </c>
      <c r="K489" t="s">
        <v>86</v>
      </c>
      <c r="L489" s="1">
        <v>45413</v>
      </c>
      <c r="M489">
        <v>2024</v>
      </c>
    </row>
    <row r="490" spans="1:13" x14ac:dyDescent="0.25">
      <c r="A490" t="s">
        <v>1153</v>
      </c>
      <c r="B490">
        <v>5954</v>
      </c>
      <c r="C490">
        <v>2618</v>
      </c>
      <c r="D490">
        <v>11</v>
      </c>
      <c r="E490" t="s">
        <v>45</v>
      </c>
      <c r="F490" t="s">
        <v>46</v>
      </c>
      <c r="G490" t="s">
        <v>65</v>
      </c>
      <c r="H490" s="5">
        <v>45381</v>
      </c>
      <c r="I490" t="s">
        <v>1154</v>
      </c>
      <c r="J490" t="s">
        <v>98</v>
      </c>
      <c r="K490" t="s">
        <v>107</v>
      </c>
      <c r="L490" s="1">
        <v>45352</v>
      </c>
      <c r="M490">
        <v>2024</v>
      </c>
    </row>
    <row r="491" spans="1:13" x14ac:dyDescent="0.25">
      <c r="A491" t="s">
        <v>1157</v>
      </c>
      <c r="B491">
        <v>3747</v>
      </c>
      <c r="C491">
        <v>410</v>
      </c>
      <c r="D491">
        <v>5</v>
      </c>
      <c r="E491" t="s">
        <v>30</v>
      </c>
      <c r="F491" t="s">
        <v>57</v>
      </c>
      <c r="G491" t="s">
        <v>47</v>
      </c>
      <c r="H491" s="5">
        <v>45378</v>
      </c>
      <c r="I491" t="s">
        <v>1160</v>
      </c>
      <c r="J491" t="s">
        <v>98</v>
      </c>
      <c r="K491" t="s">
        <v>99</v>
      </c>
      <c r="L491" s="1">
        <v>45352</v>
      </c>
      <c r="M491">
        <v>2024</v>
      </c>
    </row>
    <row r="492" spans="1:13" x14ac:dyDescent="0.25">
      <c r="A492" t="s">
        <v>1157</v>
      </c>
      <c r="B492">
        <v>3194</v>
      </c>
      <c r="C492">
        <v>534</v>
      </c>
      <c r="D492">
        <v>4</v>
      </c>
      <c r="E492" t="s">
        <v>30</v>
      </c>
      <c r="F492" t="s">
        <v>78</v>
      </c>
      <c r="G492" t="s">
        <v>15</v>
      </c>
      <c r="H492" s="5">
        <v>45378</v>
      </c>
      <c r="I492" t="s">
        <v>1160</v>
      </c>
      <c r="J492" t="s">
        <v>98</v>
      </c>
      <c r="K492" t="s">
        <v>99</v>
      </c>
      <c r="L492" s="1">
        <v>45352</v>
      </c>
      <c r="M492">
        <v>2024</v>
      </c>
    </row>
    <row r="493" spans="1:13" x14ac:dyDescent="0.25">
      <c r="A493" t="s">
        <v>1169</v>
      </c>
      <c r="B493">
        <v>5193</v>
      </c>
      <c r="C493">
        <v>2530</v>
      </c>
      <c r="D493">
        <v>5</v>
      </c>
      <c r="E493" t="s">
        <v>45</v>
      </c>
      <c r="F493" t="s">
        <v>60</v>
      </c>
      <c r="G493" t="s">
        <v>32</v>
      </c>
      <c r="H493" s="5">
        <v>45655</v>
      </c>
      <c r="I493" t="s">
        <v>1171</v>
      </c>
      <c r="J493" t="s">
        <v>17</v>
      </c>
      <c r="K493" t="s">
        <v>18</v>
      </c>
      <c r="L493" s="1">
        <v>45627</v>
      </c>
      <c r="M493">
        <v>2024</v>
      </c>
    </row>
    <row r="494" spans="1:13" x14ac:dyDescent="0.25">
      <c r="A494" t="s">
        <v>1174</v>
      </c>
      <c r="B494">
        <v>2062</v>
      </c>
      <c r="C494">
        <v>848</v>
      </c>
      <c r="D494">
        <v>6</v>
      </c>
      <c r="E494" t="s">
        <v>30</v>
      </c>
      <c r="F494" t="s">
        <v>57</v>
      </c>
      <c r="G494" t="s">
        <v>47</v>
      </c>
      <c r="H494" s="5">
        <v>45355</v>
      </c>
      <c r="I494" t="s">
        <v>1175</v>
      </c>
      <c r="J494" t="s">
        <v>17</v>
      </c>
      <c r="K494" t="s">
        <v>150</v>
      </c>
      <c r="L494" s="1">
        <v>45352</v>
      </c>
      <c r="M494">
        <v>2024</v>
      </c>
    </row>
    <row r="495" spans="1:13" x14ac:dyDescent="0.25">
      <c r="A495" t="s">
        <v>1184</v>
      </c>
      <c r="B495">
        <v>4172</v>
      </c>
      <c r="C495">
        <v>235</v>
      </c>
      <c r="D495">
        <v>5</v>
      </c>
      <c r="E495" t="s">
        <v>30</v>
      </c>
      <c r="F495" t="s">
        <v>64</v>
      </c>
      <c r="G495" t="s">
        <v>40</v>
      </c>
      <c r="H495" s="5">
        <v>45398</v>
      </c>
      <c r="I495" t="s">
        <v>1187</v>
      </c>
      <c r="J495" t="s">
        <v>21</v>
      </c>
      <c r="K495" t="s">
        <v>63</v>
      </c>
      <c r="L495" s="1">
        <v>45383</v>
      </c>
      <c r="M495">
        <v>2024</v>
      </c>
    </row>
    <row r="496" spans="1:13" x14ac:dyDescent="0.25">
      <c r="A496" t="s">
        <v>1191</v>
      </c>
      <c r="B496">
        <v>2931</v>
      </c>
      <c r="C496">
        <v>212</v>
      </c>
      <c r="D496">
        <v>7</v>
      </c>
      <c r="E496" t="s">
        <v>13</v>
      </c>
      <c r="F496" t="s">
        <v>14</v>
      </c>
      <c r="G496" t="s">
        <v>47</v>
      </c>
      <c r="H496" s="5">
        <v>45469</v>
      </c>
      <c r="I496" t="s">
        <v>1192</v>
      </c>
      <c r="J496" t="s">
        <v>21</v>
      </c>
      <c r="K496" t="s">
        <v>172</v>
      </c>
      <c r="L496" s="1">
        <v>45444</v>
      </c>
      <c r="M496">
        <v>2024</v>
      </c>
    </row>
    <row r="497" spans="1:13" x14ac:dyDescent="0.25">
      <c r="A497" t="s">
        <v>1194</v>
      </c>
      <c r="B497">
        <v>1146</v>
      </c>
      <c r="C497">
        <v>188</v>
      </c>
      <c r="D497">
        <v>9</v>
      </c>
      <c r="E497" t="s">
        <v>45</v>
      </c>
      <c r="F497" t="s">
        <v>49</v>
      </c>
      <c r="G497" t="s">
        <v>32</v>
      </c>
      <c r="H497" s="5">
        <v>45623</v>
      </c>
      <c r="I497" t="s">
        <v>1195</v>
      </c>
      <c r="J497" t="s">
        <v>17</v>
      </c>
      <c r="K497" t="s">
        <v>150</v>
      </c>
      <c r="L497" s="1">
        <v>45597</v>
      </c>
      <c r="M497">
        <v>2024</v>
      </c>
    </row>
    <row r="498" spans="1:13" x14ac:dyDescent="0.25">
      <c r="A498" t="s">
        <v>1202</v>
      </c>
      <c r="B498">
        <v>5338</v>
      </c>
      <c r="C498">
        <v>1354</v>
      </c>
      <c r="D498">
        <v>16</v>
      </c>
      <c r="E498" t="s">
        <v>30</v>
      </c>
      <c r="F498" t="s">
        <v>57</v>
      </c>
      <c r="G498" t="s">
        <v>15</v>
      </c>
      <c r="H498" s="5">
        <v>45505</v>
      </c>
      <c r="I498" t="s">
        <v>1203</v>
      </c>
      <c r="J498" t="s">
        <v>21</v>
      </c>
      <c r="K498" t="s">
        <v>172</v>
      </c>
      <c r="L498" s="1">
        <v>45505</v>
      </c>
      <c r="M498">
        <v>2024</v>
      </c>
    </row>
    <row r="499" spans="1:13" x14ac:dyDescent="0.25">
      <c r="A499" t="s">
        <v>1202</v>
      </c>
      <c r="B499">
        <v>5338</v>
      </c>
      <c r="C499">
        <v>1354</v>
      </c>
      <c r="D499">
        <v>16</v>
      </c>
      <c r="E499" t="s">
        <v>30</v>
      </c>
      <c r="F499" t="s">
        <v>57</v>
      </c>
      <c r="G499" t="s">
        <v>15</v>
      </c>
      <c r="H499" s="5">
        <v>45586</v>
      </c>
      <c r="I499" t="s">
        <v>1205</v>
      </c>
      <c r="J499" t="s">
        <v>17</v>
      </c>
      <c r="K499" t="s">
        <v>34</v>
      </c>
      <c r="L499" s="1">
        <v>45566</v>
      </c>
      <c r="M499">
        <v>2024</v>
      </c>
    </row>
    <row r="500" spans="1:13" x14ac:dyDescent="0.25">
      <c r="A500" t="s">
        <v>1214</v>
      </c>
      <c r="B500">
        <v>1992</v>
      </c>
      <c r="C500">
        <v>355</v>
      </c>
      <c r="D500">
        <v>2</v>
      </c>
      <c r="E500" t="s">
        <v>13</v>
      </c>
      <c r="F500" t="s">
        <v>82</v>
      </c>
      <c r="G500" t="s">
        <v>65</v>
      </c>
      <c r="H500" s="5">
        <v>45640</v>
      </c>
      <c r="I500" t="s">
        <v>1215</v>
      </c>
      <c r="J500" t="s">
        <v>17</v>
      </c>
      <c r="K500" t="s">
        <v>150</v>
      </c>
      <c r="L500" s="1">
        <v>45627</v>
      </c>
      <c r="M500">
        <v>2024</v>
      </c>
    </row>
    <row r="501" spans="1:13" x14ac:dyDescent="0.25">
      <c r="A501" t="s">
        <v>1234</v>
      </c>
      <c r="B501">
        <v>9090</v>
      </c>
      <c r="C501">
        <v>3098</v>
      </c>
      <c r="D501">
        <v>16</v>
      </c>
      <c r="E501" t="s">
        <v>13</v>
      </c>
      <c r="F501" t="s">
        <v>82</v>
      </c>
      <c r="G501" t="s">
        <v>47</v>
      </c>
      <c r="H501" s="5">
        <v>45440</v>
      </c>
      <c r="I501" t="s">
        <v>1236</v>
      </c>
      <c r="J501" t="s">
        <v>21</v>
      </c>
      <c r="K501" t="s">
        <v>63</v>
      </c>
      <c r="L501" s="1">
        <v>45413</v>
      </c>
      <c r="M501">
        <v>2024</v>
      </c>
    </row>
    <row r="502" spans="1:13" x14ac:dyDescent="0.25">
      <c r="A502" t="s">
        <v>1234</v>
      </c>
      <c r="B502">
        <v>851</v>
      </c>
      <c r="C502">
        <v>356</v>
      </c>
      <c r="D502">
        <v>11</v>
      </c>
      <c r="E502" t="s">
        <v>13</v>
      </c>
      <c r="F502" t="s">
        <v>14</v>
      </c>
      <c r="G502" t="s">
        <v>47</v>
      </c>
      <c r="H502" s="5">
        <v>45440</v>
      </c>
      <c r="I502" t="s">
        <v>1236</v>
      </c>
      <c r="J502" t="s">
        <v>21</v>
      </c>
      <c r="K502" t="s">
        <v>63</v>
      </c>
      <c r="L502" s="1">
        <v>45413</v>
      </c>
      <c r="M502">
        <v>2024</v>
      </c>
    </row>
    <row r="503" spans="1:13" x14ac:dyDescent="0.25">
      <c r="A503" t="s">
        <v>1242</v>
      </c>
      <c r="B503">
        <v>2386</v>
      </c>
      <c r="C503">
        <v>999</v>
      </c>
      <c r="D503">
        <v>3</v>
      </c>
      <c r="E503" t="s">
        <v>30</v>
      </c>
      <c r="F503" t="s">
        <v>31</v>
      </c>
      <c r="G503" t="s">
        <v>65</v>
      </c>
      <c r="H503" s="5">
        <v>45335</v>
      </c>
      <c r="I503" t="s">
        <v>1243</v>
      </c>
      <c r="J503" t="s">
        <v>17</v>
      </c>
      <c r="K503" t="s">
        <v>18</v>
      </c>
      <c r="L503" s="1">
        <v>45323</v>
      </c>
      <c r="M503">
        <v>2024</v>
      </c>
    </row>
    <row r="504" spans="1:13" x14ac:dyDescent="0.25">
      <c r="A504" t="s">
        <v>1248</v>
      </c>
      <c r="B504">
        <v>7122</v>
      </c>
      <c r="C504">
        <v>1982</v>
      </c>
      <c r="D504">
        <v>7</v>
      </c>
      <c r="E504" t="s">
        <v>30</v>
      </c>
      <c r="F504" t="s">
        <v>57</v>
      </c>
      <c r="G504" t="s">
        <v>40</v>
      </c>
      <c r="H504" s="5">
        <v>45362</v>
      </c>
      <c r="I504" t="s">
        <v>1249</v>
      </c>
      <c r="J504" t="s">
        <v>21</v>
      </c>
      <c r="K504" t="s">
        <v>172</v>
      </c>
      <c r="L504" s="1">
        <v>45352</v>
      </c>
      <c r="M504">
        <v>2024</v>
      </c>
    </row>
    <row r="505" spans="1:13" x14ac:dyDescent="0.25">
      <c r="A505" t="s">
        <v>1267</v>
      </c>
      <c r="B505">
        <v>5994</v>
      </c>
      <c r="C505">
        <v>2826</v>
      </c>
      <c r="D505">
        <v>9</v>
      </c>
      <c r="E505" t="s">
        <v>45</v>
      </c>
      <c r="F505" t="s">
        <v>109</v>
      </c>
      <c r="G505" t="s">
        <v>40</v>
      </c>
      <c r="H505" s="5">
        <v>45363</v>
      </c>
      <c r="I505" t="s">
        <v>1269</v>
      </c>
      <c r="J505" t="s">
        <v>42</v>
      </c>
      <c r="K505" t="s">
        <v>43</v>
      </c>
      <c r="L505" s="1">
        <v>45352</v>
      </c>
      <c r="M505">
        <v>2024</v>
      </c>
    </row>
    <row r="506" spans="1:13" x14ac:dyDescent="0.25">
      <c r="A506" t="s">
        <v>1267</v>
      </c>
      <c r="B506">
        <v>5994</v>
      </c>
      <c r="C506">
        <v>2826</v>
      </c>
      <c r="D506">
        <v>9</v>
      </c>
      <c r="E506" t="s">
        <v>45</v>
      </c>
      <c r="F506" t="s">
        <v>109</v>
      </c>
      <c r="G506" t="s">
        <v>40</v>
      </c>
      <c r="H506" s="5">
        <v>45368</v>
      </c>
      <c r="I506" t="s">
        <v>1270</v>
      </c>
      <c r="J506" t="s">
        <v>25</v>
      </c>
      <c r="K506" t="s">
        <v>51</v>
      </c>
      <c r="L506" s="1">
        <v>45352</v>
      </c>
      <c r="M506">
        <v>2024</v>
      </c>
    </row>
    <row r="507" spans="1:13" x14ac:dyDescent="0.25">
      <c r="A507" t="s">
        <v>1278</v>
      </c>
      <c r="B507">
        <v>9752</v>
      </c>
      <c r="C507">
        <v>3618</v>
      </c>
      <c r="D507">
        <v>5</v>
      </c>
      <c r="E507" t="s">
        <v>45</v>
      </c>
      <c r="F507" t="s">
        <v>109</v>
      </c>
      <c r="G507" t="s">
        <v>32</v>
      </c>
      <c r="H507" s="5">
        <v>45343</v>
      </c>
      <c r="I507" t="s">
        <v>1279</v>
      </c>
      <c r="J507" t="s">
        <v>25</v>
      </c>
      <c r="K507" t="s">
        <v>68</v>
      </c>
      <c r="L507" s="1">
        <v>45323</v>
      </c>
      <c r="M507">
        <v>2024</v>
      </c>
    </row>
    <row r="508" spans="1:13" x14ac:dyDescent="0.25">
      <c r="A508" t="s">
        <v>1294</v>
      </c>
      <c r="B508">
        <v>2684</v>
      </c>
      <c r="C508">
        <v>713</v>
      </c>
      <c r="D508">
        <v>2</v>
      </c>
      <c r="E508" t="s">
        <v>13</v>
      </c>
      <c r="F508" t="s">
        <v>14</v>
      </c>
      <c r="G508" t="s">
        <v>15</v>
      </c>
      <c r="H508" s="5">
        <v>45458</v>
      </c>
      <c r="I508" t="s">
        <v>1295</v>
      </c>
      <c r="J508" t="s">
        <v>25</v>
      </c>
      <c r="K508" t="s">
        <v>51</v>
      </c>
      <c r="L508" s="1">
        <v>45444</v>
      </c>
      <c r="M508">
        <v>2024</v>
      </c>
    </row>
    <row r="509" spans="1:13" x14ac:dyDescent="0.25">
      <c r="A509" t="s">
        <v>1298</v>
      </c>
      <c r="B509">
        <v>7626</v>
      </c>
      <c r="C509">
        <v>229</v>
      </c>
      <c r="D509">
        <v>5</v>
      </c>
      <c r="E509" t="s">
        <v>30</v>
      </c>
      <c r="F509" t="s">
        <v>31</v>
      </c>
      <c r="G509" t="s">
        <v>40</v>
      </c>
      <c r="H509" s="5">
        <v>45333</v>
      </c>
      <c r="I509" t="s">
        <v>1299</v>
      </c>
      <c r="J509" t="s">
        <v>21</v>
      </c>
      <c r="K509" t="s">
        <v>63</v>
      </c>
      <c r="L509" s="1">
        <v>45323</v>
      </c>
      <c r="M509">
        <v>2024</v>
      </c>
    </row>
    <row r="510" spans="1:13" x14ac:dyDescent="0.25">
      <c r="A510" t="s">
        <v>1305</v>
      </c>
      <c r="B510">
        <v>3265</v>
      </c>
      <c r="C510">
        <v>1390</v>
      </c>
      <c r="D510">
        <v>16</v>
      </c>
      <c r="E510" t="s">
        <v>30</v>
      </c>
      <c r="F510" t="s">
        <v>64</v>
      </c>
      <c r="G510" t="s">
        <v>47</v>
      </c>
      <c r="H510" s="5">
        <v>45308</v>
      </c>
      <c r="I510" t="s">
        <v>1306</v>
      </c>
      <c r="J510" t="s">
        <v>42</v>
      </c>
      <c r="K510" t="s">
        <v>43</v>
      </c>
      <c r="L510" s="1">
        <v>45292</v>
      </c>
      <c r="M510">
        <v>2024</v>
      </c>
    </row>
    <row r="511" spans="1:13" x14ac:dyDescent="0.25">
      <c r="A511" t="s">
        <v>1322</v>
      </c>
      <c r="B511">
        <v>3084</v>
      </c>
      <c r="C511">
        <v>611</v>
      </c>
      <c r="D511">
        <v>19</v>
      </c>
      <c r="E511" t="s">
        <v>45</v>
      </c>
      <c r="F511" t="s">
        <v>109</v>
      </c>
      <c r="G511" t="s">
        <v>15</v>
      </c>
      <c r="H511" s="5">
        <v>45433</v>
      </c>
      <c r="I511" t="s">
        <v>1323</v>
      </c>
      <c r="J511" t="s">
        <v>71</v>
      </c>
      <c r="K511" t="s">
        <v>72</v>
      </c>
      <c r="L511" s="1">
        <v>45413</v>
      </c>
      <c r="M511">
        <v>2024</v>
      </c>
    </row>
    <row r="512" spans="1:13" x14ac:dyDescent="0.25">
      <c r="A512" t="s">
        <v>1348</v>
      </c>
      <c r="B512">
        <v>5951</v>
      </c>
      <c r="C512">
        <v>936</v>
      </c>
      <c r="D512">
        <v>6</v>
      </c>
      <c r="E512" t="s">
        <v>13</v>
      </c>
      <c r="F512" t="s">
        <v>39</v>
      </c>
      <c r="G512" t="s">
        <v>32</v>
      </c>
      <c r="H512" s="5">
        <v>45511</v>
      </c>
      <c r="I512" t="s">
        <v>1349</v>
      </c>
      <c r="J512" t="s">
        <v>71</v>
      </c>
      <c r="K512" t="s">
        <v>72</v>
      </c>
      <c r="L512" s="1">
        <v>45505</v>
      </c>
      <c r="M512">
        <v>2024</v>
      </c>
    </row>
    <row r="513" spans="1:13" x14ac:dyDescent="0.25">
      <c r="A513" t="s">
        <v>1351</v>
      </c>
      <c r="B513">
        <v>992</v>
      </c>
      <c r="C513">
        <v>177</v>
      </c>
      <c r="D513">
        <v>6</v>
      </c>
      <c r="E513" t="s">
        <v>13</v>
      </c>
      <c r="F513" t="s">
        <v>82</v>
      </c>
      <c r="G513" t="s">
        <v>15</v>
      </c>
      <c r="H513" s="5">
        <v>45304</v>
      </c>
      <c r="I513" t="s">
        <v>1352</v>
      </c>
      <c r="J513" t="s">
        <v>42</v>
      </c>
      <c r="K513" t="s">
        <v>43</v>
      </c>
      <c r="L513" s="1">
        <v>45292</v>
      </c>
      <c r="M513">
        <v>2024</v>
      </c>
    </row>
    <row r="514" spans="1:13" x14ac:dyDescent="0.25">
      <c r="A514" t="s">
        <v>1351</v>
      </c>
      <c r="B514">
        <v>4699</v>
      </c>
      <c r="C514">
        <v>625</v>
      </c>
      <c r="D514">
        <v>18</v>
      </c>
      <c r="E514" t="s">
        <v>30</v>
      </c>
      <c r="F514" t="s">
        <v>57</v>
      </c>
      <c r="G514" t="s">
        <v>40</v>
      </c>
      <c r="H514" s="5">
        <v>45304</v>
      </c>
      <c r="I514" t="s">
        <v>1352</v>
      </c>
      <c r="J514" t="s">
        <v>42</v>
      </c>
      <c r="K514" t="s">
        <v>43</v>
      </c>
      <c r="L514" s="1">
        <v>45292</v>
      </c>
      <c r="M514">
        <v>2024</v>
      </c>
    </row>
    <row r="515" spans="1:13" x14ac:dyDescent="0.25">
      <c r="A515" t="s">
        <v>1359</v>
      </c>
      <c r="B515">
        <v>7620</v>
      </c>
      <c r="C515">
        <v>125</v>
      </c>
      <c r="D515">
        <v>4</v>
      </c>
      <c r="E515" t="s">
        <v>30</v>
      </c>
      <c r="F515" t="s">
        <v>64</v>
      </c>
      <c r="G515" t="s">
        <v>40</v>
      </c>
      <c r="H515" s="5">
        <v>45577</v>
      </c>
      <c r="I515" t="s">
        <v>1361</v>
      </c>
      <c r="J515" t="s">
        <v>42</v>
      </c>
      <c r="K515" t="s">
        <v>92</v>
      </c>
      <c r="L515" s="1">
        <v>45566</v>
      </c>
      <c r="M515">
        <v>2024</v>
      </c>
    </row>
    <row r="516" spans="1:13" x14ac:dyDescent="0.25">
      <c r="A516" t="s">
        <v>1364</v>
      </c>
      <c r="B516">
        <v>8851</v>
      </c>
      <c r="C516">
        <v>999</v>
      </c>
      <c r="D516">
        <v>12</v>
      </c>
      <c r="E516" t="s">
        <v>13</v>
      </c>
      <c r="F516" t="s">
        <v>39</v>
      </c>
      <c r="G516" t="s">
        <v>15</v>
      </c>
      <c r="H516" s="5">
        <v>45329</v>
      </c>
      <c r="I516" t="s">
        <v>1365</v>
      </c>
      <c r="J516" t="s">
        <v>98</v>
      </c>
      <c r="K516" t="s">
        <v>107</v>
      </c>
      <c r="L516" s="1">
        <v>45323</v>
      </c>
      <c r="M516">
        <v>2024</v>
      </c>
    </row>
    <row r="517" spans="1:13" x14ac:dyDescent="0.25">
      <c r="A517" t="s">
        <v>1373</v>
      </c>
      <c r="B517">
        <v>2258</v>
      </c>
      <c r="C517">
        <v>135</v>
      </c>
      <c r="D517">
        <v>18</v>
      </c>
      <c r="E517" t="s">
        <v>13</v>
      </c>
      <c r="F517" t="s">
        <v>28</v>
      </c>
      <c r="G517" t="s">
        <v>47</v>
      </c>
      <c r="H517" s="5">
        <v>45329</v>
      </c>
      <c r="I517" t="s">
        <v>1374</v>
      </c>
      <c r="J517" t="s">
        <v>17</v>
      </c>
      <c r="K517" t="s">
        <v>18</v>
      </c>
      <c r="L517" s="1">
        <v>45323</v>
      </c>
      <c r="M517">
        <v>2024</v>
      </c>
    </row>
    <row r="518" spans="1:13" x14ac:dyDescent="0.25">
      <c r="A518" t="s">
        <v>1376</v>
      </c>
      <c r="B518">
        <v>9609</v>
      </c>
      <c r="C518">
        <v>4339</v>
      </c>
      <c r="D518">
        <v>3</v>
      </c>
      <c r="E518" t="s">
        <v>45</v>
      </c>
      <c r="F518" t="s">
        <v>60</v>
      </c>
      <c r="G518" t="s">
        <v>32</v>
      </c>
      <c r="H518" s="5">
        <v>45554</v>
      </c>
      <c r="I518" t="s">
        <v>1377</v>
      </c>
      <c r="J518" t="s">
        <v>71</v>
      </c>
      <c r="K518" t="s">
        <v>138</v>
      </c>
      <c r="L518" s="1">
        <v>45536</v>
      </c>
      <c r="M518">
        <v>2024</v>
      </c>
    </row>
    <row r="519" spans="1:13" x14ac:dyDescent="0.25">
      <c r="A519" t="s">
        <v>1388</v>
      </c>
      <c r="B519">
        <v>4521</v>
      </c>
      <c r="C519">
        <v>1778</v>
      </c>
      <c r="D519">
        <v>9</v>
      </c>
      <c r="E519" t="s">
        <v>30</v>
      </c>
      <c r="F519" t="s">
        <v>64</v>
      </c>
      <c r="G519" t="s">
        <v>32</v>
      </c>
      <c r="H519" s="5">
        <v>45580</v>
      </c>
      <c r="I519" t="s">
        <v>1389</v>
      </c>
      <c r="J519" t="s">
        <v>17</v>
      </c>
      <c r="K519" t="s">
        <v>150</v>
      </c>
      <c r="L519" s="1">
        <v>45566</v>
      </c>
      <c r="M519">
        <v>2024</v>
      </c>
    </row>
    <row r="520" spans="1:13" x14ac:dyDescent="0.25">
      <c r="A520" t="s">
        <v>1396</v>
      </c>
      <c r="B520">
        <v>6672</v>
      </c>
      <c r="C520">
        <v>3319</v>
      </c>
      <c r="D520">
        <v>4</v>
      </c>
      <c r="E520" t="s">
        <v>45</v>
      </c>
      <c r="F520" t="s">
        <v>46</v>
      </c>
      <c r="G520" t="s">
        <v>15</v>
      </c>
      <c r="H520" s="5">
        <v>45432</v>
      </c>
      <c r="I520" t="s">
        <v>1398</v>
      </c>
      <c r="J520" t="s">
        <v>42</v>
      </c>
      <c r="K520" t="s">
        <v>75</v>
      </c>
      <c r="L520" s="1">
        <v>45413</v>
      </c>
      <c r="M520">
        <v>2024</v>
      </c>
    </row>
    <row r="521" spans="1:13" x14ac:dyDescent="0.25">
      <c r="A521" t="s">
        <v>1399</v>
      </c>
      <c r="B521">
        <v>4699</v>
      </c>
      <c r="C521">
        <v>103</v>
      </c>
      <c r="D521">
        <v>12</v>
      </c>
      <c r="E521" t="s">
        <v>30</v>
      </c>
      <c r="F521" t="s">
        <v>78</v>
      </c>
      <c r="G521" t="s">
        <v>15</v>
      </c>
      <c r="H521" s="5">
        <v>45433</v>
      </c>
      <c r="I521" t="s">
        <v>1400</v>
      </c>
      <c r="J521" t="s">
        <v>98</v>
      </c>
      <c r="K521" t="s">
        <v>107</v>
      </c>
      <c r="L521" s="1">
        <v>45413</v>
      </c>
      <c r="M521">
        <v>2024</v>
      </c>
    </row>
    <row r="522" spans="1:13" x14ac:dyDescent="0.25">
      <c r="A522" t="s">
        <v>1407</v>
      </c>
      <c r="B522">
        <v>9272</v>
      </c>
      <c r="C522">
        <v>1771</v>
      </c>
      <c r="D522">
        <v>19</v>
      </c>
      <c r="E522" t="s">
        <v>30</v>
      </c>
      <c r="F522" t="s">
        <v>57</v>
      </c>
      <c r="G522" t="s">
        <v>15</v>
      </c>
      <c r="H522" s="5">
        <v>45610</v>
      </c>
      <c r="I522" t="s">
        <v>1408</v>
      </c>
      <c r="J522" t="s">
        <v>21</v>
      </c>
      <c r="K522" t="s">
        <v>63</v>
      </c>
      <c r="L522" s="1">
        <v>45597</v>
      </c>
      <c r="M522">
        <v>2024</v>
      </c>
    </row>
    <row r="523" spans="1:13" x14ac:dyDescent="0.25">
      <c r="A523" t="s">
        <v>1413</v>
      </c>
      <c r="B523">
        <v>7992</v>
      </c>
      <c r="C523">
        <v>893</v>
      </c>
      <c r="D523">
        <v>12</v>
      </c>
      <c r="E523" t="s">
        <v>13</v>
      </c>
      <c r="F523" t="s">
        <v>39</v>
      </c>
      <c r="G523" t="s">
        <v>47</v>
      </c>
      <c r="H523" s="5">
        <v>45548</v>
      </c>
      <c r="I523" t="s">
        <v>1414</v>
      </c>
      <c r="J523" t="s">
        <v>98</v>
      </c>
      <c r="K523" t="s">
        <v>117</v>
      </c>
      <c r="L523" s="1">
        <v>45536</v>
      </c>
      <c r="M523">
        <v>2024</v>
      </c>
    </row>
    <row r="524" spans="1:13" x14ac:dyDescent="0.25">
      <c r="A524" t="s">
        <v>1417</v>
      </c>
      <c r="B524">
        <v>6499</v>
      </c>
      <c r="C524">
        <v>2189</v>
      </c>
      <c r="D524">
        <v>18</v>
      </c>
      <c r="E524" t="s">
        <v>13</v>
      </c>
      <c r="F524" t="s">
        <v>14</v>
      </c>
      <c r="G524" t="s">
        <v>40</v>
      </c>
      <c r="H524" s="5">
        <v>45458</v>
      </c>
      <c r="I524" t="s">
        <v>1418</v>
      </c>
      <c r="J524" t="s">
        <v>25</v>
      </c>
      <c r="K524" t="s">
        <v>51</v>
      </c>
      <c r="L524" s="1">
        <v>45444</v>
      </c>
      <c r="M524">
        <v>2024</v>
      </c>
    </row>
    <row r="525" spans="1:13" x14ac:dyDescent="0.25">
      <c r="A525" t="s">
        <v>1427</v>
      </c>
      <c r="B525">
        <v>3451</v>
      </c>
      <c r="C525">
        <v>658</v>
      </c>
      <c r="D525">
        <v>3</v>
      </c>
      <c r="E525" t="s">
        <v>30</v>
      </c>
      <c r="F525" t="s">
        <v>57</v>
      </c>
      <c r="G525" t="s">
        <v>15</v>
      </c>
      <c r="H525" s="5">
        <v>45654</v>
      </c>
      <c r="I525" t="s">
        <v>1428</v>
      </c>
      <c r="J525" t="s">
        <v>21</v>
      </c>
      <c r="K525" t="s">
        <v>22</v>
      </c>
      <c r="L525" s="1">
        <v>45627</v>
      </c>
      <c r="M525">
        <v>2024</v>
      </c>
    </row>
    <row r="526" spans="1:13" x14ac:dyDescent="0.25">
      <c r="A526" t="s">
        <v>1438</v>
      </c>
      <c r="B526">
        <v>2689</v>
      </c>
      <c r="C526">
        <v>1330</v>
      </c>
      <c r="D526">
        <v>3</v>
      </c>
      <c r="E526" t="s">
        <v>45</v>
      </c>
      <c r="F526" t="s">
        <v>46</v>
      </c>
      <c r="G526" t="s">
        <v>15</v>
      </c>
      <c r="H526" s="5">
        <v>45441</v>
      </c>
      <c r="I526" t="s">
        <v>1440</v>
      </c>
      <c r="J526" t="s">
        <v>17</v>
      </c>
      <c r="K526" t="s">
        <v>18</v>
      </c>
      <c r="L526" s="1">
        <v>45413</v>
      </c>
      <c r="M526">
        <v>2024</v>
      </c>
    </row>
    <row r="527" spans="1:13" x14ac:dyDescent="0.25">
      <c r="A527" t="s">
        <v>1443</v>
      </c>
      <c r="B527">
        <v>5024</v>
      </c>
      <c r="C527">
        <v>379</v>
      </c>
      <c r="D527">
        <v>2</v>
      </c>
      <c r="E527" t="s">
        <v>30</v>
      </c>
      <c r="F527" t="s">
        <v>64</v>
      </c>
      <c r="G527" t="s">
        <v>15</v>
      </c>
      <c r="H527" s="5">
        <v>45384</v>
      </c>
      <c r="I527" t="s">
        <v>1444</v>
      </c>
      <c r="J527" t="s">
        <v>71</v>
      </c>
      <c r="K527" t="s">
        <v>72</v>
      </c>
      <c r="L527" s="1">
        <v>45383</v>
      </c>
      <c r="M527">
        <v>2024</v>
      </c>
    </row>
    <row r="528" spans="1:13" x14ac:dyDescent="0.25">
      <c r="A528" t="s">
        <v>1458</v>
      </c>
      <c r="B528">
        <v>8825</v>
      </c>
      <c r="C528">
        <v>3594</v>
      </c>
      <c r="D528">
        <v>15</v>
      </c>
      <c r="E528" t="s">
        <v>45</v>
      </c>
      <c r="F528" t="s">
        <v>46</v>
      </c>
      <c r="G528" t="s">
        <v>32</v>
      </c>
      <c r="H528" s="5">
        <v>45504</v>
      </c>
      <c r="I528" t="s">
        <v>1459</v>
      </c>
      <c r="J528" t="s">
        <v>25</v>
      </c>
      <c r="K528" t="s">
        <v>51</v>
      </c>
      <c r="L528" s="1">
        <v>45474</v>
      </c>
      <c r="M528">
        <v>2024</v>
      </c>
    </row>
    <row r="529" spans="1:13" x14ac:dyDescent="0.25">
      <c r="A529" t="s">
        <v>1464</v>
      </c>
      <c r="B529">
        <v>914</v>
      </c>
      <c r="C529">
        <v>163</v>
      </c>
      <c r="D529">
        <v>13</v>
      </c>
      <c r="E529" t="s">
        <v>30</v>
      </c>
      <c r="F529" t="s">
        <v>57</v>
      </c>
      <c r="G529" t="s">
        <v>15</v>
      </c>
      <c r="H529" s="5">
        <v>45591</v>
      </c>
      <c r="I529" t="s">
        <v>1465</v>
      </c>
      <c r="J529" t="s">
        <v>21</v>
      </c>
      <c r="K529" t="s">
        <v>22</v>
      </c>
      <c r="L529" s="1">
        <v>45566</v>
      </c>
      <c r="M529">
        <v>2024</v>
      </c>
    </row>
    <row r="530" spans="1:13" x14ac:dyDescent="0.25">
      <c r="A530" t="s">
        <v>12</v>
      </c>
      <c r="B530">
        <v>9726</v>
      </c>
      <c r="C530">
        <v>1275</v>
      </c>
      <c r="D530">
        <v>5</v>
      </c>
      <c r="E530" t="s">
        <v>13</v>
      </c>
      <c r="F530" t="s">
        <v>14</v>
      </c>
      <c r="G530" t="s">
        <v>15</v>
      </c>
      <c r="H530" s="5">
        <v>45104</v>
      </c>
      <c r="I530" t="s">
        <v>16</v>
      </c>
      <c r="J530" t="s">
        <v>17</v>
      </c>
      <c r="K530" t="s">
        <v>18</v>
      </c>
      <c r="L530" s="1">
        <v>45078</v>
      </c>
      <c r="M530">
        <v>2023</v>
      </c>
    </row>
    <row r="531" spans="1:13" x14ac:dyDescent="0.25">
      <c r="A531" t="s">
        <v>12</v>
      </c>
      <c r="B531">
        <v>4975</v>
      </c>
      <c r="C531">
        <v>1330</v>
      </c>
      <c r="D531">
        <v>14</v>
      </c>
      <c r="E531" t="s">
        <v>13</v>
      </c>
      <c r="F531" t="s">
        <v>28</v>
      </c>
      <c r="G531" t="s">
        <v>15</v>
      </c>
      <c r="H531" s="5">
        <v>45104</v>
      </c>
      <c r="I531" t="s">
        <v>16</v>
      </c>
      <c r="J531" t="s">
        <v>17</v>
      </c>
      <c r="K531" t="s">
        <v>18</v>
      </c>
      <c r="L531" s="1">
        <v>45078</v>
      </c>
      <c r="M531">
        <v>2023</v>
      </c>
    </row>
    <row r="532" spans="1:13" x14ac:dyDescent="0.25">
      <c r="A532" t="s">
        <v>48</v>
      </c>
      <c r="B532">
        <v>2516</v>
      </c>
      <c r="C532">
        <v>734</v>
      </c>
      <c r="D532">
        <v>19</v>
      </c>
      <c r="E532" t="s">
        <v>45</v>
      </c>
      <c r="F532" t="s">
        <v>49</v>
      </c>
      <c r="G532" t="s">
        <v>15</v>
      </c>
      <c r="H532" s="5">
        <v>45242</v>
      </c>
      <c r="I532" t="s">
        <v>50</v>
      </c>
      <c r="J532" t="s">
        <v>25</v>
      </c>
      <c r="K532" t="s">
        <v>51</v>
      </c>
      <c r="L532" s="1">
        <v>45231</v>
      </c>
      <c r="M532">
        <v>2023</v>
      </c>
    </row>
    <row r="533" spans="1:13" x14ac:dyDescent="0.25">
      <c r="A533" t="s">
        <v>61</v>
      </c>
      <c r="B533">
        <v>7600</v>
      </c>
      <c r="C533">
        <v>1098</v>
      </c>
      <c r="D533">
        <v>10</v>
      </c>
      <c r="E533" t="s">
        <v>30</v>
      </c>
      <c r="F533" t="s">
        <v>31</v>
      </c>
      <c r="G533" t="s">
        <v>15</v>
      </c>
      <c r="H533" s="5">
        <v>45239</v>
      </c>
      <c r="I533" t="s">
        <v>62</v>
      </c>
      <c r="J533" t="s">
        <v>21</v>
      </c>
      <c r="K533" t="s">
        <v>63</v>
      </c>
      <c r="L533" s="1">
        <v>45231</v>
      </c>
      <c r="M533">
        <v>2023</v>
      </c>
    </row>
    <row r="534" spans="1:13" x14ac:dyDescent="0.25">
      <c r="A534" t="s">
        <v>61</v>
      </c>
      <c r="B534">
        <v>7501</v>
      </c>
      <c r="C534">
        <v>262</v>
      </c>
      <c r="D534">
        <v>18</v>
      </c>
      <c r="E534" t="s">
        <v>30</v>
      </c>
      <c r="F534" t="s">
        <v>64</v>
      </c>
      <c r="G534" t="s">
        <v>65</v>
      </c>
      <c r="H534" s="5">
        <v>45239</v>
      </c>
      <c r="I534" t="s">
        <v>62</v>
      </c>
      <c r="J534" t="s">
        <v>21</v>
      </c>
      <c r="K534" t="s">
        <v>63</v>
      </c>
      <c r="L534" s="1">
        <v>45231</v>
      </c>
      <c r="M534">
        <v>2023</v>
      </c>
    </row>
    <row r="535" spans="1:13" x14ac:dyDescent="0.25">
      <c r="A535" t="s">
        <v>88</v>
      </c>
      <c r="B535">
        <v>5219</v>
      </c>
      <c r="C535">
        <v>1180</v>
      </c>
      <c r="D535">
        <v>20</v>
      </c>
      <c r="E535" t="s">
        <v>30</v>
      </c>
      <c r="F535" t="s">
        <v>78</v>
      </c>
      <c r="G535" t="s">
        <v>65</v>
      </c>
      <c r="H535" s="5">
        <v>44960</v>
      </c>
      <c r="I535" t="s">
        <v>91</v>
      </c>
      <c r="J535" t="s">
        <v>42</v>
      </c>
      <c r="K535" t="s">
        <v>92</v>
      </c>
      <c r="L535" s="1">
        <v>44958</v>
      </c>
      <c r="M535">
        <v>2023</v>
      </c>
    </row>
    <row r="536" spans="1:13" x14ac:dyDescent="0.25">
      <c r="A536" t="s">
        <v>100</v>
      </c>
      <c r="B536">
        <v>6045</v>
      </c>
      <c r="C536">
        <v>1606</v>
      </c>
      <c r="D536">
        <v>4</v>
      </c>
      <c r="E536" t="s">
        <v>30</v>
      </c>
      <c r="F536" t="s">
        <v>64</v>
      </c>
      <c r="G536" t="s">
        <v>65</v>
      </c>
      <c r="H536" s="5">
        <v>45274</v>
      </c>
      <c r="I536" t="s">
        <v>101</v>
      </c>
      <c r="J536" t="s">
        <v>17</v>
      </c>
      <c r="K536" t="s">
        <v>34</v>
      </c>
      <c r="L536" s="1">
        <v>45261</v>
      </c>
      <c r="M536">
        <v>2023</v>
      </c>
    </row>
    <row r="537" spans="1:13" x14ac:dyDescent="0.25">
      <c r="A537" t="s">
        <v>100</v>
      </c>
      <c r="B537">
        <v>9337</v>
      </c>
      <c r="C537">
        <v>554</v>
      </c>
      <c r="D537">
        <v>11</v>
      </c>
      <c r="E537" t="s">
        <v>30</v>
      </c>
      <c r="F537" t="s">
        <v>31</v>
      </c>
      <c r="G537" t="s">
        <v>65</v>
      </c>
      <c r="H537" s="5">
        <v>45274</v>
      </c>
      <c r="I537" t="s">
        <v>101</v>
      </c>
      <c r="J537" t="s">
        <v>17</v>
      </c>
      <c r="K537" t="s">
        <v>34</v>
      </c>
      <c r="L537" s="1">
        <v>45261</v>
      </c>
      <c r="M537">
        <v>2023</v>
      </c>
    </row>
    <row r="538" spans="1:13" x14ac:dyDescent="0.25">
      <c r="A538" t="s">
        <v>103</v>
      </c>
      <c r="B538">
        <v>4051</v>
      </c>
      <c r="C538">
        <v>1848</v>
      </c>
      <c r="D538">
        <v>12</v>
      </c>
      <c r="E538" t="s">
        <v>13</v>
      </c>
      <c r="F538" t="s">
        <v>82</v>
      </c>
      <c r="G538" t="s">
        <v>47</v>
      </c>
      <c r="H538" s="5">
        <v>45110</v>
      </c>
      <c r="I538" t="s">
        <v>104</v>
      </c>
      <c r="J538" t="s">
        <v>42</v>
      </c>
      <c r="K538" t="s">
        <v>75</v>
      </c>
      <c r="L538" s="1">
        <v>45108</v>
      </c>
      <c r="M538">
        <v>2023</v>
      </c>
    </row>
    <row r="539" spans="1:13" x14ac:dyDescent="0.25">
      <c r="A539" t="s">
        <v>103</v>
      </c>
      <c r="B539">
        <v>5011</v>
      </c>
      <c r="C539">
        <v>866</v>
      </c>
      <c r="D539">
        <v>11</v>
      </c>
      <c r="E539" t="s">
        <v>45</v>
      </c>
      <c r="F539" t="s">
        <v>109</v>
      </c>
      <c r="G539" t="s">
        <v>47</v>
      </c>
      <c r="H539" s="5">
        <v>45110</v>
      </c>
      <c r="I539" t="s">
        <v>104</v>
      </c>
      <c r="J539" t="s">
        <v>42</v>
      </c>
      <c r="K539" t="s">
        <v>75</v>
      </c>
      <c r="L539" s="1">
        <v>45108</v>
      </c>
      <c r="M539">
        <v>2023</v>
      </c>
    </row>
    <row r="540" spans="1:13" x14ac:dyDescent="0.25">
      <c r="A540" t="s">
        <v>115</v>
      </c>
      <c r="B540">
        <v>8293</v>
      </c>
      <c r="C540">
        <v>2632</v>
      </c>
      <c r="D540">
        <v>8</v>
      </c>
      <c r="E540" t="s">
        <v>30</v>
      </c>
      <c r="F540" t="s">
        <v>78</v>
      </c>
      <c r="G540" t="s">
        <v>65</v>
      </c>
      <c r="H540" s="5">
        <v>45159</v>
      </c>
      <c r="I540" t="s">
        <v>120</v>
      </c>
      <c r="J540" t="s">
        <v>42</v>
      </c>
      <c r="K540" t="s">
        <v>43</v>
      </c>
      <c r="L540" s="1">
        <v>45139</v>
      </c>
      <c r="M540">
        <v>2023</v>
      </c>
    </row>
    <row r="541" spans="1:13" x14ac:dyDescent="0.25">
      <c r="A541" t="s">
        <v>115</v>
      </c>
      <c r="B541">
        <v>2863</v>
      </c>
      <c r="C541">
        <v>205</v>
      </c>
      <c r="D541">
        <v>17</v>
      </c>
      <c r="E541" t="s">
        <v>13</v>
      </c>
      <c r="F541" t="s">
        <v>82</v>
      </c>
      <c r="G541" t="s">
        <v>15</v>
      </c>
      <c r="H541" s="5">
        <v>45159</v>
      </c>
      <c r="I541" t="s">
        <v>120</v>
      </c>
      <c r="J541" t="s">
        <v>42</v>
      </c>
      <c r="K541" t="s">
        <v>43</v>
      </c>
      <c r="L541" s="1">
        <v>45139</v>
      </c>
      <c r="M541">
        <v>2023</v>
      </c>
    </row>
    <row r="542" spans="1:13" x14ac:dyDescent="0.25">
      <c r="A542" t="s">
        <v>122</v>
      </c>
      <c r="B542">
        <v>3090</v>
      </c>
      <c r="C542">
        <v>573</v>
      </c>
      <c r="D542">
        <v>6</v>
      </c>
      <c r="E542" t="s">
        <v>45</v>
      </c>
      <c r="F542" t="s">
        <v>46</v>
      </c>
      <c r="G542" t="s">
        <v>40</v>
      </c>
      <c r="H542" s="5">
        <v>45073</v>
      </c>
      <c r="I542" t="s">
        <v>126</v>
      </c>
      <c r="J542" t="s">
        <v>71</v>
      </c>
      <c r="K542" t="s">
        <v>86</v>
      </c>
      <c r="L542" s="1">
        <v>45047</v>
      </c>
      <c r="M542">
        <v>2023</v>
      </c>
    </row>
    <row r="543" spans="1:13" x14ac:dyDescent="0.25">
      <c r="A543" t="s">
        <v>122</v>
      </c>
      <c r="B543">
        <v>9683</v>
      </c>
      <c r="C543">
        <v>1014</v>
      </c>
      <c r="D543">
        <v>5</v>
      </c>
      <c r="E543" t="s">
        <v>13</v>
      </c>
      <c r="F543" t="s">
        <v>28</v>
      </c>
      <c r="G543" t="s">
        <v>15</v>
      </c>
      <c r="H543" s="5">
        <v>45073</v>
      </c>
      <c r="I543" t="s">
        <v>126</v>
      </c>
      <c r="J543" t="s">
        <v>71</v>
      </c>
      <c r="K543" t="s">
        <v>86</v>
      </c>
      <c r="L543" s="1">
        <v>45047</v>
      </c>
      <c r="M543">
        <v>2023</v>
      </c>
    </row>
    <row r="544" spans="1:13" x14ac:dyDescent="0.25">
      <c r="A544" t="s">
        <v>142</v>
      </c>
      <c r="B544">
        <v>953</v>
      </c>
      <c r="C544">
        <v>93</v>
      </c>
      <c r="D544">
        <v>2</v>
      </c>
      <c r="E544" t="s">
        <v>30</v>
      </c>
      <c r="F544" t="s">
        <v>64</v>
      </c>
      <c r="G544" t="s">
        <v>32</v>
      </c>
      <c r="H544" s="5">
        <v>45022</v>
      </c>
      <c r="I544" t="s">
        <v>144</v>
      </c>
      <c r="J544" t="s">
        <v>42</v>
      </c>
      <c r="K544" t="s">
        <v>43</v>
      </c>
      <c r="L544" s="1">
        <v>45017</v>
      </c>
      <c r="M544">
        <v>2023</v>
      </c>
    </row>
    <row r="545" spans="1:13" x14ac:dyDescent="0.25">
      <c r="A545" t="s">
        <v>142</v>
      </c>
      <c r="B545">
        <v>7355</v>
      </c>
      <c r="C545">
        <v>1034</v>
      </c>
      <c r="D545">
        <v>3</v>
      </c>
      <c r="E545" t="s">
        <v>45</v>
      </c>
      <c r="F545" t="s">
        <v>60</v>
      </c>
      <c r="G545" t="s">
        <v>65</v>
      </c>
      <c r="H545" s="5">
        <v>45022</v>
      </c>
      <c r="I545" t="s">
        <v>144</v>
      </c>
      <c r="J545" t="s">
        <v>42</v>
      </c>
      <c r="K545" t="s">
        <v>43</v>
      </c>
      <c r="L545" s="1">
        <v>45017</v>
      </c>
      <c r="M545">
        <v>2023</v>
      </c>
    </row>
    <row r="546" spans="1:13" x14ac:dyDescent="0.25">
      <c r="A546" t="s">
        <v>142</v>
      </c>
      <c r="B546">
        <v>1843</v>
      </c>
      <c r="C546">
        <v>248</v>
      </c>
      <c r="D546">
        <v>3</v>
      </c>
      <c r="E546" t="s">
        <v>13</v>
      </c>
      <c r="F546" t="s">
        <v>82</v>
      </c>
      <c r="G546" t="s">
        <v>47</v>
      </c>
      <c r="H546" s="5">
        <v>45022</v>
      </c>
      <c r="I546" t="s">
        <v>144</v>
      </c>
      <c r="J546" t="s">
        <v>42</v>
      </c>
      <c r="K546" t="s">
        <v>43</v>
      </c>
      <c r="L546" s="1">
        <v>45017</v>
      </c>
      <c r="M546">
        <v>2023</v>
      </c>
    </row>
    <row r="547" spans="1:13" x14ac:dyDescent="0.25">
      <c r="A547" t="s">
        <v>142</v>
      </c>
      <c r="B547">
        <v>1603</v>
      </c>
      <c r="C547">
        <v>361</v>
      </c>
      <c r="D547">
        <v>10</v>
      </c>
      <c r="E547" t="s">
        <v>30</v>
      </c>
      <c r="F547" t="s">
        <v>31</v>
      </c>
      <c r="G547" t="s">
        <v>32</v>
      </c>
      <c r="H547" s="5">
        <v>45022</v>
      </c>
      <c r="I547" t="s">
        <v>144</v>
      </c>
      <c r="J547" t="s">
        <v>42</v>
      </c>
      <c r="K547" t="s">
        <v>43</v>
      </c>
      <c r="L547" s="1">
        <v>45017</v>
      </c>
      <c r="M547">
        <v>2023</v>
      </c>
    </row>
    <row r="548" spans="1:13" x14ac:dyDescent="0.25">
      <c r="A548" t="s">
        <v>153</v>
      </c>
      <c r="B548">
        <v>7533</v>
      </c>
      <c r="C548">
        <v>3508</v>
      </c>
      <c r="D548">
        <v>12</v>
      </c>
      <c r="E548" t="s">
        <v>45</v>
      </c>
      <c r="F548" t="s">
        <v>46</v>
      </c>
      <c r="G548" t="s">
        <v>15</v>
      </c>
      <c r="H548" s="5">
        <v>45120</v>
      </c>
      <c r="I548" t="s">
        <v>154</v>
      </c>
      <c r="J548" t="s">
        <v>42</v>
      </c>
      <c r="K548" t="s">
        <v>75</v>
      </c>
      <c r="L548" s="1">
        <v>45108</v>
      </c>
      <c r="M548">
        <v>2023</v>
      </c>
    </row>
    <row r="549" spans="1:13" x14ac:dyDescent="0.25">
      <c r="A549" t="s">
        <v>153</v>
      </c>
      <c r="B549">
        <v>4734</v>
      </c>
      <c r="C549">
        <v>1178</v>
      </c>
      <c r="D549">
        <v>16</v>
      </c>
      <c r="E549" t="s">
        <v>30</v>
      </c>
      <c r="F549" t="s">
        <v>78</v>
      </c>
      <c r="G549" t="s">
        <v>47</v>
      </c>
      <c r="H549" s="5">
        <v>45120</v>
      </c>
      <c r="I549" t="s">
        <v>154</v>
      </c>
      <c r="J549" t="s">
        <v>42</v>
      </c>
      <c r="K549" t="s">
        <v>75</v>
      </c>
      <c r="L549" s="1">
        <v>45108</v>
      </c>
      <c r="M549">
        <v>2023</v>
      </c>
    </row>
    <row r="550" spans="1:13" x14ac:dyDescent="0.25">
      <c r="A550" t="s">
        <v>153</v>
      </c>
      <c r="B550">
        <v>4074</v>
      </c>
      <c r="C550">
        <v>1175</v>
      </c>
      <c r="D550">
        <v>6</v>
      </c>
      <c r="E550" t="s">
        <v>13</v>
      </c>
      <c r="F550" t="s">
        <v>14</v>
      </c>
      <c r="G550" t="s">
        <v>32</v>
      </c>
      <c r="H550" s="5">
        <v>45120</v>
      </c>
      <c r="I550" t="s">
        <v>154</v>
      </c>
      <c r="J550" t="s">
        <v>42</v>
      </c>
      <c r="K550" t="s">
        <v>75</v>
      </c>
      <c r="L550" s="1">
        <v>45108</v>
      </c>
      <c r="M550">
        <v>2023</v>
      </c>
    </row>
    <row r="551" spans="1:13" x14ac:dyDescent="0.25">
      <c r="A551" t="s">
        <v>153</v>
      </c>
      <c r="B551">
        <v>2334</v>
      </c>
      <c r="C551">
        <v>484</v>
      </c>
      <c r="D551">
        <v>3</v>
      </c>
      <c r="E551" t="s">
        <v>45</v>
      </c>
      <c r="F551" t="s">
        <v>60</v>
      </c>
      <c r="G551" t="s">
        <v>47</v>
      </c>
      <c r="H551" s="5">
        <v>45120</v>
      </c>
      <c r="I551" t="s">
        <v>154</v>
      </c>
      <c r="J551" t="s">
        <v>42</v>
      </c>
      <c r="K551" t="s">
        <v>75</v>
      </c>
      <c r="L551" s="1">
        <v>45108</v>
      </c>
      <c r="M551">
        <v>2023</v>
      </c>
    </row>
    <row r="552" spans="1:13" x14ac:dyDescent="0.25">
      <c r="A552" t="s">
        <v>181</v>
      </c>
      <c r="B552">
        <v>5224</v>
      </c>
      <c r="C552">
        <v>1958</v>
      </c>
      <c r="D552">
        <v>16</v>
      </c>
      <c r="E552" t="s">
        <v>45</v>
      </c>
      <c r="F552" t="s">
        <v>49</v>
      </c>
      <c r="G552" t="s">
        <v>47</v>
      </c>
      <c r="H552" s="5">
        <v>45123</v>
      </c>
      <c r="I552" t="s">
        <v>182</v>
      </c>
      <c r="J552" t="s">
        <v>71</v>
      </c>
      <c r="K552" t="s">
        <v>138</v>
      </c>
      <c r="L552" s="1">
        <v>45108</v>
      </c>
      <c r="M552">
        <v>2023</v>
      </c>
    </row>
    <row r="553" spans="1:13" x14ac:dyDescent="0.25">
      <c r="A553" t="s">
        <v>181</v>
      </c>
      <c r="B553">
        <v>5002</v>
      </c>
      <c r="C553">
        <v>1801</v>
      </c>
      <c r="D553">
        <v>11</v>
      </c>
      <c r="E553" t="s">
        <v>30</v>
      </c>
      <c r="F553" t="s">
        <v>57</v>
      </c>
      <c r="G553" t="s">
        <v>47</v>
      </c>
      <c r="H553" s="5">
        <v>45123</v>
      </c>
      <c r="I553" t="s">
        <v>182</v>
      </c>
      <c r="J553" t="s">
        <v>71</v>
      </c>
      <c r="K553" t="s">
        <v>138</v>
      </c>
      <c r="L553" s="1">
        <v>45108</v>
      </c>
      <c r="M553">
        <v>2023</v>
      </c>
    </row>
    <row r="554" spans="1:13" x14ac:dyDescent="0.25">
      <c r="A554" t="s">
        <v>181</v>
      </c>
      <c r="B554">
        <v>7380</v>
      </c>
      <c r="C554">
        <v>1673</v>
      </c>
      <c r="D554">
        <v>18</v>
      </c>
      <c r="E554" t="s">
        <v>30</v>
      </c>
      <c r="F554" t="s">
        <v>57</v>
      </c>
      <c r="G554" t="s">
        <v>65</v>
      </c>
      <c r="H554" s="5">
        <v>45123</v>
      </c>
      <c r="I554" t="s">
        <v>182</v>
      </c>
      <c r="J554" t="s">
        <v>71</v>
      </c>
      <c r="K554" t="s">
        <v>138</v>
      </c>
      <c r="L554" s="1">
        <v>45108</v>
      </c>
      <c r="M554">
        <v>2023</v>
      </c>
    </row>
    <row r="555" spans="1:13" x14ac:dyDescent="0.25">
      <c r="A555" t="s">
        <v>200</v>
      </c>
      <c r="B555">
        <v>2478</v>
      </c>
      <c r="C555">
        <v>92</v>
      </c>
      <c r="D555">
        <v>12</v>
      </c>
      <c r="E555" t="s">
        <v>45</v>
      </c>
      <c r="F555" t="s">
        <v>109</v>
      </c>
      <c r="G555" t="s">
        <v>65</v>
      </c>
      <c r="H555" s="5">
        <v>45054</v>
      </c>
      <c r="I555" t="s">
        <v>201</v>
      </c>
      <c r="J555" t="s">
        <v>42</v>
      </c>
      <c r="K555" t="s">
        <v>92</v>
      </c>
      <c r="L555" s="1">
        <v>45047</v>
      </c>
      <c r="M555">
        <v>2023</v>
      </c>
    </row>
    <row r="556" spans="1:13" x14ac:dyDescent="0.25">
      <c r="A556" t="s">
        <v>200</v>
      </c>
      <c r="B556">
        <v>2478</v>
      </c>
      <c r="C556">
        <v>92</v>
      </c>
      <c r="D556">
        <v>12</v>
      </c>
      <c r="E556" t="s">
        <v>45</v>
      </c>
      <c r="F556" t="s">
        <v>109</v>
      </c>
      <c r="G556" t="s">
        <v>65</v>
      </c>
      <c r="H556" s="5">
        <v>45040</v>
      </c>
      <c r="I556" t="s">
        <v>204</v>
      </c>
      <c r="J556" t="s">
        <v>98</v>
      </c>
      <c r="K556" t="s">
        <v>117</v>
      </c>
      <c r="L556" s="1">
        <v>45017</v>
      </c>
      <c r="M556">
        <v>2023</v>
      </c>
    </row>
    <row r="557" spans="1:13" x14ac:dyDescent="0.25">
      <c r="A557" t="s">
        <v>228</v>
      </c>
      <c r="B557">
        <v>3428</v>
      </c>
      <c r="C557">
        <v>350</v>
      </c>
      <c r="D557">
        <v>1</v>
      </c>
      <c r="E557" t="s">
        <v>45</v>
      </c>
      <c r="F557" t="s">
        <v>49</v>
      </c>
      <c r="G557" t="s">
        <v>47</v>
      </c>
      <c r="H557" s="5">
        <v>44985</v>
      </c>
      <c r="I557" t="s">
        <v>229</v>
      </c>
      <c r="J557" t="s">
        <v>21</v>
      </c>
      <c r="K557" t="s">
        <v>63</v>
      </c>
      <c r="L557" s="1">
        <v>44958</v>
      </c>
      <c r="M557">
        <v>2023</v>
      </c>
    </row>
    <row r="558" spans="1:13" x14ac:dyDescent="0.25">
      <c r="A558" t="s">
        <v>228</v>
      </c>
      <c r="B558">
        <v>7223</v>
      </c>
      <c r="C558">
        <v>2433</v>
      </c>
      <c r="D558">
        <v>12</v>
      </c>
      <c r="E558" t="s">
        <v>30</v>
      </c>
      <c r="F558" t="s">
        <v>78</v>
      </c>
      <c r="G558" t="s">
        <v>47</v>
      </c>
      <c r="H558" s="5">
        <v>44985</v>
      </c>
      <c r="I558" t="s">
        <v>229</v>
      </c>
      <c r="J558" t="s">
        <v>21</v>
      </c>
      <c r="K558" t="s">
        <v>63</v>
      </c>
      <c r="L558" s="1">
        <v>44958</v>
      </c>
      <c r="M558">
        <v>2023</v>
      </c>
    </row>
    <row r="559" spans="1:13" x14ac:dyDescent="0.25">
      <c r="A559" t="s">
        <v>228</v>
      </c>
      <c r="B559">
        <v>3731</v>
      </c>
      <c r="C559">
        <v>647</v>
      </c>
      <c r="D559">
        <v>1</v>
      </c>
      <c r="E559" t="s">
        <v>30</v>
      </c>
      <c r="F559" t="s">
        <v>31</v>
      </c>
      <c r="G559" t="s">
        <v>47</v>
      </c>
      <c r="H559" s="5">
        <v>44985</v>
      </c>
      <c r="I559" t="s">
        <v>229</v>
      </c>
      <c r="J559" t="s">
        <v>21</v>
      </c>
      <c r="K559" t="s">
        <v>63</v>
      </c>
      <c r="L559" s="1">
        <v>44958</v>
      </c>
      <c r="M559">
        <v>2023</v>
      </c>
    </row>
    <row r="560" spans="1:13" x14ac:dyDescent="0.25">
      <c r="A560" t="s">
        <v>242</v>
      </c>
      <c r="B560">
        <v>770</v>
      </c>
      <c r="C560">
        <v>241</v>
      </c>
      <c r="D560">
        <v>11</v>
      </c>
      <c r="E560" t="s">
        <v>45</v>
      </c>
      <c r="F560" t="s">
        <v>60</v>
      </c>
      <c r="G560" t="s">
        <v>65</v>
      </c>
      <c r="H560" s="5">
        <v>44989</v>
      </c>
      <c r="I560" t="s">
        <v>244</v>
      </c>
      <c r="J560" t="s">
        <v>98</v>
      </c>
      <c r="K560" t="s">
        <v>107</v>
      </c>
      <c r="L560" s="1">
        <v>44986</v>
      </c>
      <c r="M560">
        <v>2023</v>
      </c>
    </row>
    <row r="561" spans="1:13" x14ac:dyDescent="0.25">
      <c r="A561" t="s">
        <v>246</v>
      </c>
      <c r="B561">
        <v>9895</v>
      </c>
      <c r="C561">
        <v>1598</v>
      </c>
      <c r="D561">
        <v>20</v>
      </c>
      <c r="E561" t="s">
        <v>45</v>
      </c>
      <c r="F561" t="s">
        <v>109</v>
      </c>
      <c r="G561" t="s">
        <v>65</v>
      </c>
      <c r="H561" s="5">
        <v>45276</v>
      </c>
      <c r="I561" t="s">
        <v>247</v>
      </c>
      <c r="J561" t="s">
        <v>25</v>
      </c>
      <c r="K561" t="s">
        <v>68</v>
      </c>
      <c r="L561" s="1">
        <v>45261</v>
      </c>
      <c r="M561">
        <v>2023</v>
      </c>
    </row>
    <row r="562" spans="1:13" x14ac:dyDescent="0.25">
      <c r="A562" t="s">
        <v>271</v>
      </c>
      <c r="B562">
        <v>1860</v>
      </c>
      <c r="C562">
        <v>457</v>
      </c>
      <c r="D562">
        <v>13</v>
      </c>
      <c r="E562" t="s">
        <v>13</v>
      </c>
      <c r="F562" t="s">
        <v>28</v>
      </c>
      <c r="G562" t="s">
        <v>40</v>
      </c>
      <c r="H562" s="5">
        <v>45189</v>
      </c>
      <c r="I562" t="s">
        <v>272</v>
      </c>
      <c r="J562" t="s">
        <v>98</v>
      </c>
      <c r="K562" t="s">
        <v>117</v>
      </c>
      <c r="L562" s="1">
        <v>45170</v>
      </c>
      <c r="M562">
        <v>2023</v>
      </c>
    </row>
    <row r="563" spans="1:13" x14ac:dyDescent="0.25">
      <c r="A563" t="s">
        <v>277</v>
      </c>
      <c r="B563">
        <v>8346</v>
      </c>
      <c r="C563">
        <v>1176</v>
      </c>
      <c r="D563">
        <v>1</v>
      </c>
      <c r="E563" t="s">
        <v>13</v>
      </c>
      <c r="F563" t="s">
        <v>82</v>
      </c>
      <c r="G563" t="s">
        <v>65</v>
      </c>
      <c r="H563" s="5">
        <v>45033</v>
      </c>
      <c r="I563" t="s">
        <v>279</v>
      </c>
      <c r="J563" t="s">
        <v>21</v>
      </c>
      <c r="K563" t="s">
        <v>22</v>
      </c>
      <c r="L563" s="1">
        <v>45017</v>
      </c>
      <c r="M563">
        <v>2023</v>
      </c>
    </row>
    <row r="564" spans="1:13" x14ac:dyDescent="0.25">
      <c r="A564" t="s">
        <v>277</v>
      </c>
      <c r="B564">
        <v>8346</v>
      </c>
      <c r="C564">
        <v>1176</v>
      </c>
      <c r="D564">
        <v>1</v>
      </c>
      <c r="E564" t="s">
        <v>13</v>
      </c>
      <c r="F564" t="s">
        <v>82</v>
      </c>
      <c r="G564" t="s">
        <v>65</v>
      </c>
      <c r="H564" s="5">
        <v>45284</v>
      </c>
      <c r="I564" t="s">
        <v>280</v>
      </c>
      <c r="J564" t="s">
        <v>42</v>
      </c>
      <c r="K564" t="s">
        <v>92</v>
      </c>
      <c r="L564" s="1">
        <v>45261</v>
      </c>
      <c r="M564">
        <v>2023</v>
      </c>
    </row>
    <row r="565" spans="1:13" x14ac:dyDescent="0.25">
      <c r="A565" t="s">
        <v>277</v>
      </c>
      <c r="B565">
        <v>6218</v>
      </c>
      <c r="C565">
        <v>1125</v>
      </c>
      <c r="D565">
        <v>5</v>
      </c>
      <c r="E565" t="s">
        <v>45</v>
      </c>
      <c r="F565" t="s">
        <v>46</v>
      </c>
      <c r="G565" t="s">
        <v>32</v>
      </c>
      <c r="H565" s="5">
        <v>45033</v>
      </c>
      <c r="I565" t="s">
        <v>279</v>
      </c>
      <c r="J565" t="s">
        <v>21</v>
      </c>
      <c r="K565" t="s">
        <v>22</v>
      </c>
      <c r="L565" s="1">
        <v>45017</v>
      </c>
      <c r="M565">
        <v>2023</v>
      </c>
    </row>
    <row r="566" spans="1:13" x14ac:dyDescent="0.25">
      <c r="A566" t="s">
        <v>277</v>
      </c>
      <c r="B566">
        <v>6218</v>
      </c>
      <c r="C566">
        <v>1125</v>
      </c>
      <c r="D566">
        <v>5</v>
      </c>
      <c r="E566" t="s">
        <v>45</v>
      </c>
      <c r="F566" t="s">
        <v>46</v>
      </c>
      <c r="G566" t="s">
        <v>32</v>
      </c>
      <c r="H566" s="5">
        <v>45284</v>
      </c>
      <c r="I566" t="s">
        <v>280</v>
      </c>
      <c r="J566" t="s">
        <v>42</v>
      </c>
      <c r="K566" t="s">
        <v>92</v>
      </c>
      <c r="L566" s="1">
        <v>45261</v>
      </c>
      <c r="M566">
        <v>2023</v>
      </c>
    </row>
    <row r="567" spans="1:13" x14ac:dyDescent="0.25">
      <c r="A567" t="s">
        <v>277</v>
      </c>
      <c r="B567">
        <v>5167</v>
      </c>
      <c r="C567">
        <v>253</v>
      </c>
      <c r="D567">
        <v>14</v>
      </c>
      <c r="E567" t="s">
        <v>13</v>
      </c>
      <c r="F567" t="s">
        <v>28</v>
      </c>
      <c r="G567" t="s">
        <v>47</v>
      </c>
      <c r="H567" s="5">
        <v>45033</v>
      </c>
      <c r="I567" t="s">
        <v>279</v>
      </c>
      <c r="J567" t="s">
        <v>21</v>
      </c>
      <c r="K567" t="s">
        <v>22</v>
      </c>
      <c r="L567" s="1">
        <v>45017</v>
      </c>
      <c r="M567">
        <v>2023</v>
      </c>
    </row>
    <row r="568" spans="1:13" x14ac:dyDescent="0.25">
      <c r="A568" t="s">
        <v>277</v>
      </c>
      <c r="B568">
        <v>5167</v>
      </c>
      <c r="C568">
        <v>253</v>
      </c>
      <c r="D568">
        <v>14</v>
      </c>
      <c r="E568" t="s">
        <v>13</v>
      </c>
      <c r="F568" t="s">
        <v>28</v>
      </c>
      <c r="G568" t="s">
        <v>47</v>
      </c>
      <c r="H568" s="5">
        <v>45284</v>
      </c>
      <c r="I568" t="s">
        <v>280</v>
      </c>
      <c r="J568" t="s">
        <v>42</v>
      </c>
      <c r="K568" t="s">
        <v>92</v>
      </c>
      <c r="L568" s="1">
        <v>45261</v>
      </c>
      <c r="M568">
        <v>2023</v>
      </c>
    </row>
    <row r="569" spans="1:13" x14ac:dyDescent="0.25">
      <c r="A569" t="s">
        <v>277</v>
      </c>
      <c r="B569">
        <v>2799</v>
      </c>
      <c r="C569">
        <v>1239</v>
      </c>
      <c r="D569">
        <v>5</v>
      </c>
      <c r="E569" t="s">
        <v>45</v>
      </c>
      <c r="F569" t="s">
        <v>60</v>
      </c>
      <c r="G569" t="s">
        <v>32</v>
      </c>
      <c r="H569" s="5">
        <v>45033</v>
      </c>
      <c r="I569" t="s">
        <v>279</v>
      </c>
      <c r="J569" t="s">
        <v>21</v>
      </c>
      <c r="K569" t="s">
        <v>22</v>
      </c>
      <c r="L569" s="1">
        <v>45017</v>
      </c>
      <c r="M569">
        <v>2023</v>
      </c>
    </row>
    <row r="570" spans="1:13" x14ac:dyDescent="0.25">
      <c r="A570" t="s">
        <v>277</v>
      </c>
      <c r="B570">
        <v>2799</v>
      </c>
      <c r="C570">
        <v>1239</v>
      </c>
      <c r="D570">
        <v>5</v>
      </c>
      <c r="E570" t="s">
        <v>45</v>
      </c>
      <c r="F570" t="s">
        <v>60</v>
      </c>
      <c r="G570" t="s">
        <v>32</v>
      </c>
      <c r="H570" s="5">
        <v>45284</v>
      </c>
      <c r="I570" t="s">
        <v>280</v>
      </c>
      <c r="J570" t="s">
        <v>42</v>
      </c>
      <c r="K570" t="s">
        <v>92</v>
      </c>
      <c r="L570" s="1">
        <v>45261</v>
      </c>
      <c r="M570">
        <v>2023</v>
      </c>
    </row>
    <row r="571" spans="1:13" x14ac:dyDescent="0.25">
      <c r="A571" t="s">
        <v>285</v>
      </c>
      <c r="B571">
        <v>8586</v>
      </c>
      <c r="C571">
        <v>3826</v>
      </c>
      <c r="D571">
        <v>7</v>
      </c>
      <c r="E571" t="s">
        <v>45</v>
      </c>
      <c r="F571" t="s">
        <v>109</v>
      </c>
      <c r="G571" t="s">
        <v>15</v>
      </c>
      <c r="H571" s="5">
        <v>45114</v>
      </c>
      <c r="I571" t="s">
        <v>288</v>
      </c>
      <c r="J571" t="s">
        <v>17</v>
      </c>
      <c r="K571" t="s">
        <v>150</v>
      </c>
      <c r="L571" s="1">
        <v>45108</v>
      </c>
      <c r="M571">
        <v>2023</v>
      </c>
    </row>
    <row r="572" spans="1:13" x14ac:dyDescent="0.25">
      <c r="A572" t="s">
        <v>289</v>
      </c>
      <c r="B572">
        <v>5047</v>
      </c>
      <c r="C572">
        <v>2211</v>
      </c>
      <c r="D572">
        <v>13</v>
      </c>
      <c r="E572" t="s">
        <v>45</v>
      </c>
      <c r="F572" t="s">
        <v>60</v>
      </c>
      <c r="G572" t="s">
        <v>40</v>
      </c>
      <c r="H572" s="5">
        <v>45151</v>
      </c>
      <c r="I572" t="s">
        <v>290</v>
      </c>
      <c r="J572" t="s">
        <v>42</v>
      </c>
      <c r="K572" t="s">
        <v>92</v>
      </c>
      <c r="L572" s="1">
        <v>45139</v>
      </c>
      <c r="M572">
        <v>2023</v>
      </c>
    </row>
    <row r="573" spans="1:13" x14ac:dyDescent="0.25">
      <c r="A573" t="s">
        <v>311</v>
      </c>
      <c r="B573">
        <v>9965</v>
      </c>
      <c r="C573">
        <v>3033</v>
      </c>
      <c r="D573">
        <v>16</v>
      </c>
      <c r="E573" t="s">
        <v>30</v>
      </c>
      <c r="F573" t="s">
        <v>57</v>
      </c>
      <c r="G573" t="s">
        <v>65</v>
      </c>
      <c r="H573" s="5">
        <v>45170</v>
      </c>
      <c r="I573" t="s">
        <v>314</v>
      </c>
      <c r="J573" t="s">
        <v>25</v>
      </c>
      <c r="K573" t="s">
        <v>26</v>
      </c>
      <c r="L573" s="1">
        <v>45170</v>
      </c>
      <c r="M573">
        <v>2023</v>
      </c>
    </row>
    <row r="574" spans="1:13" x14ac:dyDescent="0.25">
      <c r="A574" t="s">
        <v>315</v>
      </c>
      <c r="B574">
        <v>1523</v>
      </c>
      <c r="C574">
        <v>234</v>
      </c>
      <c r="D574">
        <v>3</v>
      </c>
      <c r="E574" t="s">
        <v>45</v>
      </c>
      <c r="F574" t="s">
        <v>60</v>
      </c>
      <c r="G574" t="s">
        <v>15</v>
      </c>
      <c r="H574" s="5">
        <v>45085</v>
      </c>
      <c r="I574" t="s">
        <v>316</v>
      </c>
      <c r="J574" t="s">
        <v>25</v>
      </c>
      <c r="K574" t="s">
        <v>68</v>
      </c>
      <c r="L574" s="1">
        <v>45078</v>
      </c>
      <c r="M574">
        <v>2023</v>
      </c>
    </row>
    <row r="575" spans="1:13" x14ac:dyDescent="0.25">
      <c r="A575" t="s">
        <v>315</v>
      </c>
      <c r="B575">
        <v>9073</v>
      </c>
      <c r="C575">
        <v>424</v>
      </c>
      <c r="D575">
        <v>7</v>
      </c>
      <c r="E575" t="s">
        <v>13</v>
      </c>
      <c r="F575" t="s">
        <v>14</v>
      </c>
      <c r="G575" t="s">
        <v>32</v>
      </c>
      <c r="H575" s="5">
        <v>45085</v>
      </c>
      <c r="I575" t="s">
        <v>316</v>
      </c>
      <c r="J575" t="s">
        <v>25</v>
      </c>
      <c r="K575" t="s">
        <v>68</v>
      </c>
      <c r="L575" s="1">
        <v>45078</v>
      </c>
      <c r="M575">
        <v>2023</v>
      </c>
    </row>
    <row r="576" spans="1:13" x14ac:dyDescent="0.25">
      <c r="A576" t="s">
        <v>325</v>
      </c>
      <c r="B576">
        <v>9851</v>
      </c>
      <c r="C576">
        <v>2669</v>
      </c>
      <c r="D576">
        <v>19</v>
      </c>
      <c r="E576" t="s">
        <v>13</v>
      </c>
      <c r="F576" t="s">
        <v>14</v>
      </c>
      <c r="G576" t="s">
        <v>32</v>
      </c>
      <c r="H576" s="5">
        <v>45122</v>
      </c>
      <c r="I576" t="s">
        <v>327</v>
      </c>
      <c r="J576" t="s">
        <v>25</v>
      </c>
      <c r="K576" t="s">
        <v>26</v>
      </c>
      <c r="L576" s="1">
        <v>45108</v>
      </c>
      <c r="M576">
        <v>2023</v>
      </c>
    </row>
    <row r="577" spans="1:13" x14ac:dyDescent="0.25">
      <c r="A577" t="s">
        <v>325</v>
      </c>
      <c r="B577">
        <v>9989</v>
      </c>
      <c r="C577">
        <v>3930</v>
      </c>
      <c r="D577">
        <v>14</v>
      </c>
      <c r="E577" t="s">
        <v>45</v>
      </c>
      <c r="F577" t="s">
        <v>46</v>
      </c>
      <c r="G577" t="s">
        <v>32</v>
      </c>
      <c r="H577" s="5">
        <v>45122</v>
      </c>
      <c r="I577" t="s">
        <v>327</v>
      </c>
      <c r="J577" t="s">
        <v>25</v>
      </c>
      <c r="K577" t="s">
        <v>26</v>
      </c>
      <c r="L577" s="1">
        <v>45108</v>
      </c>
      <c r="M577">
        <v>2023</v>
      </c>
    </row>
    <row r="578" spans="1:13" x14ac:dyDescent="0.25">
      <c r="A578" t="s">
        <v>329</v>
      </c>
      <c r="B578">
        <v>7421</v>
      </c>
      <c r="C578">
        <v>958</v>
      </c>
      <c r="D578">
        <v>10</v>
      </c>
      <c r="E578" t="s">
        <v>45</v>
      </c>
      <c r="F578" t="s">
        <v>46</v>
      </c>
      <c r="G578" t="s">
        <v>65</v>
      </c>
      <c r="H578" s="5">
        <v>44955</v>
      </c>
      <c r="I578" t="s">
        <v>332</v>
      </c>
      <c r="J578" t="s">
        <v>71</v>
      </c>
      <c r="K578" t="s">
        <v>72</v>
      </c>
      <c r="L578" s="1">
        <v>44927</v>
      </c>
      <c r="M578">
        <v>2023</v>
      </c>
    </row>
    <row r="579" spans="1:13" x14ac:dyDescent="0.25">
      <c r="A579" t="s">
        <v>342</v>
      </c>
      <c r="B579">
        <v>738</v>
      </c>
      <c r="C579">
        <v>342</v>
      </c>
      <c r="D579">
        <v>2</v>
      </c>
      <c r="E579" t="s">
        <v>45</v>
      </c>
      <c r="F579" t="s">
        <v>49</v>
      </c>
      <c r="G579" t="s">
        <v>32</v>
      </c>
      <c r="H579" s="5">
        <v>45044</v>
      </c>
      <c r="I579" t="s">
        <v>343</v>
      </c>
      <c r="J579" t="s">
        <v>98</v>
      </c>
      <c r="K579" t="s">
        <v>107</v>
      </c>
      <c r="L579" s="1">
        <v>45017</v>
      </c>
      <c r="M579">
        <v>2023</v>
      </c>
    </row>
    <row r="580" spans="1:13" x14ac:dyDescent="0.25">
      <c r="A580" t="s">
        <v>347</v>
      </c>
      <c r="B580">
        <v>1366</v>
      </c>
      <c r="C580">
        <v>242</v>
      </c>
      <c r="D580">
        <v>17</v>
      </c>
      <c r="E580" t="s">
        <v>13</v>
      </c>
      <c r="F580" t="s">
        <v>14</v>
      </c>
      <c r="G580" t="s">
        <v>40</v>
      </c>
      <c r="H580" s="5">
        <v>45187</v>
      </c>
      <c r="I580" t="s">
        <v>348</v>
      </c>
      <c r="J580" t="s">
        <v>98</v>
      </c>
      <c r="K580" t="s">
        <v>99</v>
      </c>
      <c r="L580" s="1">
        <v>45170</v>
      </c>
      <c r="M580">
        <v>2023</v>
      </c>
    </row>
    <row r="581" spans="1:13" x14ac:dyDescent="0.25">
      <c r="A581" t="s">
        <v>347</v>
      </c>
      <c r="B581">
        <v>1518</v>
      </c>
      <c r="C581">
        <v>155</v>
      </c>
      <c r="D581">
        <v>13</v>
      </c>
      <c r="E581" t="s">
        <v>30</v>
      </c>
      <c r="F581" t="s">
        <v>57</v>
      </c>
      <c r="G581" t="s">
        <v>47</v>
      </c>
      <c r="H581" s="5">
        <v>45187</v>
      </c>
      <c r="I581" t="s">
        <v>348</v>
      </c>
      <c r="J581" t="s">
        <v>98</v>
      </c>
      <c r="K581" t="s">
        <v>99</v>
      </c>
      <c r="L581" s="1">
        <v>45170</v>
      </c>
      <c r="M581">
        <v>2023</v>
      </c>
    </row>
    <row r="582" spans="1:13" x14ac:dyDescent="0.25">
      <c r="A582" t="s">
        <v>349</v>
      </c>
      <c r="B582">
        <v>2962</v>
      </c>
      <c r="C582">
        <v>1470</v>
      </c>
      <c r="D582">
        <v>1</v>
      </c>
      <c r="E582" t="s">
        <v>13</v>
      </c>
      <c r="F582" t="s">
        <v>82</v>
      </c>
      <c r="G582" t="s">
        <v>65</v>
      </c>
      <c r="H582" s="5">
        <v>45186</v>
      </c>
      <c r="I582" t="s">
        <v>351</v>
      </c>
      <c r="J582" t="s">
        <v>17</v>
      </c>
      <c r="K582" t="s">
        <v>150</v>
      </c>
      <c r="L582" s="1">
        <v>45170</v>
      </c>
      <c r="M582">
        <v>2023</v>
      </c>
    </row>
    <row r="583" spans="1:13" x14ac:dyDescent="0.25">
      <c r="A583" t="s">
        <v>349</v>
      </c>
      <c r="B583">
        <v>7131</v>
      </c>
      <c r="C583">
        <v>718</v>
      </c>
      <c r="D583">
        <v>12</v>
      </c>
      <c r="E583" t="s">
        <v>13</v>
      </c>
      <c r="F583" t="s">
        <v>28</v>
      </c>
      <c r="G583" t="s">
        <v>15</v>
      </c>
      <c r="H583" s="5">
        <v>45186</v>
      </c>
      <c r="I583" t="s">
        <v>351</v>
      </c>
      <c r="J583" t="s">
        <v>17</v>
      </c>
      <c r="K583" t="s">
        <v>150</v>
      </c>
      <c r="L583" s="1">
        <v>45170</v>
      </c>
      <c r="M583">
        <v>2023</v>
      </c>
    </row>
    <row r="584" spans="1:13" x14ac:dyDescent="0.25">
      <c r="A584" t="s">
        <v>349</v>
      </c>
      <c r="B584">
        <v>4200</v>
      </c>
      <c r="C584">
        <v>855</v>
      </c>
      <c r="D584">
        <v>10</v>
      </c>
      <c r="E584" t="s">
        <v>30</v>
      </c>
      <c r="F584" t="s">
        <v>57</v>
      </c>
      <c r="G584" t="s">
        <v>40</v>
      </c>
      <c r="H584" s="5">
        <v>45186</v>
      </c>
      <c r="I584" t="s">
        <v>351</v>
      </c>
      <c r="J584" t="s">
        <v>17</v>
      </c>
      <c r="K584" t="s">
        <v>150</v>
      </c>
      <c r="L584" s="1">
        <v>45170</v>
      </c>
      <c r="M584">
        <v>2023</v>
      </c>
    </row>
    <row r="585" spans="1:13" x14ac:dyDescent="0.25">
      <c r="A585" t="s">
        <v>369</v>
      </c>
      <c r="B585">
        <v>8200</v>
      </c>
      <c r="C585">
        <v>257</v>
      </c>
      <c r="D585">
        <v>19</v>
      </c>
      <c r="E585" t="s">
        <v>13</v>
      </c>
      <c r="F585" t="s">
        <v>39</v>
      </c>
      <c r="G585" t="s">
        <v>65</v>
      </c>
      <c r="H585" s="5">
        <v>45006</v>
      </c>
      <c r="I585" t="s">
        <v>370</v>
      </c>
      <c r="J585" t="s">
        <v>98</v>
      </c>
      <c r="K585" t="s">
        <v>107</v>
      </c>
      <c r="L585" s="1">
        <v>44986</v>
      </c>
      <c r="M585">
        <v>2023</v>
      </c>
    </row>
    <row r="586" spans="1:13" x14ac:dyDescent="0.25">
      <c r="A586" t="s">
        <v>369</v>
      </c>
      <c r="B586">
        <v>9316</v>
      </c>
      <c r="C586">
        <v>3003</v>
      </c>
      <c r="D586">
        <v>13</v>
      </c>
      <c r="E586" t="s">
        <v>45</v>
      </c>
      <c r="F586" t="s">
        <v>60</v>
      </c>
      <c r="G586" t="s">
        <v>47</v>
      </c>
      <c r="H586" s="5">
        <v>45006</v>
      </c>
      <c r="I586" t="s">
        <v>370</v>
      </c>
      <c r="J586" t="s">
        <v>98</v>
      </c>
      <c r="K586" t="s">
        <v>107</v>
      </c>
      <c r="L586" s="1">
        <v>44986</v>
      </c>
      <c r="M586">
        <v>2023</v>
      </c>
    </row>
    <row r="587" spans="1:13" x14ac:dyDescent="0.25">
      <c r="A587" t="s">
        <v>369</v>
      </c>
      <c r="B587">
        <v>6379</v>
      </c>
      <c r="C587">
        <v>3128</v>
      </c>
      <c r="D587">
        <v>15</v>
      </c>
      <c r="E587" t="s">
        <v>13</v>
      </c>
      <c r="F587" t="s">
        <v>14</v>
      </c>
      <c r="G587" t="s">
        <v>65</v>
      </c>
      <c r="H587" s="5">
        <v>45006</v>
      </c>
      <c r="I587" t="s">
        <v>370</v>
      </c>
      <c r="J587" t="s">
        <v>98</v>
      </c>
      <c r="K587" t="s">
        <v>107</v>
      </c>
      <c r="L587" s="1">
        <v>44986</v>
      </c>
      <c r="M587">
        <v>2023</v>
      </c>
    </row>
    <row r="588" spans="1:13" x14ac:dyDescent="0.25">
      <c r="A588" t="s">
        <v>374</v>
      </c>
      <c r="B588">
        <v>1760</v>
      </c>
      <c r="C588">
        <v>619</v>
      </c>
      <c r="D588">
        <v>16</v>
      </c>
      <c r="E588" t="s">
        <v>45</v>
      </c>
      <c r="F588" t="s">
        <v>60</v>
      </c>
      <c r="G588" t="s">
        <v>32</v>
      </c>
      <c r="H588" s="5">
        <v>44954</v>
      </c>
      <c r="I588" t="s">
        <v>376</v>
      </c>
      <c r="J588" t="s">
        <v>71</v>
      </c>
      <c r="K588" t="s">
        <v>138</v>
      </c>
      <c r="L588" s="1">
        <v>44927</v>
      </c>
      <c r="M588">
        <v>2023</v>
      </c>
    </row>
    <row r="589" spans="1:13" x14ac:dyDescent="0.25">
      <c r="A589" t="s">
        <v>374</v>
      </c>
      <c r="B589">
        <v>6351</v>
      </c>
      <c r="C589">
        <v>986</v>
      </c>
      <c r="D589">
        <v>15</v>
      </c>
      <c r="E589" t="s">
        <v>13</v>
      </c>
      <c r="F589" t="s">
        <v>28</v>
      </c>
      <c r="G589" t="s">
        <v>15</v>
      </c>
      <c r="H589" s="5">
        <v>44954</v>
      </c>
      <c r="I589" t="s">
        <v>376</v>
      </c>
      <c r="J589" t="s">
        <v>71</v>
      </c>
      <c r="K589" t="s">
        <v>138</v>
      </c>
      <c r="L589" s="1">
        <v>44927</v>
      </c>
      <c r="M589">
        <v>2023</v>
      </c>
    </row>
    <row r="590" spans="1:13" x14ac:dyDescent="0.25">
      <c r="A590" t="s">
        <v>393</v>
      </c>
      <c r="B590">
        <v>1167</v>
      </c>
      <c r="C590">
        <v>463</v>
      </c>
      <c r="D590">
        <v>5</v>
      </c>
      <c r="E590" t="s">
        <v>30</v>
      </c>
      <c r="F590" t="s">
        <v>31</v>
      </c>
      <c r="G590" t="s">
        <v>15</v>
      </c>
      <c r="H590" s="5">
        <v>45182</v>
      </c>
      <c r="I590" t="s">
        <v>394</v>
      </c>
      <c r="J590" t="s">
        <v>71</v>
      </c>
      <c r="K590" t="s">
        <v>86</v>
      </c>
      <c r="L590" s="1">
        <v>45170</v>
      </c>
      <c r="M590">
        <v>2023</v>
      </c>
    </row>
    <row r="591" spans="1:13" x14ac:dyDescent="0.25">
      <c r="A591" t="s">
        <v>393</v>
      </c>
      <c r="B591">
        <v>2841</v>
      </c>
      <c r="C591">
        <v>803</v>
      </c>
      <c r="D591">
        <v>20</v>
      </c>
      <c r="E591" t="s">
        <v>13</v>
      </c>
      <c r="F591" t="s">
        <v>39</v>
      </c>
      <c r="G591" t="s">
        <v>47</v>
      </c>
      <c r="H591" s="5">
        <v>45182</v>
      </c>
      <c r="I591" t="s">
        <v>394</v>
      </c>
      <c r="J591" t="s">
        <v>71</v>
      </c>
      <c r="K591" t="s">
        <v>86</v>
      </c>
      <c r="L591" s="1">
        <v>45170</v>
      </c>
      <c r="M591">
        <v>2023</v>
      </c>
    </row>
    <row r="592" spans="1:13" x14ac:dyDescent="0.25">
      <c r="A592" t="s">
        <v>393</v>
      </c>
      <c r="B592">
        <v>5680</v>
      </c>
      <c r="C592">
        <v>2159</v>
      </c>
      <c r="D592">
        <v>19</v>
      </c>
      <c r="E592" t="s">
        <v>45</v>
      </c>
      <c r="F592" t="s">
        <v>46</v>
      </c>
      <c r="G592" t="s">
        <v>15</v>
      </c>
      <c r="H592" s="5">
        <v>45182</v>
      </c>
      <c r="I592" t="s">
        <v>394</v>
      </c>
      <c r="J592" t="s">
        <v>71</v>
      </c>
      <c r="K592" t="s">
        <v>86</v>
      </c>
      <c r="L592" s="1">
        <v>45170</v>
      </c>
      <c r="M592">
        <v>2023</v>
      </c>
    </row>
    <row r="593" spans="1:13" x14ac:dyDescent="0.25">
      <c r="A593" t="s">
        <v>398</v>
      </c>
      <c r="B593">
        <v>907</v>
      </c>
      <c r="C593">
        <v>391</v>
      </c>
      <c r="D593">
        <v>9</v>
      </c>
      <c r="E593" t="s">
        <v>30</v>
      </c>
      <c r="F593" t="s">
        <v>31</v>
      </c>
      <c r="G593" t="s">
        <v>47</v>
      </c>
      <c r="H593" s="5">
        <v>45142</v>
      </c>
      <c r="I593" t="s">
        <v>399</v>
      </c>
      <c r="J593" t="s">
        <v>25</v>
      </c>
      <c r="K593" t="s">
        <v>51</v>
      </c>
      <c r="L593" s="1">
        <v>45139</v>
      </c>
      <c r="M593">
        <v>2023</v>
      </c>
    </row>
    <row r="594" spans="1:13" x14ac:dyDescent="0.25">
      <c r="A594" t="s">
        <v>413</v>
      </c>
      <c r="B594">
        <v>5322</v>
      </c>
      <c r="C594">
        <v>1423</v>
      </c>
      <c r="D594">
        <v>18</v>
      </c>
      <c r="E594" t="s">
        <v>45</v>
      </c>
      <c r="F594" t="s">
        <v>60</v>
      </c>
      <c r="G594" t="s">
        <v>65</v>
      </c>
      <c r="H594" s="5">
        <v>45269</v>
      </c>
      <c r="I594" t="s">
        <v>415</v>
      </c>
      <c r="J594" t="s">
        <v>71</v>
      </c>
      <c r="K594" t="s">
        <v>72</v>
      </c>
      <c r="L594" s="1">
        <v>45261</v>
      </c>
      <c r="M594">
        <v>2023</v>
      </c>
    </row>
    <row r="595" spans="1:13" x14ac:dyDescent="0.25">
      <c r="A595" t="s">
        <v>427</v>
      </c>
      <c r="B595">
        <v>1231</v>
      </c>
      <c r="C595">
        <v>214</v>
      </c>
      <c r="D595">
        <v>20</v>
      </c>
      <c r="E595" t="s">
        <v>13</v>
      </c>
      <c r="F595" t="s">
        <v>39</v>
      </c>
      <c r="G595" t="s">
        <v>32</v>
      </c>
      <c r="H595" s="5">
        <v>44943</v>
      </c>
      <c r="I595" t="s">
        <v>428</v>
      </c>
      <c r="J595" t="s">
        <v>98</v>
      </c>
      <c r="K595" t="s">
        <v>99</v>
      </c>
      <c r="L595" s="1">
        <v>44927</v>
      </c>
      <c r="M595">
        <v>2023</v>
      </c>
    </row>
    <row r="596" spans="1:13" x14ac:dyDescent="0.25">
      <c r="A596" t="s">
        <v>432</v>
      </c>
      <c r="B596">
        <v>7524</v>
      </c>
      <c r="C596">
        <v>2308</v>
      </c>
      <c r="D596">
        <v>15</v>
      </c>
      <c r="E596" t="s">
        <v>13</v>
      </c>
      <c r="F596" t="s">
        <v>39</v>
      </c>
      <c r="G596" t="s">
        <v>40</v>
      </c>
      <c r="H596" s="5">
        <v>45267</v>
      </c>
      <c r="I596" t="s">
        <v>433</v>
      </c>
      <c r="J596" t="s">
        <v>71</v>
      </c>
      <c r="K596" t="s">
        <v>86</v>
      </c>
      <c r="L596" s="1">
        <v>45261</v>
      </c>
      <c r="M596">
        <v>2023</v>
      </c>
    </row>
    <row r="597" spans="1:13" x14ac:dyDescent="0.25">
      <c r="A597" t="s">
        <v>432</v>
      </c>
      <c r="B597">
        <v>6864</v>
      </c>
      <c r="C597">
        <v>1824</v>
      </c>
      <c r="D597">
        <v>14</v>
      </c>
      <c r="E597" t="s">
        <v>13</v>
      </c>
      <c r="F597" t="s">
        <v>28</v>
      </c>
      <c r="G597" t="s">
        <v>47</v>
      </c>
      <c r="H597" s="5">
        <v>45267</v>
      </c>
      <c r="I597" t="s">
        <v>433</v>
      </c>
      <c r="J597" t="s">
        <v>71</v>
      </c>
      <c r="K597" t="s">
        <v>86</v>
      </c>
      <c r="L597" s="1">
        <v>45261</v>
      </c>
      <c r="M597">
        <v>2023</v>
      </c>
    </row>
    <row r="598" spans="1:13" x14ac:dyDescent="0.25">
      <c r="A598" t="s">
        <v>440</v>
      </c>
      <c r="B598">
        <v>7690</v>
      </c>
      <c r="C598">
        <v>1134</v>
      </c>
      <c r="D598">
        <v>4</v>
      </c>
      <c r="E598" t="s">
        <v>13</v>
      </c>
      <c r="F598" t="s">
        <v>14</v>
      </c>
      <c r="G598" t="s">
        <v>65</v>
      </c>
      <c r="H598" s="5">
        <v>45212</v>
      </c>
      <c r="I598" t="s">
        <v>441</v>
      </c>
      <c r="J598" t="s">
        <v>25</v>
      </c>
      <c r="K598" t="s">
        <v>68</v>
      </c>
      <c r="L598" s="1">
        <v>45200</v>
      </c>
      <c r="M598">
        <v>2023</v>
      </c>
    </row>
    <row r="599" spans="1:13" x14ac:dyDescent="0.25">
      <c r="A599" t="s">
        <v>440</v>
      </c>
      <c r="B599">
        <v>912</v>
      </c>
      <c r="C599">
        <v>246</v>
      </c>
      <c r="D599">
        <v>2</v>
      </c>
      <c r="E599" t="s">
        <v>45</v>
      </c>
      <c r="F599" t="s">
        <v>60</v>
      </c>
      <c r="G599" t="s">
        <v>40</v>
      </c>
      <c r="H599" s="5">
        <v>45212</v>
      </c>
      <c r="I599" t="s">
        <v>441</v>
      </c>
      <c r="J599" t="s">
        <v>25</v>
      </c>
      <c r="K599" t="s">
        <v>68</v>
      </c>
      <c r="L599" s="1">
        <v>45200</v>
      </c>
      <c r="M599">
        <v>2023</v>
      </c>
    </row>
    <row r="600" spans="1:13" x14ac:dyDescent="0.25">
      <c r="A600" t="s">
        <v>443</v>
      </c>
      <c r="B600">
        <v>2791</v>
      </c>
      <c r="C600">
        <v>894</v>
      </c>
      <c r="D600">
        <v>14</v>
      </c>
      <c r="E600" t="s">
        <v>13</v>
      </c>
      <c r="F600" t="s">
        <v>39</v>
      </c>
      <c r="G600" t="s">
        <v>65</v>
      </c>
      <c r="H600" s="5">
        <v>45226</v>
      </c>
      <c r="I600" t="s">
        <v>445</v>
      </c>
      <c r="J600" t="s">
        <v>98</v>
      </c>
      <c r="K600" t="s">
        <v>107</v>
      </c>
      <c r="L600" s="1">
        <v>45200</v>
      </c>
      <c r="M600">
        <v>2023</v>
      </c>
    </row>
    <row r="601" spans="1:13" x14ac:dyDescent="0.25">
      <c r="A601" t="s">
        <v>443</v>
      </c>
      <c r="B601">
        <v>6223</v>
      </c>
      <c r="C601">
        <v>1478</v>
      </c>
      <c r="D601">
        <v>3</v>
      </c>
      <c r="E601" t="s">
        <v>45</v>
      </c>
      <c r="F601" t="s">
        <v>60</v>
      </c>
      <c r="G601" t="s">
        <v>32</v>
      </c>
      <c r="H601" s="5">
        <v>45226</v>
      </c>
      <c r="I601" t="s">
        <v>445</v>
      </c>
      <c r="J601" t="s">
        <v>98</v>
      </c>
      <c r="K601" t="s">
        <v>107</v>
      </c>
      <c r="L601" s="1">
        <v>45200</v>
      </c>
      <c r="M601">
        <v>2023</v>
      </c>
    </row>
    <row r="602" spans="1:13" x14ac:dyDescent="0.25">
      <c r="A602" t="s">
        <v>443</v>
      </c>
      <c r="B602">
        <v>8943</v>
      </c>
      <c r="C602">
        <v>3121</v>
      </c>
      <c r="D602">
        <v>17</v>
      </c>
      <c r="E602" t="s">
        <v>45</v>
      </c>
      <c r="F602" t="s">
        <v>49</v>
      </c>
      <c r="G602" t="s">
        <v>32</v>
      </c>
      <c r="H602" s="5">
        <v>45226</v>
      </c>
      <c r="I602" t="s">
        <v>445</v>
      </c>
      <c r="J602" t="s">
        <v>98</v>
      </c>
      <c r="K602" t="s">
        <v>107</v>
      </c>
      <c r="L602" s="1">
        <v>45200</v>
      </c>
      <c r="M602">
        <v>2023</v>
      </c>
    </row>
    <row r="603" spans="1:13" x14ac:dyDescent="0.25">
      <c r="A603" t="s">
        <v>443</v>
      </c>
      <c r="B603">
        <v>3297</v>
      </c>
      <c r="C603">
        <v>102</v>
      </c>
      <c r="D603">
        <v>12</v>
      </c>
      <c r="E603" t="s">
        <v>13</v>
      </c>
      <c r="F603" t="s">
        <v>82</v>
      </c>
      <c r="G603" t="s">
        <v>47</v>
      </c>
      <c r="H603" s="5">
        <v>45226</v>
      </c>
      <c r="I603" t="s">
        <v>445</v>
      </c>
      <c r="J603" t="s">
        <v>98</v>
      </c>
      <c r="K603" t="s">
        <v>107</v>
      </c>
      <c r="L603" s="1">
        <v>45200</v>
      </c>
      <c r="M603">
        <v>2023</v>
      </c>
    </row>
    <row r="604" spans="1:13" x14ac:dyDescent="0.25">
      <c r="A604" t="s">
        <v>467</v>
      </c>
      <c r="B604">
        <v>3900</v>
      </c>
      <c r="C604">
        <v>115</v>
      </c>
      <c r="D604">
        <v>9</v>
      </c>
      <c r="E604" t="s">
        <v>45</v>
      </c>
      <c r="F604" t="s">
        <v>49</v>
      </c>
      <c r="G604" t="s">
        <v>65</v>
      </c>
      <c r="H604" s="5">
        <v>45206</v>
      </c>
      <c r="I604" t="s">
        <v>468</v>
      </c>
      <c r="J604" t="s">
        <v>21</v>
      </c>
      <c r="K604" t="s">
        <v>63</v>
      </c>
      <c r="L604" s="1">
        <v>45200</v>
      </c>
      <c r="M604">
        <v>2023</v>
      </c>
    </row>
    <row r="605" spans="1:13" x14ac:dyDescent="0.25">
      <c r="A605" t="s">
        <v>493</v>
      </c>
      <c r="B605">
        <v>1676</v>
      </c>
      <c r="C605">
        <v>330</v>
      </c>
      <c r="D605">
        <v>14</v>
      </c>
      <c r="E605" t="s">
        <v>13</v>
      </c>
      <c r="F605" t="s">
        <v>39</v>
      </c>
      <c r="G605" t="s">
        <v>40</v>
      </c>
      <c r="H605" s="5">
        <v>44986</v>
      </c>
      <c r="I605" t="s">
        <v>494</v>
      </c>
      <c r="J605" t="s">
        <v>98</v>
      </c>
      <c r="K605" t="s">
        <v>117</v>
      </c>
      <c r="L605" s="1">
        <v>44986</v>
      </c>
      <c r="M605">
        <v>2023</v>
      </c>
    </row>
    <row r="606" spans="1:13" x14ac:dyDescent="0.25">
      <c r="A606" t="s">
        <v>493</v>
      </c>
      <c r="B606">
        <v>3927</v>
      </c>
      <c r="C606">
        <v>1133</v>
      </c>
      <c r="D606">
        <v>12</v>
      </c>
      <c r="E606" t="s">
        <v>45</v>
      </c>
      <c r="F606" t="s">
        <v>109</v>
      </c>
      <c r="G606" t="s">
        <v>65</v>
      </c>
      <c r="H606" s="5">
        <v>44986</v>
      </c>
      <c r="I606" t="s">
        <v>494</v>
      </c>
      <c r="J606" t="s">
        <v>98</v>
      </c>
      <c r="K606" t="s">
        <v>117</v>
      </c>
      <c r="L606" s="1">
        <v>44986</v>
      </c>
      <c r="M606">
        <v>2023</v>
      </c>
    </row>
    <row r="607" spans="1:13" x14ac:dyDescent="0.25">
      <c r="A607" t="s">
        <v>493</v>
      </c>
      <c r="B607">
        <v>2776</v>
      </c>
      <c r="C607">
        <v>887</v>
      </c>
      <c r="D607">
        <v>9</v>
      </c>
      <c r="E607" t="s">
        <v>13</v>
      </c>
      <c r="F607" t="s">
        <v>82</v>
      </c>
      <c r="G607" t="s">
        <v>32</v>
      </c>
      <c r="H607" s="5">
        <v>44986</v>
      </c>
      <c r="I607" t="s">
        <v>494</v>
      </c>
      <c r="J607" t="s">
        <v>98</v>
      </c>
      <c r="K607" t="s">
        <v>117</v>
      </c>
      <c r="L607" s="1">
        <v>44986</v>
      </c>
      <c r="M607">
        <v>2023</v>
      </c>
    </row>
    <row r="608" spans="1:13" x14ac:dyDescent="0.25">
      <c r="A608" t="s">
        <v>495</v>
      </c>
      <c r="B608">
        <v>7684</v>
      </c>
      <c r="C608">
        <v>1157</v>
      </c>
      <c r="D608">
        <v>12</v>
      </c>
      <c r="E608" t="s">
        <v>45</v>
      </c>
      <c r="F608" t="s">
        <v>60</v>
      </c>
      <c r="G608" t="s">
        <v>65</v>
      </c>
      <c r="H608" s="5">
        <v>45159</v>
      </c>
      <c r="I608" t="s">
        <v>498</v>
      </c>
      <c r="J608" t="s">
        <v>98</v>
      </c>
      <c r="K608" t="s">
        <v>99</v>
      </c>
      <c r="L608" s="1">
        <v>45139</v>
      </c>
      <c r="M608">
        <v>2023</v>
      </c>
    </row>
    <row r="609" spans="1:13" x14ac:dyDescent="0.25">
      <c r="A609" t="s">
        <v>516</v>
      </c>
      <c r="B609">
        <v>2901</v>
      </c>
      <c r="C609">
        <v>1411</v>
      </c>
      <c r="D609">
        <v>2</v>
      </c>
      <c r="E609" t="s">
        <v>30</v>
      </c>
      <c r="F609" t="s">
        <v>64</v>
      </c>
      <c r="G609" t="s">
        <v>32</v>
      </c>
      <c r="H609" s="5">
        <v>44937</v>
      </c>
      <c r="I609" t="s">
        <v>518</v>
      </c>
      <c r="J609" t="s">
        <v>42</v>
      </c>
      <c r="K609" t="s">
        <v>43</v>
      </c>
      <c r="L609" s="1">
        <v>44927</v>
      </c>
      <c r="M609">
        <v>2023</v>
      </c>
    </row>
    <row r="610" spans="1:13" x14ac:dyDescent="0.25">
      <c r="A610" t="s">
        <v>516</v>
      </c>
      <c r="B610">
        <v>6934</v>
      </c>
      <c r="C610">
        <v>1152</v>
      </c>
      <c r="D610">
        <v>6</v>
      </c>
      <c r="E610" t="s">
        <v>30</v>
      </c>
      <c r="F610" t="s">
        <v>31</v>
      </c>
      <c r="G610" t="s">
        <v>47</v>
      </c>
      <c r="H610" s="5">
        <v>44937</v>
      </c>
      <c r="I610" t="s">
        <v>518</v>
      </c>
      <c r="J610" t="s">
        <v>42</v>
      </c>
      <c r="K610" t="s">
        <v>43</v>
      </c>
      <c r="L610" s="1">
        <v>44927</v>
      </c>
      <c r="M610">
        <v>2023</v>
      </c>
    </row>
    <row r="611" spans="1:13" x14ac:dyDescent="0.25">
      <c r="A611" t="s">
        <v>521</v>
      </c>
      <c r="B611">
        <v>7930</v>
      </c>
      <c r="C611">
        <v>1981</v>
      </c>
      <c r="D611">
        <v>13</v>
      </c>
      <c r="E611" t="s">
        <v>45</v>
      </c>
      <c r="F611" t="s">
        <v>49</v>
      </c>
      <c r="G611" t="s">
        <v>47</v>
      </c>
      <c r="H611" s="5">
        <v>45050</v>
      </c>
      <c r="I611" t="s">
        <v>522</v>
      </c>
      <c r="J611" t="s">
        <v>98</v>
      </c>
      <c r="K611" t="s">
        <v>117</v>
      </c>
      <c r="L611" s="1">
        <v>45047</v>
      </c>
      <c r="M611">
        <v>2023</v>
      </c>
    </row>
    <row r="612" spans="1:13" x14ac:dyDescent="0.25">
      <c r="A612" t="s">
        <v>532</v>
      </c>
      <c r="B612">
        <v>7664</v>
      </c>
      <c r="C612">
        <v>1753</v>
      </c>
      <c r="D612">
        <v>19</v>
      </c>
      <c r="E612" t="s">
        <v>13</v>
      </c>
      <c r="F612" t="s">
        <v>82</v>
      </c>
      <c r="G612" t="s">
        <v>32</v>
      </c>
      <c r="H612" s="5">
        <v>45092</v>
      </c>
      <c r="I612" t="s">
        <v>533</v>
      </c>
      <c r="J612" t="s">
        <v>98</v>
      </c>
      <c r="K612" t="s">
        <v>107</v>
      </c>
      <c r="L612" s="1">
        <v>45078</v>
      </c>
      <c r="M612">
        <v>2023</v>
      </c>
    </row>
    <row r="613" spans="1:13" x14ac:dyDescent="0.25">
      <c r="A613" t="s">
        <v>534</v>
      </c>
      <c r="B613">
        <v>721</v>
      </c>
      <c r="C613">
        <v>258</v>
      </c>
      <c r="D613">
        <v>13</v>
      </c>
      <c r="E613" t="s">
        <v>13</v>
      </c>
      <c r="F613" t="s">
        <v>39</v>
      </c>
      <c r="G613" t="s">
        <v>32</v>
      </c>
      <c r="H613" s="5">
        <v>45217</v>
      </c>
      <c r="I613" t="s">
        <v>535</v>
      </c>
      <c r="J613" t="s">
        <v>21</v>
      </c>
      <c r="K613" t="s">
        <v>172</v>
      </c>
      <c r="L613" s="1">
        <v>45200</v>
      </c>
      <c r="M613">
        <v>2023</v>
      </c>
    </row>
    <row r="614" spans="1:13" x14ac:dyDescent="0.25">
      <c r="A614" t="s">
        <v>534</v>
      </c>
      <c r="B614">
        <v>8364</v>
      </c>
      <c r="C614">
        <v>3055</v>
      </c>
      <c r="D614">
        <v>17</v>
      </c>
      <c r="E614" t="s">
        <v>13</v>
      </c>
      <c r="F614" t="s">
        <v>39</v>
      </c>
      <c r="G614" t="s">
        <v>47</v>
      </c>
      <c r="H614" s="5">
        <v>45217</v>
      </c>
      <c r="I614" t="s">
        <v>535</v>
      </c>
      <c r="J614" t="s">
        <v>21</v>
      </c>
      <c r="K614" t="s">
        <v>172</v>
      </c>
      <c r="L614" s="1">
        <v>45200</v>
      </c>
      <c r="M614">
        <v>2023</v>
      </c>
    </row>
    <row r="615" spans="1:13" x14ac:dyDescent="0.25">
      <c r="A615" t="s">
        <v>534</v>
      </c>
      <c r="B615">
        <v>5234</v>
      </c>
      <c r="C615">
        <v>2021</v>
      </c>
      <c r="D615">
        <v>15</v>
      </c>
      <c r="E615" t="s">
        <v>45</v>
      </c>
      <c r="F615" t="s">
        <v>109</v>
      </c>
      <c r="G615" t="s">
        <v>40</v>
      </c>
      <c r="H615" s="5">
        <v>45217</v>
      </c>
      <c r="I615" t="s">
        <v>535</v>
      </c>
      <c r="J615" t="s">
        <v>21</v>
      </c>
      <c r="K615" t="s">
        <v>172</v>
      </c>
      <c r="L615" s="1">
        <v>45200</v>
      </c>
      <c r="M615">
        <v>2023</v>
      </c>
    </row>
    <row r="616" spans="1:13" x14ac:dyDescent="0.25">
      <c r="A616" t="s">
        <v>543</v>
      </c>
      <c r="B616">
        <v>874</v>
      </c>
      <c r="C616">
        <v>235</v>
      </c>
      <c r="D616">
        <v>15</v>
      </c>
      <c r="E616" t="s">
        <v>30</v>
      </c>
      <c r="F616" t="s">
        <v>78</v>
      </c>
      <c r="G616" t="s">
        <v>32</v>
      </c>
      <c r="H616" s="5">
        <v>45075</v>
      </c>
      <c r="I616" t="s">
        <v>544</v>
      </c>
      <c r="J616" t="s">
        <v>25</v>
      </c>
      <c r="K616" t="s">
        <v>68</v>
      </c>
      <c r="L616" s="1">
        <v>45047</v>
      </c>
      <c r="M616">
        <v>2023</v>
      </c>
    </row>
    <row r="617" spans="1:13" x14ac:dyDescent="0.25">
      <c r="A617" t="s">
        <v>553</v>
      </c>
      <c r="B617">
        <v>5564</v>
      </c>
      <c r="C617">
        <v>175</v>
      </c>
      <c r="D617">
        <v>11</v>
      </c>
      <c r="E617" t="s">
        <v>13</v>
      </c>
      <c r="F617" t="s">
        <v>39</v>
      </c>
      <c r="G617" t="s">
        <v>65</v>
      </c>
      <c r="H617" s="5">
        <v>44948</v>
      </c>
      <c r="I617" t="s">
        <v>554</v>
      </c>
      <c r="J617" t="s">
        <v>21</v>
      </c>
      <c r="K617" t="s">
        <v>22</v>
      </c>
      <c r="L617" s="1">
        <v>44927</v>
      </c>
      <c r="M617">
        <v>2023</v>
      </c>
    </row>
    <row r="618" spans="1:13" x14ac:dyDescent="0.25">
      <c r="A618" t="s">
        <v>553</v>
      </c>
      <c r="B618">
        <v>5564</v>
      </c>
      <c r="C618">
        <v>175</v>
      </c>
      <c r="D618">
        <v>11</v>
      </c>
      <c r="E618" t="s">
        <v>13</v>
      </c>
      <c r="F618" t="s">
        <v>39</v>
      </c>
      <c r="G618" t="s">
        <v>65</v>
      </c>
      <c r="H618" s="5">
        <v>45273</v>
      </c>
      <c r="I618" t="s">
        <v>556</v>
      </c>
      <c r="J618" t="s">
        <v>17</v>
      </c>
      <c r="K618" t="s">
        <v>18</v>
      </c>
      <c r="L618" s="1">
        <v>45261</v>
      </c>
      <c r="M618">
        <v>2023</v>
      </c>
    </row>
    <row r="619" spans="1:13" x14ac:dyDescent="0.25">
      <c r="A619" t="s">
        <v>553</v>
      </c>
      <c r="B619">
        <v>3953</v>
      </c>
      <c r="C619">
        <v>1776</v>
      </c>
      <c r="D619">
        <v>15</v>
      </c>
      <c r="E619" t="s">
        <v>13</v>
      </c>
      <c r="F619" t="s">
        <v>14</v>
      </c>
      <c r="G619" t="s">
        <v>15</v>
      </c>
      <c r="H619" s="5">
        <v>44948</v>
      </c>
      <c r="I619" t="s">
        <v>554</v>
      </c>
      <c r="J619" t="s">
        <v>21</v>
      </c>
      <c r="K619" t="s">
        <v>22</v>
      </c>
      <c r="L619" s="1">
        <v>44927</v>
      </c>
      <c r="M619">
        <v>2023</v>
      </c>
    </row>
    <row r="620" spans="1:13" x14ac:dyDescent="0.25">
      <c r="A620" t="s">
        <v>553</v>
      </c>
      <c r="B620">
        <v>3953</v>
      </c>
      <c r="C620">
        <v>1776</v>
      </c>
      <c r="D620">
        <v>15</v>
      </c>
      <c r="E620" t="s">
        <v>13</v>
      </c>
      <c r="F620" t="s">
        <v>14</v>
      </c>
      <c r="G620" t="s">
        <v>15</v>
      </c>
      <c r="H620" s="5">
        <v>45273</v>
      </c>
      <c r="I620" t="s">
        <v>556</v>
      </c>
      <c r="J620" t="s">
        <v>17</v>
      </c>
      <c r="K620" t="s">
        <v>18</v>
      </c>
      <c r="L620" s="1">
        <v>45261</v>
      </c>
      <c r="M620">
        <v>2023</v>
      </c>
    </row>
    <row r="621" spans="1:13" x14ac:dyDescent="0.25">
      <c r="A621" t="s">
        <v>557</v>
      </c>
      <c r="B621">
        <v>6488</v>
      </c>
      <c r="C621">
        <v>1591</v>
      </c>
      <c r="D621">
        <v>18</v>
      </c>
      <c r="E621" t="s">
        <v>13</v>
      </c>
      <c r="F621" t="s">
        <v>28</v>
      </c>
      <c r="G621" t="s">
        <v>40</v>
      </c>
      <c r="H621" s="5">
        <v>45070</v>
      </c>
      <c r="I621" t="s">
        <v>558</v>
      </c>
      <c r="J621" t="s">
        <v>71</v>
      </c>
      <c r="K621" t="s">
        <v>72</v>
      </c>
      <c r="L621" s="1">
        <v>45047</v>
      </c>
      <c r="M621">
        <v>2023</v>
      </c>
    </row>
    <row r="622" spans="1:13" x14ac:dyDescent="0.25">
      <c r="A622" t="s">
        <v>565</v>
      </c>
      <c r="B622">
        <v>3956</v>
      </c>
      <c r="C622">
        <v>142</v>
      </c>
      <c r="D622">
        <v>12</v>
      </c>
      <c r="E622" t="s">
        <v>30</v>
      </c>
      <c r="F622" t="s">
        <v>31</v>
      </c>
      <c r="G622" t="s">
        <v>32</v>
      </c>
      <c r="H622" s="5">
        <v>45189</v>
      </c>
      <c r="I622" t="s">
        <v>566</v>
      </c>
      <c r="J622" t="s">
        <v>17</v>
      </c>
      <c r="K622" t="s">
        <v>150</v>
      </c>
      <c r="L622" s="1">
        <v>45170</v>
      </c>
      <c r="M622">
        <v>2023</v>
      </c>
    </row>
    <row r="623" spans="1:13" x14ac:dyDescent="0.25">
      <c r="A623" t="s">
        <v>565</v>
      </c>
      <c r="B623">
        <v>6449</v>
      </c>
      <c r="C623">
        <v>2628</v>
      </c>
      <c r="D623">
        <v>11</v>
      </c>
      <c r="E623" t="s">
        <v>45</v>
      </c>
      <c r="F623" t="s">
        <v>109</v>
      </c>
      <c r="G623" t="s">
        <v>40</v>
      </c>
      <c r="H623" s="5">
        <v>45189</v>
      </c>
      <c r="I623" t="s">
        <v>566</v>
      </c>
      <c r="J623" t="s">
        <v>17</v>
      </c>
      <c r="K623" t="s">
        <v>150</v>
      </c>
      <c r="L623" s="1">
        <v>45170</v>
      </c>
      <c r="M623">
        <v>2023</v>
      </c>
    </row>
    <row r="624" spans="1:13" x14ac:dyDescent="0.25">
      <c r="A624" t="s">
        <v>596</v>
      </c>
      <c r="B624">
        <v>6385</v>
      </c>
      <c r="C624">
        <v>2656</v>
      </c>
      <c r="D624">
        <v>11</v>
      </c>
      <c r="E624" t="s">
        <v>13</v>
      </c>
      <c r="F624" t="s">
        <v>28</v>
      </c>
      <c r="G624" t="s">
        <v>47</v>
      </c>
      <c r="H624" s="5">
        <v>45003</v>
      </c>
      <c r="I624" t="s">
        <v>597</v>
      </c>
      <c r="J624" t="s">
        <v>17</v>
      </c>
      <c r="K624" t="s">
        <v>34</v>
      </c>
      <c r="L624" s="1">
        <v>44986</v>
      </c>
      <c r="M624">
        <v>2023</v>
      </c>
    </row>
    <row r="625" spans="1:13" x14ac:dyDescent="0.25">
      <c r="A625" t="s">
        <v>599</v>
      </c>
      <c r="B625">
        <v>6355</v>
      </c>
      <c r="C625">
        <v>1335</v>
      </c>
      <c r="D625">
        <v>15</v>
      </c>
      <c r="E625" t="s">
        <v>13</v>
      </c>
      <c r="F625" t="s">
        <v>14</v>
      </c>
      <c r="G625" t="s">
        <v>32</v>
      </c>
      <c r="H625" s="5">
        <v>45169</v>
      </c>
      <c r="I625" t="s">
        <v>600</v>
      </c>
      <c r="J625" t="s">
        <v>71</v>
      </c>
      <c r="K625" t="s">
        <v>86</v>
      </c>
      <c r="L625" s="1">
        <v>45139</v>
      </c>
      <c r="M625">
        <v>2023</v>
      </c>
    </row>
    <row r="626" spans="1:13" x14ac:dyDescent="0.25">
      <c r="A626" t="s">
        <v>625</v>
      </c>
      <c r="B626">
        <v>4202</v>
      </c>
      <c r="C626">
        <v>1171</v>
      </c>
      <c r="D626">
        <v>3</v>
      </c>
      <c r="E626" t="s">
        <v>30</v>
      </c>
      <c r="F626" t="s">
        <v>57</v>
      </c>
      <c r="G626" t="s">
        <v>65</v>
      </c>
      <c r="H626" s="5">
        <v>45236</v>
      </c>
      <c r="I626" t="s">
        <v>628</v>
      </c>
      <c r="J626" t="s">
        <v>17</v>
      </c>
      <c r="K626" t="s">
        <v>150</v>
      </c>
      <c r="L626" s="1">
        <v>45231</v>
      </c>
      <c r="M626">
        <v>2023</v>
      </c>
    </row>
    <row r="627" spans="1:13" x14ac:dyDescent="0.25">
      <c r="A627" t="s">
        <v>625</v>
      </c>
      <c r="B627">
        <v>4202</v>
      </c>
      <c r="C627">
        <v>1171</v>
      </c>
      <c r="D627">
        <v>3</v>
      </c>
      <c r="E627" t="s">
        <v>30</v>
      </c>
      <c r="F627" t="s">
        <v>57</v>
      </c>
      <c r="G627" t="s">
        <v>65</v>
      </c>
      <c r="H627" s="5">
        <v>45242</v>
      </c>
      <c r="I627" t="s">
        <v>629</v>
      </c>
      <c r="J627" t="s">
        <v>71</v>
      </c>
      <c r="K627" t="s">
        <v>138</v>
      </c>
      <c r="L627" s="1">
        <v>45231</v>
      </c>
      <c r="M627">
        <v>2023</v>
      </c>
    </row>
    <row r="628" spans="1:13" x14ac:dyDescent="0.25">
      <c r="A628" t="s">
        <v>630</v>
      </c>
      <c r="B628">
        <v>2239</v>
      </c>
      <c r="C628">
        <v>828</v>
      </c>
      <c r="D628">
        <v>1</v>
      </c>
      <c r="E628" t="s">
        <v>13</v>
      </c>
      <c r="F628" t="s">
        <v>28</v>
      </c>
      <c r="G628" t="s">
        <v>15</v>
      </c>
      <c r="H628" s="5">
        <v>45103</v>
      </c>
      <c r="I628" t="s">
        <v>631</v>
      </c>
      <c r="J628" t="s">
        <v>42</v>
      </c>
      <c r="K628" t="s">
        <v>43</v>
      </c>
      <c r="L628" s="1">
        <v>45078</v>
      </c>
      <c r="M628">
        <v>2023</v>
      </c>
    </row>
    <row r="629" spans="1:13" x14ac:dyDescent="0.25">
      <c r="A629" t="s">
        <v>630</v>
      </c>
      <c r="B629">
        <v>2239</v>
      </c>
      <c r="C629">
        <v>828</v>
      </c>
      <c r="D629">
        <v>1</v>
      </c>
      <c r="E629" t="s">
        <v>13</v>
      </c>
      <c r="F629" t="s">
        <v>28</v>
      </c>
      <c r="G629" t="s">
        <v>15</v>
      </c>
      <c r="H629" s="5">
        <v>45199</v>
      </c>
      <c r="I629" t="s">
        <v>632</v>
      </c>
      <c r="J629" t="s">
        <v>21</v>
      </c>
      <c r="K629" t="s">
        <v>22</v>
      </c>
      <c r="L629" s="1">
        <v>45170</v>
      </c>
      <c r="M629">
        <v>2023</v>
      </c>
    </row>
    <row r="630" spans="1:13" x14ac:dyDescent="0.25">
      <c r="A630" t="s">
        <v>630</v>
      </c>
      <c r="B630">
        <v>2450</v>
      </c>
      <c r="C630">
        <v>1002</v>
      </c>
      <c r="D630">
        <v>4</v>
      </c>
      <c r="E630" t="s">
        <v>13</v>
      </c>
      <c r="F630" t="s">
        <v>82</v>
      </c>
      <c r="G630" t="s">
        <v>32</v>
      </c>
      <c r="H630" s="5">
        <v>45103</v>
      </c>
      <c r="I630" t="s">
        <v>631</v>
      </c>
      <c r="J630" t="s">
        <v>42</v>
      </c>
      <c r="K630" t="s">
        <v>43</v>
      </c>
      <c r="L630" s="1">
        <v>45078</v>
      </c>
      <c r="M630">
        <v>2023</v>
      </c>
    </row>
    <row r="631" spans="1:13" x14ac:dyDescent="0.25">
      <c r="A631" t="s">
        <v>630</v>
      </c>
      <c r="B631">
        <v>2450</v>
      </c>
      <c r="C631">
        <v>1002</v>
      </c>
      <c r="D631">
        <v>4</v>
      </c>
      <c r="E631" t="s">
        <v>13</v>
      </c>
      <c r="F631" t="s">
        <v>82</v>
      </c>
      <c r="G631" t="s">
        <v>32</v>
      </c>
      <c r="H631" s="5">
        <v>45199</v>
      </c>
      <c r="I631" t="s">
        <v>632</v>
      </c>
      <c r="J631" t="s">
        <v>21</v>
      </c>
      <c r="K631" t="s">
        <v>22</v>
      </c>
      <c r="L631" s="1">
        <v>45170</v>
      </c>
      <c r="M631">
        <v>2023</v>
      </c>
    </row>
    <row r="632" spans="1:13" x14ac:dyDescent="0.25">
      <c r="A632" t="s">
        <v>635</v>
      </c>
      <c r="B632">
        <v>5152</v>
      </c>
      <c r="C632">
        <v>2045</v>
      </c>
      <c r="D632">
        <v>14</v>
      </c>
      <c r="E632" t="s">
        <v>13</v>
      </c>
      <c r="F632" t="s">
        <v>82</v>
      </c>
      <c r="G632" t="s">
        <v>15</v>
      </c>
      <c r="H632" s="5">
        <v>45161</v>
      </c>
      <c r="I632" t="s">
        <v>638</v>
      </c>
      <c r="J632" t="s">
        <v>21</v>
      </c>
      <c r="K632" t="s">
        <v>22</v>
      </c>
      <c r="L632" s="1">
        <v>45139</v>
      </c>
      <c r="M632">
        <v>2023</v>
      </c>
    </row>
    <row r="633" spans="1:13" x14ac:dyDescent="0.25">
      <c r="A633" t="s">
        <v>635</v>
      </c>
      <c r="B633">
        <v>5152</v>
      </c>
      <c r="C633">
        <v>2045</v>
      </c>
      <c r="D633">
        <v>14</v>
      </c>
      <c r="E633" t="s">
        <v>13</v>
      </c>
      <c r="F633" t="s">
        <v>82</v>
      </c>
      <c r="G633" t="s">
        <v>15</v>
      </c>
      <c r="H633" s="5">
        <v>45210</v>
      </c>
      <c r="I633" t="s">
        <v>639</v>
      </c>
      <c r="J633" t="s">
        <v>25</v>
      </c>
      <c r="K633" t="s">
        <v>68</v>
      </c>
      <c r="L633" s="1">
        <v>45200</v>
      </c>
      <c r="M633">
        <v>2023</v>
      </c>
    </row>
    <row r="634" spans="1:13" x14ac:dyDescent="0.25">
      <c r="A634" t="s">
        <v>642</v>
      </c>
      <c r="B634">
        <v>8102</v>
      </c>
      <c r="C634">
        <v>1800</v>
      </c>
      <c r="D634">
        <v>5</v>
      </c>
      <c r="E634" t="s">
        <v>30</v>
      </c>
      <c r="F634" t="s">
        <v>57</v>
      </c>
      <c r="G634" t="s">
        <v>15</v>
      </c>
      <c r="H634" s="5">
        <v>45183</v>
      </c>
      <c r="I634" t="s">
        <v>643</v>
      </c>
      <c r="J634" t="s">
        <v>42</v>
      </c>
      <c r="K634" t="s">
        <v>92</v>
      </c>
      <c r="L634" s="1">
        <v>45170</v>
      </c>
      <c r="M634">
        <v>2023</v>
      </c>
    </row>
    <row r="635" spans="1:13" x14ac:dyDescent="0.25">
      <c r="A635" t="s">
        <v>642</v>
      </c>
      <c r="B635">
        <v>3234</v>
      </c>
      <c r="C635">
        <v>1274</v>
      </c>
      <c r="D635">
        <v>10</v>
      </c>
      <c r="E635" t="s">
        <v>45</v>
      </c>
      <c r="F635" t="s">
        <v>46</v>
      </c>
      <c r="G635" t="s">
        <v>40</v>
      </c>
      <c r="H635" s="5">
        <v>45183</v>
      </c>
      <c r="I635" t="s">
        <v>643</v>
      </c>
      <c r="J635" t="s">
        <v>42</v>
      </c>
      <c r="K635" t="s">
        <v>92</v>
      </c>
      <c r="L635" s="1">
        <v>45170</v>
      </c>
      <c r="M635">
        <v>2023</v>
      </c>
    </row>
    <row r="636" spans="1:13" x14ac:dyDescent="0.25">
      <c r="A636" t="s">
        <v>662</v>
      </c>
      <c r="B636">
        <v>883</v>
      </c>
      <c r="C636">
        <v>127</v>
      </c>
      <c r="D636">
        <v>7</v>
      </c>
      <c r="E636" t="s">
        <v>45</v>
      </c>
      <c r="F636" t="s">
        <v>49</v>
      </c>
      <c r="G636" t="s">
        <v>65</v>
      </c>
      <c r="H636" s="5">
        <v>45081</v>
      </c>
      <c r="I636" t="s">
        <v>663</v>
      </c>
      <c r="J636" t="s">
        <v>42</v>
      </c>
      <c r="K636" t="s">
        <v>92</v>
      </c>
      <c r="L636" s="1">
        <v>45078</v>
      </c>
      <c r="M636">
        <v>2023</v>
      </c>
    </row>
    <row r="637" spans="1:13" x14ac:dyDescent="0.25">
      <c r="A637" t="s">
        <v>662</v>
      </c>
      <c r="B637">
        <v>4539</v>
      </c>
      <c r="C637">
        <v>1155</v>
      </c>
      <c r="D637">
        <v>8</v>
      </c>
      <c r="E637" t="s">
        <v>45</v>
      </c>
      <c r="F637" t="s">
        <v>109</v>
      </c>
      <c r="G637" t="s">
        <v>32</v>
      </c>
      <c r="H637" s="5">
        <v>45081</v>
      </c>
      <c r="I637" t="s">
        <v>663</v>
      </c>
      <c r="J637" t="s">
        <v>42</v>
      </c>
      <c r="K637" t="s">
        <v>92</v>
      </c>
      <c r="L637" s="1">
        <v>45078</v>
      </c>
      <c r="M637">
        <v>2023</v>
      </c>
    </row>
    <row r="638" spans="1:13" x14ac:dyDescent="0.25">
      <c r="A638" t="s">
        <v>662</v>
      </c>
      <c r="B638">
        <v>9659</v>
      </c>
      <c r="C638">
        <v>2226</v>
      </c>
      <c r="D638">
        <v>16</v>
      </c>
      <c r="E638" t="s">
        <v>30</v>
      </c>
      <c r="F638" t="s">
        <v>78</v>
      </c>
      <c r="G638" t="s">
        <v>32</v>
      </c>
      <c r="H638" s="5">
        <v>45081</v>
      </c>
      <c r="I638" t="s">
        <v>663</v>
      </c>
      <c r="J638" t="s">
        <v>42</v>
      </c>
      <c r="K638" t="s">
        <v>92</v>
      </c>
      <c r="L638" s="1">
        <v>45078</v>
      </c>
      <c r="M638">
        <v>2023</v>
      </c>
    </row>
    <row r="639" spans="1:13" x14ac:dyDescent="0.25">
      <c r="A639" t="s">
        <v>666</v>
      </c>
      <c r="B639">
        <v>4688</v>
      </c>
      <c r="C639">
        <v>1841</v>
      </c>
      <c r="D639">
        <v>3</v>
      </c>
      <c r="E639" t="s">
        <v>13</v>
      </c>
      <c r="F639" t="s">
        <v>39</v>
      </c>
      <c r="G639" t="s">
        <v>47</v>
      </c>
      <c r="H639" s="5">
        <v>44949</v>
      </c>
      <c r="I639" t="s">
        <v>667</v>
      </c>
      <c r="J639" t="s">
        <v>42</v>
      </c>
      <c r="K639" t="s">
        <v>92</v>
      </c>
      <c r="L639" s="1">
        <v>44927</v>
      </c>
      <c r="M639">
        <v>2023</v>
      </c>
    </row>
    <row r="640" spans="1:13" x14ac:dyDescent="0.25">
      <c r="A640" t="s">
        <v>673</v>
      </c>
      <c r="B640">
        <v>4852</v>
      </c>
      <c r="C640">
        <v>218</v>
      </c>
      <c r="D640">
        <v>2</v>
      </c>
      <c r="E640" t="s">
        <v>45</v>
      </c>
      <c r="F640" t="s">
        <v>46</v>
      </c>
      <c r="G640" t="s">
        <v>40</v>
      </c>
      <c r="H640" s="5">
        <v>45176</v>
      </c>
      <c r="I640" t="s">
        <v>676</v>
      </c>
      <c r="J640" t="s">
        <v>21</v>
      </c>
      <c r="K640" t="s">
        <v>63</v>
      </c>
      <c r="L640" s="1">
        <v>45170</v>
      </c>
      <c r="M640">
        <v>2023</v>
      </c>
    </row>
    <row r="641" spans="1:13" x14ac:dyDescent="0.25">
      <c r="A641" t="s">
        <v>684</v>
      </c>
      <c r="B641">
        <v>6252</v>
      </c>
      <c r="C641">
        <v>1377</v>
      </c>
      <c r="D641">
        <v>2</v>
      </c>
      <c r="E641" t="s">
        <v>13</v>
      </c>
      <c r="F641" t="s">
        <v>28</v>
      </c>
      <c r="G641" t="s">
        <v>40</v>
      </c>
      <c r="H641" s="5">
        <v>45078</v>
      </c>
      <c r="I641" t="s">
        <v>685</v>
      </c>
      <c r="J641" t="s">
        <v>21</v>
      </c>
      <c r="K641" t="s">
        <v>22</v>
      </c>
      <c r="L641" s="1">
        <v>45078</v>
      </c>
      <c r="M641">
        <v>2023</v>
      </c>
    </row>
    <row r="642" spans="1:13" x14ac:dyDescent="0.25">
      <c r="A642" t="s">
        <v>686</v>
      </c>
      <c r="B642">
        <v>9084</v>
      </c>
      <c r="C642">
        <v>3253</v>
      </c>
      <c r="D642">
        <v>12</v>
      </c>
      <c r="E642" t="s">
        <v>30</v>
      </c>
      <c r="F642" t="s">
        <v>31</v>
      </c>
      <c r="G642" t="s">
        <v>32</v>
      </c>
      <c r="H642" s="5">
        <v>45235</v>
      </c>
      <c r="I642" t="s">
        <v>687</v>
      </c>
      <c r="J642" t="s">
        <v>25</v>
      </c>
      <c r="K642" t="s">
        <v>26</v>
      </c>
      <c r="L642" s="1">
        <v>45231</v>
      </c>
      <c r="M642">
        <v>2023</v>
      </c>
    </row>
    <row r="643" spans="1:13" x14ac:dyDescent="0.25">
      <c r="A643" t="s">
        <v>713</v>
      </c>
      <c r="B643">
        <v>1133</v>
      </c>
      <c r="C643">
        <v>73</v>
      </c>
      <c r="D643">
        <v>17</v>
      </c>
      <c r="E643" t="s">
        <v>45</v>
      </c>
      <c r="F643" t="s">
        <v>49</v>
      </c>
      <c r="G643" t="s">
        <v>15</v>
      </c>
      <c r="H643" s="5">
        <v>44980</v>
      </c>
      <c r="I643" t="s">
        <v>714</v>
      </c>
      <c r="J643" t="s">
        <v>98</v>
      </c>
      <c r="K643" t="s">
        <v>117</v>
      </c>
      <c r="L643" s="1">
        <v>44958</v>
      </c>
      <c r="M643">
        <v>2023</v>
      </c>
    </row>
    <row r="644" spans="1:13" x14ac:dyDescent="0.25">
      <c r="A644" t="s">
        <v>713</v>
      </c>
      <c r="B644">
        <v>6248</v>
      </c>
      <c r="C644">
        <v>1168</v>
      </c>
      <c r="D644">
        <v>19</v>
      </c>
      <c r="E644" t="s">
        <v>45</v>
      </c>
      <c r="F644" t="s">
        <v>109</v>
      </c>
      <c r="G644" t="s">
        <v>65</v>
      </c>
      <c r="H644" s="5">
        <v>44980</v>
      </c>
      <c r="I644" t="s">
        <v>714</v>
      </c>
      <c r="J644" t="s">
        <v>98</v>
      </c>
      <c r="K644" t="s">
        <v>117</v>
      </c>
      <c r="L644" s="1">
        <v>44958</v>
      </c>
      <c r="M644">
        <v>2023</v>
      </c>
    </row>
    <row r="645" spans="1:13" x14ac:dyDescent="0.25">
      <c r="A645" t="s">
        <v>718</v>
      </c>
      <c r="B645">
        <v>4171</v>
      </c>
      <c r="C645">
        <v>1450</v>
      </c>
      <c r="D645">
        <v>18</v>
      </c>
      <c r="E645" t="s">
        <v>30</v>
      </c>
      <c r="F645" t="s">
        <v>57</v>
      </c>
      <c r="G645" t="s">
        <v>65</v>
      </c>
      <c r="H645" s="5">
        <v>45023</v>
      </c>
      <c r="I645" t="s">
        <v>719</v>
      </c>
      <c r="J645" t="s">
        <v>71</v>
      </c>
      <c r="K645" t="s">
        <v>72</v>
      </c>
      <c r="L645" s="1">
        <v>45017</v>
      </c>
      <c r="M645">
        <v>2023</v>
      </c>
    </row>
    <row r="646" spans="1:13" x14ac:dyDescent="0.25">
      <c r="A646" t="s">
        <v>731</v>
      </c>
      <c r="B646">
        <v>7213</v>
      </c>
      <c r="C646">
        <v>508</v>
      </c>
      <c r="D646">
        <v>19</v>
      </c>
      <c r="E646" t="s">
        <v>13</v>
      </c>
      <c r="F646" t="s">
        <v>14</v>
      </c>
      <c r="G646" t="s">
        <v>32</v>
      </c>
      <c r="H646" s="5">
        <v>45155</v>
      </c>
      <c r="I646" t="s">
        <v>732</v>
      </c>
      <c r="J646" t="s">
        <v>71</v>
      </c>
      <c r="K646" t="s">
        <v>72</v>
      </c>
      <c r="L646" s="1">
        <v>45139</v>
      </c>
      <c r="M646">
        <v>2023</v>
      </c>
    </row>
    <row r="647" spans="1:13" x14ac:dyDescent="0.25">
      <c r="A647" t="s">
        <v>731</v>
      </c>
      <c r="B647">
        <v>3176</v>
      </c>
      <c r="C647">
        <v>586</v>
      </c>
      <c r="D647">
        <v>9</v>
      </c>
      <c r="E647" t="s">
        <v>45</v>
      </c>
      <c r="F647" t="s">
        <v>46</v>
      </c>
      <c r="G647" t="s">
        <v>40</v>
      </c>
      <c r="H647" s="5">
        <v>45155</v>
      </c>
      <c r="I647" t="s">
        <v>732</v>
      </c>
      <c r="J647" t="s">
        <v>71</v>
      </c>
      <c r="K647" t="s">
        <v>72</v>
      </c>
      <c r="L647" s="1">
        <v>45139</v>
      </c>
      <c r="M647">
        <v>2023</v>
      </c>
    </row>
    <row r="648" spans="1:13" x14ac:dyDescent="0.25">
      <c r="A648" t="s">
        <v>740</v>
      </c>
      <c r="B648">
        <v>4164</v>
      </c>
      <c r="C648">
        <v>905</v>
      </c>
      <c r="D648">
        <v>11</v>
      </c>
      <c r="E648" t="s">
        <v>13</v>
      </c>
      <c r="F648" t="s">
        <v>82</v>
      </c>
      <c r="G648" t="s">
        <v>65</v>
      </c>
      <c r="H648" s="5">
        <v>45264</v>
      </c>
      <c r="I648" t="s">
        <v>741</v>
      </c>
      <c r="J648" t="s">
        <v>42</v>
      </c>
      <c r="K648" t="s">
        <v>75</v>
      </c>
      <c r="L648" s="1">
        <v>45261</v>
      </c>
      <c r="M648">
        <v>2023</v>
      </c>
    </row>
    <row r="649" spans="1:13" x14ac:dyDescent="0.25">
      <c r="A649" t="s">
        <v>740</v>
      </c>
      <c r="B649">
        <v>5389</v>
      </c>
      <c r="C649">
        <v>2196</v>
      </c>
      <c r="D649">
        <v>5</v>
      </c>
      <c r="E649" t="s">
        <v>45</v>
      </c>
      <c r="F649" t="s">
        <v>46</v>
      </c>
      <c r="G649" t="s">
        <v>15</v>
      </c>
      <c r="H649" s="5">
        <v>45264</v>
      </c>
      <c r="I649" t="s">
        <v>741</v>
      </c>
      <c r="J649" t="s">
        <v>42</v>
      </c>
      <c r="K649" t="s">
        <v>75</v>
      </c>
      <c r="L649" s="1">
        <v>45261</v>
      </c>
      <c r="M649">
        <v>2023</v>
      </c>
    </row>
    <row r="650" spans="1:13" x14ac:dyDescent="0.25">
      <c r="A650" t="s">
        <v>746</v>
      </c>
      <c r="B650">
        <v>5899</v>
      </c>
      <c r="C650">
        <v>2264</v>
      </c>
      <c r="D650">
        <v>6</v>
      </c>
      <c r="E650" t="s">
        <v>30</v>
      </c>
      <c r="F650" t="s">
        <v>78</v>
      </c>
      <c r="G650" t="s">
        <v>40</v>
      </c>
      <c r="H650" s="5">
        <v>45219</v>
      </c>
      <c r="I650" t="s">
        <v>747</v>
      </c>
      <c r="J650" t="s">
        <v>25</v>
      </c>
      <c r="K650" t="s">
        <v>26</v>
      </c>
      <c r="L650" s="1">
        <v>45200</v>
      </c>
      <c r="M650">
        <v>2023</v>
      </c>
    </row>
    <row r="651" spans="1:13" x14ac:dyDescent="0.25">
      <c r="A651" t="s">
        <v>748</v>
      </c>
      <c r="B651">
        <v>6109</v>
      </c>
      <c r="C651">
        <v>3040</v>
      </c>
      <c r="D651">
        <v>9</v>
      </c>
      <c r="E651" t="s">
        <v>45</v>
      </c>
      <c r="F651" t="s">
        <v>49</v>
      </c>
      <c r="G651" t="s">
        <v>40</v>
      </c>
      <c r="H651" s="5">
        <v>45204</v>
      </c>
      <c r="I651" t="s">
        <v>750</v>
      </c>
      <c r="J651" t="s">
        <v>25</v>
      </c>
      <c r="K651" t="s">
        <v>68</v>
      </c>
      <c r="L651" s="1">
        <v>45200</v>
      </c>
      <c r="M651">
        <v>2023</v>
      </c>
    </row>
    <row r="652" spans="1:13" x14ac:dyDescent="0.25">
      <c r="A652" t="s">
        <v>748</v>
      </c>
      <c r="B652">
        <v>4628</v>
      </c>
      <c r="C652">
        <v>1491</v>
      </c>
      <c r="D652">
        <v>17</v>
      </c>
      <c r="E652" t="s">
        <v>13</v>
      </c>
      <c r="F652" t="s">
        <v>14</v>
      </c>
      <c r="G652" t="s">
        <v>15</v>
      </c>
      <c r="H652" s="5">
        <v>45204</v>
      </c>
      <c r="I652" t="s">
        <v>750</v>
      </c>
      <c r="J652" t="s">
        <v>25</v>
      </c>
      <c r="K652" t="s">
        <v>68</v>
      </c>
      <c r="L652" s="1">
        <v>45200</v>
      </c>
      <c r="M652">
        <v>2023</v>
      </c>
    </row>
    <row r="653" spans="1:13" x14ac:dyDescent="0.25">
      <c r="A653" t="s">
        <v>760</v>
      </c>
      <c r="B653">
        <v>2804</v>
      </c>
      <c r="C653">
        <v>936</v>
      </c>
      <c r="D653">
        <v>10</v>
      </c>
      <c r="E653" t="s">
        <v>13</v>
      </c>
      <c r="F653" t="s">
        <v>14</v>
      </c>
      <c r="G653" t="s">
        <v>47</v>
      </c>
      <c r="H653" s="5">
        <v>45049</v>
      </c>
      <c r="I653" t="s">
        <v>763</v>
      </c>
      <c r="J653" t="s">
        <v>17</v>
      </c>
      <c r="K653" t="s">
        <v>150</v>
      </c>
      <c r="L653" s="1">
        <v>45047</v>
      </c>
      <c r="M653">
        <v>2023</v>
      </c>
    </row>
    <row r="654" spans="1:13" x14ac:dyDescent="0.25">
      <c r="A654" t="s">
        <v>771</v>
      </c>
      <c r="B654">
        <v>1732</v>
      </c>
      <c r="C654">
        <v>766</v>
      </c>
      <c r="D654">
        <v>7</v>
      </c>
      <c r="E654" t="s">
        <v>30</v>
      </c>
      <c r="F654" t="s">
        <v>78</v>
      </c>
      <c r="G654" t="s">
        <v>15</v>
      </c>
      <c r="H654" s="5">
        <v>44985</v>
      </c>
      <c r="I654" t="s">
        <v>772</v>
      </c>
      <c r="J654" t="s">
        <v>25</v>
      </c>
      <c r="K654" t="s">
        <v>51</v>
      </c>
      <c r="L654" s="1">
        <v>44958</v>
      </c>
      <c r="M654">
        <v>2023</v>
      </c>
    </row>
    <row r="655" spans="1:13" x14ac:dyDescent="0.25">
      <c r="A655" t="s">
        <v>771</v>
      </c>
      <c r="B655">
        <v>8788</v>
      </c>
      <c r="C655">
        <v>3944</v>
      </c>
      <c r="D655">
        <v>19</v>
      </c>
      <c r="E655" t="s">
        <v>30</v>
      </c>
      <c r="F655" t="s">
        <v>64</v>
      </c>
      <c r="G655" t="s">
        <v>40</v>
      </c>
      <c r="H655" s="5">
        <v>44985</v>
      </c>
      <c r="I655" t="s">
        <v>772</v>
      </c>
      <c r="J655" t="s">
        <v>25</v>
      </c>
      <c r="K655" t="s">
        <v>51</v>
      </c>
      <c r="L655" s="1">
        <v>44958</v>
      </c>
      <c r="M655">
        <v>2023</v>
      </c>
    </row>
    <row r="656" spans="1:13" x14ac:dyDescent="0.25">
      <c r="A656" t="s">
        <v>776</v>
      </c>
      <c r="B656">
        <v>7122</v>
      </c>
      <c r="C656">
        <v>1836</v>
      </c>
      <c r="D656">
        <v>6</v>
      </c>
      <c r="E656" t="s">
        <v>13</v>
      </c>
      <c r="F656" t="s">
        <v>82</v>
      </c>
      <c r="G656" t="s">
        <v>32</v>
      </c>
      <c r="H656" s="5">
        <v>44995</v>
      </c>
      <c r="I656" t="s">
        <v>778</v>
      </c>
      <c r="J656" t="s">
        <v>71</v>
      </c>
      <c r="K656" t="s">
        <v>138</v>
      </c>
      <c r="L656" s="1">
        <v>44986</v>
      </c>
      <c r="M656">
        <v>2023</v>
      </c>
    </row>
    <row r="657" spans="1:13" x14ac:dyDescent="0.25">
      <c r="A657" t="s">
        <v>776</v>
      </c>
      <c r="B657">
        <v>7122</v>
      </c>
      <c r="C657">
        <v>1836</v>
      </c>
      <c r="D657">
        <v>6</v>
      </c>
      <c r="E657" t="s">
        <v>13</v>
      </c>
      <c r="F657" t="s">
        <v>82</v>
      </c>
      <c r="G657" t="s">
        <v>32</v>
      </c>
      <c r="H657" s="5">
        <v>45117</v>
      </c>
      <c r="I657" t="s">
        <v>779</v>
      </c>
      <c r="J657" t="s">
        <v>25</v>
      </c>
      <c r="K657" t="s">
        <v>51</v>
      </c>
      <c r="L657" s="1">
        <v>45108</v>
      </c>
      <c r="M657">
        <v>2023</v>
      </c>
    </row>
    <row r="658" spans="1:13" x14ac:dyDescent="0.25">
      <c r="A658" t="s">
        <v>776</v>
      </c>
      <c r="B658">
        <v>7327</v>
      </c>
      <c r="C658">
        <v>2596</v>
      </c>
      <c r="D658">
        <v>15</v>
      </c>
      <c r="E658" t="s">
        <v>30</v>
      </c>
      <c r="F658" t="s">
        <v>57</v>
      </c>
      <c r="G658" t="s">
        <v>47</v>
      </c>
      <c r="H658" s="5">
        <v>44995</v>
      </c>
      <c r="I658" t="s">
        <v>778</v>
      </c>
      <c r="J658" t="s">
        <v>71</v>
      </c>
      <c r="K658" t="s">
        <v>138</v>
      </c>
      <c r="L658" s="1">
        <v>44986</v>
      </c>
      <c r="M658">
        <v>2023</v>
      </c>
    </row>
    <row r="659" spans="1:13" x14ac:dyDescent="0.25">
      <c r="A659" t="s">
        <v>776</v>
      </c>
      <c r="B659">
        <v>7327</v>
      </c>
      <c r="C659">
        <v>2596</v>
      </c>
      <c r="D659">
        <v>15</v>
      </c>
      <c r="E659" t="s">
        <v>30</v>
      </c>
      <c r="F659" t="s">
        <v>57</v>
      </c>
      <c r="G659" t="s">
        <v>47</v>
      </c>
      <c r="H659" s="5">
        <v>45117</v>
      </c>
      <c r="I659" t="s">
        <v>779</v>
      </c>
      <c r="J659" t="s">
        <v>25</v>
      </c>
      <c r="K659" t="s">
        <v>51</v>
      </c>
      <c r="L659" s="1">
        <v>45108</v>
      </c>
      <c r="M659">
        <v>2023</v>
      </c>
    </row>
    <row r="660" spans="1:13" x14ac:dyDescent="0.25">
      <c r="A660" t="s">
        <v>782</v>
      </c>
      <c r="B660">
        <v>4609</v>
      </c>
      <c r="C660">
        <v>1084</v>
      </c>
      <c r="D660">
        <v>8</v>
      </c>
      <c r="E660" t="s">
        <v>13</v>
      </c>
      <c r="F660" t="s">
        <v>28</v>
      </c>
      <c r="G660" t="s">
        <v>15</v>
      </c>
      <c r="H660" s="5">
        <v>45137</v>
      </c>
      <c r="I660" t="s">
        <v>783</v>
      </c>
      <c r="J660" t="s">
        <v>17</v>
      </c>
      <c r="K660" t="s">
        <v>34</v>
      </c>
      <c r="L660" s="1">
        <v>45108</v>
      </c>
      <c r="M660">
        <v>2023</v>
      </c>
    </row>
    <row r="661" spans="1:13" x14ac:dyDescent="0.25">
      <c r="A661" t="s">
        <v>782</v>
      </c>
      <c r="B661">
        <v>2328</v>
      </c>
      <c r="C661">
        <v>788</v>
      </c>
      <c r="D661">
        <v>4</v>
      </c>
      <c r="E661" t="s">
        <v>30</v>
      </c>
      <c r="F661" t="s">
        <v>64</v>
      </c>
      <c r="G661" t="s">
        <v>15</v>
      </c>
      <c r="H661" s="5">
        <v>45137</v>
      </c>
      <c r="I661" t="s">
        <v>783</v>
      </c>
      <c r="J661" t="s">
        <v>17</v>
      </c>
      <c r="K661" t="s">
        <v>34</v>
      </c>
      <c r="L661" s="1">
        <v>45108</v>
      </c>
      <c r="M661">
        <v>2023</v>
      </c>
    </row>
    <row r="662" spans="1:13" x14ac:dyDescent="0.25">
      <c r="A662" t="s">
        <v>782</v>
      </c>
      <c r="B662">
        <v>4734</v>
      </c>
      <c r="C662">
        <v>958</v>
      </c>
      <c r="D662">
        <v>7</v>
      </c>
      <c r="E662" t="s">
        <v>13</v>
      </c>
      <c r="F662" t="s">
        <v>28</v>
      </c>
      <c r="G662" t="s">
        <v>32</v>
      </c>
      <c r="H662" s="5">
        <v>45137</v>
      </c>
      <c r="I662" t="s">
        <v>783</v>
      </c>
      <c r="J662" t="s">
        <v>17</v>
      </c>
      <c r="K662" t="s">
        <v>34</v>
      </c>
      <c r="L662" s="1">
        <v>45108</v>
      </c>
      <c r="M662">
        <v>2023</v>
      </c>
    </row>
    <row r="663" spans="1:13" x14ac:dyDescent="0.25">
      <c r="A663" t="s">
        <v>788</v>
      </c>
      <c r="B663">
        <v>9438</v>
      </c>
      <c r="C663">
        <v>1801</v>
      </c>
      <c r="D663">
        <v>4</v>
      </c>
      <c r="E663" t="s">
        <v>13</v>
      </c>
      <c r="F663" t="s">
        <v>14</v>
      </c>
      <c r="G663" t="s">
        <v>65</v>
      </c>
      <c r="H663" s="5">
        <v>45035</v>
      </c>
      <c r="I663" t="s">
        <v>789</v>
      </c>
      <c r="J663" t="s">
        <v>17</v>
      </c>
      <c r="K663" t="s">
        <v>34</v>
      </c>
      <c r="L663" s="1">
        <v>45017</v>
      </c>
      <c r="M663">
        <v>2023</v>
      </c>
    </row>
    <row r="664" spans="1:13" x14ac:dyDescent="0.25">
      <c r="A664" t="s">
        <v>788</v>
      </c>
      <c r="B664">
        <v>9438</v>
      </c>
      <c r="C664">
        <v>1801</v>
      </c>
      <c r="D664">
        <v>4</v>
      </c>
      <c r="E664" t="s">
        <v>13</v>
      </c>
      <c r="F664" t="s">
        <v>14</v>
      </c>
      <c r="G664" t="s">
        <v>65</v>
      </c>
      <c r="H664" s="5">
        <v>45228</v>
      </c>
      <c r="I664" t="s">
        <v>790</v>
      </c>
      <c r="J664" t="s">
        <v>71</v>
      </c>
      <c r="K664" t="s">
        <v>86</v>
      </c>
      <c r="L664" s="1">
        <v>45200</v>
      </c>
      <c r="M664">
        <v>2023</v>
      </c>
    </row>
    <row r="665" spans="1:13" x14ac:dyDescent="0.25">
      <c r="A665" t="s">
        <v>813</v>
      </c>
      <c r="B665">
        <v>4007</v>
      </c>
      <c r="C665">
        <v>201</v>
      </c>
      <c r="D665">
        <v>13</v>
      </c>
      <c r="E665" t="s">
        <v>45</v>
      </c>
      <c r="F665" t="s">
        <v>109</v>
      </c>
      <c r="G665" t="s">
        <v>65</v>
      </c>
      <c r="H665" s="5">
        <v>45033</v>
      </c>
      <c r="I665" t="s">
        <v>815</v>
      </c>
      <c r="J665" t="s">
        <v>71</v>
      </c>
      <c r="K665" t="s">
        <v>72</v>
      </c>
      <c r="L665" s="1">
        <v>45017</v>
      </c>
      <c r="M665">
        <v>2023</v>
      </c>
    </row>
    <row r="666" spans="1:13" x14ac:dyDescent="0.25">
      <c r="A666" t="s">
        <v>818</v>
      </c>
      <c r="B666">
        <v>9789</v>
      </c>
      <c r="C666">
        <v>2071</v>
      </c>
      <c r="D666">
        <v>18</v>
      </c>
      <c r="E666" t="s">
        <v>45</v>
      </c>
      <c r="F666" t="s">
        <v>109</v>
      </c>
      <c r="G666" t="s">
        <v>32</v>
      </c>
      <c r="H666" s="5">
        <v>45288</v>
      </c>
      <c r="I666" t="s">
        <v>819</v>
      </c>
      <c r="J666" t="s">
        <v>25</v>
      </c>
      <c r="K666" t="s">
        <v>68</v>
      </c>
      <c r="L666" s="1">
        <v>45261</v>
      </c>
      <c r="M666">
        <v>2023</v>
      </c>
    </row>
    <row r="667" spans="1:13" x14ac:dyDescent="0.25">
      <c r="A667" t="s">
        <v>818</v>
      </c>
      <c r="B667">
        <v>9229</v>
      </c>
      <c r="C667">
        <v>4090</v>
      </c>
      <c r="D667">
        <v>8</v>
      </c>
      <c r="E667" t="s">
        <v>13</v>
      </c>
      <c r="F667" t="s">
        <v>14</v>
      </c>
      <c r="G667" t="s">
        <v>65</v>
      </c>
      <c r="H667" s="5">
        <v>45288</v>
      </c>
      <c r="I667" t="s">
        <v>819</v>
      </c>
      <c r="J667" t="s">
        <v>25</v>
      </c>
      <c r="K667" t="s">
        <v>68</v>
      </c>
      <c r="L667" s="1">
        <v>45261</v>
      </c>
      <c r="M667">
        <v>2023</v>
      </c>
    </row>
    <row r="668" spans="1:13" x14ac:dyDescent="0.25">
      <c r="A668" t="s">
        <v>823</v>
      </c>
      <c r="B668">
        <v>3839</v>
      </c>
      <c r="C668">
        <v>1415</v>
      </c>
      <c r="D668">
        <v>10</v>
      </c>
      <c r="E668" t="s">
        <v>30</v>
      </c>
      <c r="F668" t="s">
        <v>78</v>
      </c>
      <c r="G668" t="s">
        <v>15</v>
      </c>
      <c r="H668" s="5">
        <v>45216</v>
      </c>
      <c r="I668" t="s">
        <v>824</v>
      </c>
      <c r="J668" t="s">
        <v>42</v>
      </c>
      <c r="K668" t="s">
        <v>43</v>
      </c>
      <c r="L668" s="1">
        <v>45200</v>
      </c>
      <c r="M668">
        <v>2023</v>
      </c>
    </row>
    <row r="669" spans="1:13" x14ac:dyDescent="0.25">
      <c r="A669" t="s">
        <v>844</v>
      </c>
      <c r="B669">
        <v>6392</v>
      </c>
      <c r="C669">
        <v>444</v>
      </c>
      <c r="D669">
        <v>18</v>
      </c>
      <c r="E669" t="s">
        <v>13</v>
      </c>
      <c r="F669" t="s">
        <v>14</v>
      </c>
      <c r="G669" t="s">
        <v>47</v>
      </c>
      <c r="H669" s="5">
        <v>45258</v>
      </c>
      <c r="I669" t="s">
        <v>845</v>
      </c>
      <c r="J669" t="s">
        <v>17</v>
      </c>
      <c r="K669" t="s">
        <v>150</v>
      </c>
      <c r="L669" s="1">
        <v>45231</v>
      </c>
      <c r="M669">
        <v>2023</v>
      </c>
    </row>
    <row r="670" spans="1:13" x14ac:dyDescent="0.25">
      <c r="A670" t="s">
        <v>850</v>
      </c>
      <c r="B670">
        <v>717</v>
      </c>
      <c r="C670">
        <v>158</v>
      </c>
      <c r="D670">
        <v>16</v>
      </c>
      <c r="E670" t="s">
        <v>45</v>
      </c>
      <c r="F670" t="s">
        <v>46</v>
      </c>
      <c r="G670" t="s">
        <v>47</v>
      </c>
      <c r="H670" s="5">
        <v>45223</v>
      </c>
      <c r="I670" t="s">
        <v>856</v>
      </c>
      <c r="J670" t="s">
        <v>25</v>
      </c>
      <c r="K670" t="s">
        <v>68</v>
      </c>
      <c r="L670" s="1">
        <v>45200</v>
      </c>
      <c r="M670">
        <v>2023</v>
      </c>
    </row>
    <row r="671" spans="1:13" x14ac:dyDescent="0.25">
      <c r="A671" t="s">
        <v>850</v>
      </c>
      <c r="B671">
        <v>508</v>
      </c>
      <c r="C671">
        <v>177</v>
      </c>
      <c r="D671">
        <v>17</v>
      </c>
      <c r="E671" t="s">
        <v>45</v>
      </c>
      <c r="F671" t="s">
        <v>60</v>
      </c>
      <c r="G671" t="s">
        <v>15</v>
      </c>
      <c r="H671" s="5">
        <v>45223</v>
      </c>
      <c r="I671" t="s">
        <v>856</v>
      </c>
      <c r="J671" t="s">
        <v>25</v>
      </c>
      <c r="K671" t="s">
        <v>68</v>
      </c>
      <c r="L671" s="1">
        <v>45200</v>
      </c>
      <c r="M671">
        <v>2023</v>
      </c>
    </row>
    <row r="672" spans="1:13" x14ac:dyDescent="0.25">
      <c r="A672" t="s">
        <v>857</v>
      </c>
      <c r="B672">
        <v>9382</v>
      </c>
      <c r="C672">
        <v>1085</v>
      </c>
      <c r="D672">
        <v>3</v>
      </c>
      <c r="E672" t="s">
        <v>13</v>
      </c>
      <c r="F672" t="s">
        <v>28</v>
      </c>
      <c r="G672" t="s">
        <v>32</v>
      </c>
      <c r="H672" s="5">
        <v>45125</v>
      </c>
      <c r="I672" t="s">
        <v>858</v>
      </c>
      <c r="J672" t="s">
        <v>21</v>
      </c>
      <c r="K672" t="s">
        <v>22</v>
      </c>
      <c r="L672" s="1">
        <v>45108</v>
      </c>
      <c r="M672">
        <v>2023</v>
      </c>
    </row>
    <row r="673" spans="1:13" x14ac:dyDescent="0.25">
      <c r="A673" t="s">
        <v>857</v>
      </c>
      <c r="B673">
        <v>4936</v>
      </c>
      <c r="C673">
        <v>576</v>
      </c>
      <c r="D673">
        <v>19</v>
      </c>
      <c r="E673" t="s">
        <v>45</v>
      </c>
      <c r="F673" t="s">
        <v>46</v>
      </c>
      <c r="G673" t="s">
        <v>65</v>
      </c>
      <c r="H673" s="5">
        <v>45125</v>
      </c>
      <c r="I673" t="s">
        <v>858</v>
      </c>
      <c r="J673" t="s">
        <v>21</v>
      </c>
      <c r="K673" t="s">
        <v>22</v>
      </c>
      <c r="L673" s="1">
        <v>45108</v>
      </c>
      <c r="M673">
        <v>2023</v>
      </c>
    </row>
    <row r="674" spans="1:13" x14ac:dyDescent="0.25">
      <c r="A674" t="s">
        <v>865</v>
      </c>
      <c r="B674">
        <v>2514</v>
      </c>
      <c r="C674">
        <v>95</v>
      </c>
      <c r="D674">
        <v>8</v>
      </c>
      <c r="E674" t="s">
        <v>30</v>
      </c>
      <c r="F674" t="s">
        <v>31</v>
      </c>
      <c r="G674" t="s">
        <v>15</v>
      </c>
      <c r="H674" s="5">
        <v>45124</v>
      </c>
      <c r="I674" t="s">
        <v>866</v>
      </c>
      <c r="J674" t="s">
        <v>25</v>
      </c>
      <c r="K674" t="s">
        <v>68</v>
      </c>
      <c r="L674" s="1">
        <v>45108</v>
      </c>
      <c r="M674">
        <v>2023</v>
      </c>
    </row>
    <row r="675" spans="1:13" x14ac:dyDescent="0.25">
      <c r="A675" t="s">
        <v>873</v>
      </c>
      <c r="B675">
        <v>6596</v>
      </c>
      <c r="C675">
        <v>1439</v>
      </c>
      <c r="D675">
        <v>9</v>
      </c>
      <c r="E675" t="s">
        <v>30</v>
      </c>
      <c r="F675" t="s">
        <v>64</v>
      </c>
      <c r="G675" t="s">
        <v>32</v>
      </c>
      <c r="H675" s="5">
        <v>45049</v>
      </c>
      <c r="I675" t="s">
        <v>874</v>
      </c>
      <c r="J675" t="s">
        <v>98</v>
      </c>
      <c r="K675" t="s">
        <v>107</v>
      </c>
      <c r="L675" s="1">
        <v>45047</v>
      </c>
      <c r="M675">
        <v>2023</v>
      </c>
    </row>
    <row r="676" spans="1:13" x14ac:dyDescent="0.25">
      <c r="A676" t="s">
        <v>875</v>
      </c>
      <c r="B676">
        <v>4510</v>
      </c>
      <c r="C676">
        <v>1896</v>
      </c>
      <c r="D676">
        <v>5</v>
      </c>
      <c r="E676" t="s">
        <v>30</v>
      </c>
      <c r="F676" t="s">
        <v>64</v>
      </c>
      <c r="G676" t="s">
        <v>40</v>
      </c>
      <c r="H676" s="5">
        <v>45224</v>
      </c>
      <c r="I676" t="s">
        <v>876</v>
      </c>
      <c r="J676" t="s">
        <v>42</v>
      </c>
      <c r="K676" t="s">
        <v>43</v>
      </c>
      <c r="L676" s="1">
        <v>45200</v>
      </c>
      <c r="M676">
        <v>2023</v>
      </c>
    </row>
    <row r="677" spans="1:13" x14ac:dyDescent="0.25">
      <c r="A677" t="s">
        <v>881</v>
      </c>
      <c r="B677">
        <v>4629</v>
      </c>
      <c r="C677">
        <v>1660</v>
      </c>
      <c r="D677">
        <v>16</v>
      </c>
      <c r="E677" t="s">
        <v>30</v>
      </c>
      <c r="F677" t="s">
        <v>57</v>
      </c>
      <c r="G677" t="s">
        <v>40</v>
      </c>
      <c r="H677" s="5">
        <v>45018</v>
      </c>
      <c r="I677" t="s">
        <v>882</v>
      </c>
      <c r="J677" t="s">
        <v>42</v>
      </c>
      <c r="K677" t="s">
        <v>75</v>
      </c>
      <c r="L677" s="1">
        <v>45017</v>
      </c>
      <c r="M677">
        <v>2023</v>
      </c>
    </row>
    <row r="678" spans="1:13" x14ac:dyDescent="0.25">
      <c r="A678" t="s">
        <v>890</v>
      </c>
      <c r="B678">
        <v>8769</v>
      </c>
      <c r="C678">
        <v>3178</v>
      </c>
      <c r="D678">
        <v>16</v>
      </c>
      <c r="E678" t="s">
        <v>30</v>
      </c>
      <c r="F678" t="s">
        <v>57</v>
      </c>
      <c r="G678" t="s">
        <v>32</v>
      </c>
      <c r="H678" s="5">
        <v>44946</v>
      </c>
      <c r="I678" t="s">
        <v>891</v>
      </c>
      <c r="J678" t="s">
        <v>21</v>
      </c>
      <c r="K678" t="s">
        <v>22</v>
      </c>
      <c r="L678" s="1">
        <v>44927</v>
      </c>
      <c r="M678">
        <v>2023</v>
      </c>
    </row>
    <row r="679" spans="1:13" x14ac:dyDescent="0.25">
      <c r="A679" t="s">
        <v>910</v>
      </c>
      <c r="B679">
        <v>8526</v>
      </c>
      <c r="C679">
        <v>1704</v>
      </c>
      <c r="D679">
        <v>4</v>
      </c>
      <c r="E679" t="s">
        <v>30</v>
      </c>
      <c r="F679" t="s">
        <v>78</v>
      </c>
      <c r="G679" t="s">
        <v>32</v>
      </c>
      <c r="H679" s="5">
        <v>45006</v>
      </c>
      <c r="I679" t="s">
        <v>911</v>
      </c>
      <c r="J679" t="s">
        <v>71</v>
      </c>
      <c r="K679" t="s">
        <v>86</v>
      </c>
      <c r="L679" s="1">
        <v>44986</v>
      </c>
      <c r="M679">
        <v>2023</v>
      </c>
    </row>
    <row r="680" spans="1:13" x14ac:dyDescent="0.25">
      <c r="A680" t="s">
        <v>912</v>
      </c>
      <c r="B680">
        <v>8218</v>
      </c>
      <c r="C680">
        <v>1430</v>
      </c>
      <c r="D680">
        <v>19</v>
      </c>
      <c r="E680" t="s">
        <v>45</v>
      </c>
      <c r="F680" t="s">
        <v>109</v>
      </c>
      <c r="G680" t="s">
        <v>47</v>
      </c>
      <c r="H680" s="5">
        <v>45085</v>
      </c>
      <c r="I680" t="s">
        <v>913</v>
      </c>
      <c r="J680" t="s">
        <v>42</v>
      </c>
      <c r="K680" t="s">
        <v>92</v>
      </c>
      <c r="L680" s="1">
        <v>45078</v>
      </c>
      <c r="M680">
        <v>2023</v>
      </c>
    </row>
    <row r="681" spans="1:13" x14ac:dyDescent="0.25">
      <c r="A681" t="s">
        <v>917</v>
      </c>
      <c r="B681">
        <v>2589</v>
      </c>
      <c r="C681">
        <v>605</v>
      </c>
      <c r="D681">
        <v>11</v>
      </c>
      <c r="E681" t="s">
        <v>30</v>
      </c>
      <c r="F681" t="s">
        <v>31</v>
      </c>
      <c r="G681" t="s">
        <v>40</v>
      </c>
      <c r="H681" s="5">
        <v>45232</v>
      </c>
      <c r="I681" t="s">
        <v>918</v>
      </c>
      <c r="J681" t="s">
        <v>42</v>
      </c>
      <c r="K681" t="s">
        <v>92</v>
      </c>
      <c r="L681" s="1">
        <v>45231</v>
      </c>
      <c r="M681">
        <v>2023</v>
      </c>
    </row>
    <row r="682" spans="1:13" x14ac:dyDescent="0.25">
      <c r="A682" t="s">
        <v>935</v>
      </c>
      <c r="B682">
        <v>3260</v>
      </c>
      <c r="C682">
        <v>207</v>
      </c>
      <c r="D682">
        <v>17</v>
      </c>
      <c r="E682" t="s">
        <v>45</v>
      </c>
      <c r="F682" t="s">
        <v>46</v>
      </c>
      <c r="G682" t="s">
        <v>15</v>
      </c>
      <c r="H682" s="5">
        <v>45281</v>
      </c>
      <c r="I682" t="s">
        <v>936</v>
      </c>
      <c r="J682" t="s">
        <v>42</v>
      </c>
      <c r="K682" t="s">
        <v>75</v>
      </c>
      <c r="L682" s="1">
        <v>45261</v>
      </c>
      <c r="M682">
        <v>2023</v>
      </c>
    </row>
    <row r="683" spans="1:13" x14ac:dyDescent="0.25">
      <c r="A683" t="s">
        <v>940</v>
      </c>
      <c r="B683">
        <v>5250</v>
      </c>
      <c r="C683">
        <v>187</v>
      </c>
      <c r="D683">
        <v>1</v>
      </c>
      <c r="E683" t="s">
        <v>30</v>
      </c>
      <c r="F683" t="s">
        <v>78</v>
      </c>
      <c r="G683" t="s">
        <v>65</v>
      </c>
      <c r="H683" s="5">
        <v>45060</v>
      </c>
      <c r="I683" t="s">
        <v>942</v>
      </c>
      <c r="J683" t="s">
        <v>71</v>
      </c>
      <c r="K683" t="s">
        <v>138</v>
      </c>
      <c r="L683" s="1">
        <v>45047</v>
      </c>
      <c r="M683">
        <v>2023</v>
      </c>
    </row>
    <row r="684" spans="1:13" x14ac:dyDescent="0.25">
      <c r="A684" t="s">
        <v>953</v>
      </c>
      <c r="B684">
        <v>5831</v>
      </c>
      <c r="C684">
        <v>1574</v>
      </c>
      <c r="D684">
        <v>17</v>
      </c>
      <c r="E684" t="s">
        <v>30</v>
      </c>
      <c r="F684" t="s">
        <v>31</v>
      </c>
      <c r="G684" t="s">
        <v>32</v>
      </c>
      <c r="H684" s="5">
        <v>45123</v>
      </c>
      <c r="I684" t="s">
        <v>956</v>
      </c>
      <c r="J684" t="s">
        <v>17</v>
      </c>
      <c r="K684" t="s">
        <v>18</v>
      </c>
      <c r="L684" s="1">
        <v>45108</v>
      </c>
      <c r="M684">
        <v>2023</v>
      </c>
    </row>
    <row r="685" spans="1:13" x14ac:dyDescent="0.25">
      <c r="A685" t="s">
        <v>967</v>
      </c>
      <c r="B685">
        <v>4037</v>
      </c>
      <c r="C685">
        <v>1494</v>
      </c>
      <c r="D685">
        <v>15</v>
      </c>
      <c r="E685" t="s">
        <v>45</v>
      </c>
      <c r="F685" t="s">
        <v>49</v>
      </c>
      <c r="G685" t="s">
        <v>40</v>
      </c>
      <c r="H685" s="5">
        <v>45017</v>
      </c>
      <c r="I685" t="s">
        <v>968</v>
      </c>
      <c r="J685" t="s">
        <v>42</v>
      </c>
      <c r="K685" t="s">
        <v>92</v>
      </c>
      <c r="L685" s="1">
        <v>45017</v>
      </c>
      <c r="M685">
        <v>2023</v>
      </c>
    </row>
    <row r="686" spans="1:13" x14ac:dyDescent="0.25">
      <c r="A686" t="s">
        <v>971</v>
      </c>
      <c r="B686">
        <v>9879</v>
      </c>
      <c r="C686">
        <v>4930</v>
      </c>
      <c r="D686">
        <v>15</v>
      </c>
      <c r="E686" t="s">
        <v>13</v>
      </c>
      <c r="F686" t="s">
        <v>39</v>
      </c>
      <c r="G686" t="s">
        <v>32</v>
      </c>
      <c r="H686" s="5">
        <v>45085</v>
      </c>
      <c r="I686" t="s">
        <v>972</v>
      </c>
      <c r="J686" t="s">
        <v>25</v>
      </c>
      <c r="K686" t="s">
        <v>68</v>
      </c>
      <c r="L686" s="1">
        <v>45078</v>
      </c>
      <c r="M686">
        <v>2023</v>
      </c>
    </row>
    <row r="687" spans="1:13" x14ac:dyDescent="0.25">
      <c r="A687" t="s">
        <v>984</v>
      </c>
      <c r="B687">
        <v>6402</v>
      </c>
      <c r="C687">
        <v>2770</v>
      </c>
      <c r="D687">
        <v>19</v>
      </c>
      <c r="E687" t="s">
        <v>30</v>
      </c>
      <c r="F687" t="s">
        <v>57</v>
      </c>
      <c r="G687" t="s">
        <v>32</v>
      </c>
      <c r="H687" s="5">
        <v>45204</v>
      </c>
      <c r="I687" t="s">
        <v>986</v>
      </c>
      <c r="J687" t="s">
        <v>17</v>
      </c>
      <c r="K687" t="s">
        <v>34</v>
      </c>
      <c r="L687" s="1">
        <v>45200</v>
      </c>
      <c r="M687">
        <v>2023</v>
      </c>
    </row>
    <row r="688" spans="1:13" x14ac:dyDescent="0.25">
      <c r="A688" t="s">
        <v>984</v>
      </c>
      <c r="B688">
        <v>5916</v>
      </c>
      <c r="C688">
        <v>1594</v>
      </c>
      <c r="D688">
        <v>19</v>
      </c>
      <c r="E688" t="s">
        <v>13</v>
      </c>
      <c r="F688" t="s">
        <v>28</v>
      </c>
      <c r="G688" t="s">
        <v>32</v>
      </c>
      <c r="H688" s="5">
        <v>45204</v>
      </c>
      <c r="I688" t="s">
        <v>986</v>
      </c>
      <c r="J688" t="s">
        <v>17</v>
      </c>
      <c r="K688" t="s">
        <v>34</v>
      </c>
      <c r="L688" s="1">
        <v>45200</v>
      </c>
      <c r="M688">
        <v>2023</v>
      </c>
    </row>
    <row r="689" spans="1:13" x14ac:dyDescent="0.25">
      <c r="A689" t="s">
        <v>997</v>
      </c>
      <c r="B689">
        <v>9869</v>
      </c>
      <c r="C689">
        <v>4299</v>
      </c>
      <c r="D689">
        <v>12</v>
      </c>
      <c r="E689" t="s">
        <v>13</v>
      </c>
      <c r="F689" t="s">
        <v>28</v>
      </c>
      <c r="G689" t="s">
        <v>32</v>
      </c>
      <c r="H689" s="5">
        <v>45006</v>
      </c>
      <c r="I689" t="s">
        <v>998</v>
      </c>
      <c r="J689" t="s">
        <v>42</v>
      </c>
      <c r="K689" t="s">
        <v>75</v>
      </c>
      <c r="L689" s="1">
        <v>44986</v>
      </c>
      <c r="M689">
        <v>2023</v>
      </c>
    </row>
    <row r="690" spans="1:13" x14ac:dyDescent="0.25">
      <c r="A690" t="s">
        <v>997</v>
      </c>
      <c r="B690">
        <v>9869</v>
      </c>
      <c r="C690">
        <v>4299</v>
      </c>
      <c r="D690">
        <v>12</v>
      </c>
      <c r="E690" t="s">
        <v>13</v>
      </c>
      <c r="F690" t="s">
        <v>28</v>
      </c>
      <c r="G690" t="s">
        <v>32</v>
      </c>
      <c r="H690" s="5">
        <v>45288</v>
      </c>
      <c r="I690" t="s">
        <v>999</v>
      </c>
      <c r="J690" t="s">
        <v>25</v>
      </c>
      <c r="K690" t="s">
        <v>26</v>
      </c>
      <c r="L690" s="1">
        <v>45261</v>
      </c>
      <c r="M690">
        <v>2023</v>
      </c>
    </row>
    <row r="691" spans="1:13" x14ac:dyDescent="0.25">
      <c r="A691" t="s">
        <v>1000</v>
      </c>
      <c r="B691">
        <v>655</v>
      </c>
      <c r="C691">
        <v>297</v>
      </c>
      <c r="D691">
        <v>4</v>
      </c>
      <c r="E691" t="s">
        <v>30</v>
      </c>
      <c r="F691" t="s">
        <v>57</v>
      </c>
      <c r="G691" t="s">
        <v>32</v>
      </c>
      <c r="H691" s="5">
        <v>45260</v>
      </c>
      <c r="I691" t="s">
        <v>1002</v>
      </c>
      <c r="J691" t="s">
        <v>17</v>
      </c>
      <c r="K691" t="s">
        <v>34</v>
      </c>
      <c r="L691" s="1">
        <v>45231</v>
      </c>
      <c r="M691">
        <v>2023</v>
      </c>
    </row>
    <row r="692" spans="1:13" x14ac:dyDescent="0.25">
      <c r="A692" t="s">
        <v>1003</v>
      </c>
      <c r="B692">
        <v>798</v>
      </c>
      <c r="C692">
        <v>308</v>
      </c>
      <c r="D692">
        <v>10</v>
      </c>
      <c r="E692" t="s">
        <v>13</v>
      </c>
      <c r="F692" t="s">
        <v>82</v>
      </c>
      <c r="G692" t="s">
        <v>32</v>
      </c>
      <c r="H692" s="5">
        <v>44938</v>
      </c>
      <c r="I692" t="s">
        <v>1004</v>
      </c>
      <c r="J692" t="s">
        <v>25</v>
      </c>
      <c r="K692" t="s">
        <v>26</v>
      </c>
      <c r="L692" s="1">
        <v>44927</v>
      </c>
      <c r="M692">
        <v>2023</v>
      </c>
    </row>
    <row r="693" spans="1:13" x14ac:dyDescent="0.25">
      <c r="A693" t="s">
        <v>1003</v>
      </c>
      <c r="B693">
        <v>798</v>
      </c>
      <c r="C693">
        <v>308</v>
      </c>
      <c r="D693">
        <v>10</v>
      </c>
      <c r="E693" t="s">
        <v>13</v>
      </c>
      <c r="F693" t="s">
        <v>82</v>
      </c>
      <c r="G693" t="s">
        <v>32</v>
      </c>
      <c r="H693" s="5">
        <v>45065</v>
      </c>
      <c r="I693" t="s">
        <v>1005</v>
      </c>
      <c r="J693" t="s">
        <v>98</v>
      </c>
      <c r="K693" t="s">
        <v>117</v>
      </c>
      <c r="L693" s="1">
        <v>45047</v>
      </c>
      <c r="M693">
        <v>2023</v>
      </c>
    </row>
    <row r="694" spans="1:13" x14ac:dyDescent="0.25">
      <c r="A694" t="s">
        <v>1003</v>
      </c>
      <c r="B694">
        <v>7967</v>
      </c>
      <c r="C694">
        <v>2504</v>
      </c>
      <c r="D694">
        <v>13</v>
      </c>
      <c r="E694" t="s">
        <v>13</v>
      </c>
      <c r="F694" t="s">
        <v>28</v>
      </c>
      <c r="G694" t="s">
        <v>40</v>
      </c>
      <c r="H694" s="5">
        <v>44938</v>
      </c>
      <c r="I694" t="s">
        <v>1004</v>
      </c>
      <c r="J694" t="s">
        <v>25</v>
      </c>
      <c r="K694" t="s">
        <v>26</v>
      </c>
      <c r="L694" s="1">
        <v>44927</v>
      </c>
      <c r="M694">
        <v>2023</v>
      </c>
    </row>
    <row r="695" spans="1:13" x14ac:dyDescent="0.25">
      <c r="A695" t="s">
        <v>1003</v>
      </c>
      <c r="B695">
        <v>7967</v>
      </c>
      <c r="C695">
        <v>2504</v>
      </c>
      <c r="D695">
        <v>13</v>
      </c>
      <c r="E695" t="s">
        <v>13</v>
      </c>
      <c r="F695" t="s">
        <v>28</v>
      </c>
      <c r="G695" t="s">
        <v>40</v>
      </c>
      <c r="H695" s="5">
        <v>45065</v>
      </c>
      <c r="I695" t="s">
        <v>1005</v>
      </c>
      <c r="J695" t="s">
        <v>98</v>
      </c>
      <c r="K695" t="s">
        <v>117</v>
      </c>
      <c r="L695" s="1">
        <v>45047</v>
      </c>
      <c r="M695">
        <v>2023</v>
      </c>
    </row>
    <row r="696" spans="1:13" x14ac:dyDescent="0.25">
      <c r="A696" t="s">
        <v>1012</v>
      </c>
      <c r="B696">
        <v>714</v>
      </c>
      <c r="C696">
        <v>232</v>
      </c>
      <c r="D696">
        <v>14</v>
      </c>
      <c r="E696" t="s">
        <v>45</v>
      </c>
      <c r="F696" t="s">
        <v>46</v>
      </c>
      <c r="G696" t="s">
        <v>15</v>
      </c>
      <c r="H696" s="5">
        <v>44944</v>
      </c>
      <c r="I696" t="s">
        <v>1013</v>
      </c>
      <c r="J696" t="s">
        <v>98</v>
      </c>
      <c r="K696" t="s">
        <v>99</v>
      </c>
      <c r="L696" s="1">
        <v>44927</v>
      </c>
      <c r="M696">
        <v>2023</v>
      </c>
    </row>
    <row r="697" spans="1:13" x14ac:dyDescent="0.25">
      <c r="A697" t="s">
        <v>1017</v>
      </c>
      <c r="B697">
        <v>2401</v>
      </c>
      <c r="C697">
        <v>1163</v>
      </c>
      <c r="D697">
        <v>10</v>
      </c>
      <c r="E697" t="s">
        <v>45</v>
      </c>
      <c r="F697" t="s">
        <v>109</v>
      </c>
      <c r="G697" t="s">
        <v>15</v>
      </c>
      <c r="H697" s="5">
        <v>45050</v>
      </c>
      <c r="I697" t="s">
        <v>1018</v>
      </c>
      <c r="J697" t="s">
        <v>98</v>
      </c>
      <c r="K697" t="s">
        <v>117</v>
      </c>
      <c r="L697" s="1">
        <v>45047</v>
      </c>
      <c r="M697">
        <v>2023</v>
      </c>
    </row>
    <row r="698" spans="1:13" x14ac:dyDescent="0.25">
      <c r="A698" t="s">
        <v>1017</v>
      </c>
      <c r="B698">
        <v>1045</v>
      </c>
      <c r="C698">
        <v>267</v>
      </c>
      <c r="D698">
        <v>11</v>
      </c>
      <c r="E698" t="s">
        <v>13</v>
      </c>
      <c r="F698" t="s">
        <v>82</v>
      </c>
      <c r="G698" t="s">
        <v>32</v>
      </c>
      <c r="H698" s="5">
        <v>45050</v>
      </c>
      <c r="I698" t="s">
        <v>1018</v>
      </c>
      <c r="J698" t="s">
        <v>98</v>
      </c>
      <c r="K698" t="s">
        <v>117</v>
      </c>
      <c r="L698" s="1">
        <v>45047</v>
      </c>
      <c r="M698">
        <v>2023</v>
      </c>
    </row>
    <row r="699" spans="1:13" x14ac:dyDescent="0.25">
      <c r="A699" t="s">
        <v>1021</v>
      </c>
      <c r="B699">
        <v>7806</v>
      </c>
      <c r="C699">
        <v>1127</v>
      </c>
      <c r="D699">
        <v>1</v>
      </c>
      <c r="E699" t="s">
        <v>30</v>
      </c>
      <c r="F699" t="s">
        <v>57</v>
      </c>
      <c r="G699" t="s">
        <v>47</v>
      </c>
      <c r="H699" s="5">
        <v>45127</v>
      </c>
      <c r="I699" t="s">
        <v>1022</v>
      </c>
      <c r="J699" t="s">
        <v>71</v>
      </c>
      <c r="K699" t="s">
        <v>72</v>
      </c>
      <c r="L699" s="1">
        <v>45108</v>
      </c>
      <c r="M699">
        <v>2023</v>
      </c>
    </row>
    <row r="700" spans="1:13" x14ac:dyDescent="0.25">
      <c r="A700" t="s">
        <v>1025</v>
      </c>
      <c r="B700">
        <v>6147</v>
      </c>
      <c r="C700">
        <v>2526</v>
      </c>
      <c r="D700">
        <v>6</v>
      </c>
      <c r="E700" t="s">
        <v>30</v>
      </c>
      <c r="F700" t="s">
        <v>31</v>
      </c>
      <c r="G700" t="s">
        <v>32</v>
      </c>
      <c r="H700" s="5">
        <v>44999</v>
      </c>
      <c r="I700" t="s">
        <v>1026</v>
      </c>
      <c r="J700" t="s">
        <v>71</v>
      </c>
      <c r="K700" t="s">
        <v>72</v>
      </c>
      <c r="L700" s="1">
        <v>44986</v>
      </c>
      <c r="M700">
        <v>2023</v>
      </c>
    </row>
    <row r="701" spans="1:13" x14ac:dyDescent="0.25">
      <c r="A701" t="s">
        <v>1027</v>
      </c>
      <c r="B701">
        <v>7484</v>
      </c>
      <c r="C701">
        <v>2871</v>
      </c>
      <c r="D701">
        <v>15</v>
      </c>
      <c r="E701" t="s">
        <v>13</v>
      </c>
      <c r="F701" t="s">
        <v>82</v>
      </c>
      <c r="G701" t="s">
        <v>15</v>
      </c>
      <c r="H701" s="5">
        <v>45237</v>
      </c>
      <c r="I701" t="s">
        <v>1028</v>
      </c>
      <c r="J701" t="s">
        <v>17</v>
      </c>
      <c r="K701" t="s">
        <v>34</v>
      </c>
      <c r="L701" s="1">
        <v>45231</v>
      </c>
      <c r="M701">
        <v>2023</v>
      </c>
    </row>
    <row r="702" spans="1:13" x14ac:dyDescent="0.25">
      <c r="A702" t="s">
        <v>1027</v>
      </c>
      <c r="B702">
        <v>7700</v>
      </c>
      <c r="C702">
        <v>2712</v>
      </c>
      <c r="D702">
        <v>1</v>
      </c>
      <c r="E702" t="s">
        <v>45</v>
      </c>
      <c r="F702" t="s">
        <v>60</v>
      </c>
      <c r="G702" t="s">
        <v>47</v>
      </c>
      <c r="H702" s="5">
        <v>45237</v>
      </c>
      <c r="I702" t="s">
        <v>1028</v>
      </c>
      <c r="J702" t="s">
        <v>17</v>
      </c>
      <c r="K702" t="s">
        <v>34</v>
      </c>
      <c r="L702" s="1">
        <v>45231</v>
      </c>
      <c r="M702">
        <v>2023</v>
      </c>
    </row>
    <row r="703" spans="1:13" x14ac:dyDescent="0.25">
      <c r="A703" t="s">
        <v>1037</v>
      </c>
      <c r="B703">
        <v>3281</v>
      </c>
      <c r="C703">
        <v>471</v>
      </c>
      <c r="D703">
        <v>7</v>
      </c>
      <c r="E703" t="s">
        <v>45</v>
      </c>
      <c r="F703" t="s">
        <v>60</v>
      </c>
      <c r="G703" t="s">
        <v>40</v>
      </c>
      <c r="H703" s="5">
        <v>45287</v>
      </c>
      <c r="I703" t="s">
        <v>1038</v>
      </c>
      <c r="J703" t="s">
        <v>42</v>
      </c>
      <c r="K703" t="s">
        <v>43</v>
      </c>
      <c r="L703" s="1">
        <v>45261</v>
      </c>
      <c r="M703">
        <v>2023</v>
      </c>
    </row>
    <row r="704" spans="1:13" x14ac:dyDescent="0.25">
      <c r="A704" t="s">
        <v>1037</v>
      </c>
      <c r="B704">
        <v>3281</v>
      </c>
      <c r="C704">
        <v>471</v>
      </c>
      <c r="D704">
        <v>7</v>
      </c>
      <c r="E704" t="s">
        <v>45</v>
      </c>
      <c r="F704" t="s">
        <v>60</v>
      </c>
      <c r="G704" t="s">
        <v>40</v>
      </c>
      <c r="H704" s="5">
        <v>45102</v>
      </c>
      <c r="I704" t="s">
        <v>1039</v>
      </c>
      <c r="J704" t="s">
        <v>21</v>
      </c>
      <c r="K704" t="s">
        <v>172</v>
      </c>
      <c r="L704" s="1">
        <v>45078</v>
      </c>
      <c r="M704">
        <v>2023</v>
      </c>
    </row>
    <row r="705" spans="1:13" x14ac:dyDescent="0.25">
      <c r="A705" t="s">
        <v>1044</v>
      </c>
      <c r="B705">
        <v>3877</v>
      </c>
      <c r="C705">
        <v>481</v>
      </c>
      <c r="D705">
        <v>16</v>
      </c>
      <c r="E705" t="s">
        <v>45</v>
      </c>
      <c r="F705" t="s">
        <v>49</v>
      </c>
      <c r="G705" t="s">
        <v>32</v>
      </c>
      <c r="H705" s="5">
        <v>45129</v>
      </c>
      <c r="I705" t="s">
        <v>1045</v>
      </c>
      <c r="J705" t="s">
        <v>25</v>
      </c>
      <c r="K705" t="s">
        <v>68</v>
      </c>
      <c r="L705" s="1">
        <v>45108</v>
      </c>
      <c r="M705">
        <v>2023</v>
      </c>
    </row>
    <row r="706" spans="1:13" x14ac:dyDescent="0.25">
      <c r="A706" t="s">
        <v>1047</v>
      </c>
      <c r="B706">
        <v>9369</v>
      </c>
      <c r="C706">
        <v>3297</v>
      </c>
      <c r="D706">
        <v>6</v>
      </c>
      <c r="E706" t="s">
        <v>13</v>
      </c>
      <c r="F706" t="s">
        <v>28</v>
      </c>
      <c r="G706" t="s">
        <v>32</v>
      </c>
      <c r="H706" s="5">
        <v>45196</v>
      </c>
      <c r="I706" t="s">
        <v>1048</v>
      </c>
      <c r="J706" t="s">
        <v>17</v>
      </c>
      <c r="K706" t="s">
        <v>34</v>
      </c>
      <c r="L706" s="1">
        <v>45170</v>
      </c>
      <c r="M706">
        <v>2023</v>
      </c>
    </row>
    <row r="707" spans="1:13" x14ac:dyDescent="0.25">
      <c r="A707" t="s">
        <v>1047</v>
      </c>
      <c r="B707">
        <v>8680</v>
      </c>
      <c r="C707">
        <v>4068</v>
      </c>
      <c r="D707">
        <v>20</v>
      </c>
      <c r="E707" t="s">
        <v>13</v>
      </c>
      <c r="F707" t="s">
        <v>28</v>
      </c>
      <c r="G707" t="s">
        <v>47</v>
      </c>
      <c r="H707" s="5">
        <v>45196</v>
      </c>
      <c r="I707" t="s">
        <v>1048</v>
      </c>
      <c r="J707" t="s">
        <v>17</v>
      </c>
      <c r="K707" t="s">
        <v>34</v>
      </c>
      <c r="L707" s="1">
        <v>45170</v>
      </c>
      <c r="M707">
        <v>2023</v>
      </c>
    </row>
    <row r="708" spans="1:13" x14ac:dyDescent="0.25">
      <c r="A708" t="s">
        <v>1047</v>
      </c>
      <c r="B708">
        <v>3067</v>
      </c>
      <c r="C708">
        <v>1475</v>
      </c>
      <c r="D708">
        <v>8</v>
      </c>
      <c r="E708" t="s">
        <v>13</v>
      </c>
      <c r="F708" t="s">
        <v>39</v>
      </c>
      <c r="G708" t="s">
        <v>15</v>
      </c>
      <c r="H708" s="5">
        <v>45196</v>
      </c>
      <c r="I708" t="s">
        <v>1048</v>
      </c>
      <c r="J708" t="s">
        <v>17</v>
      </c>
      <c r="K708" t="s">
        <v>34</v>
      </c>
      <c r="L708" s="1">
        <v>45170</v>
      </c>
      <c r="M708">
        <v>2023</v>
      </c>
    </row>
    <row r="709" spans="1:13" x14ac:dyDescent="0.25">
      <c r="A709" t="s">
        <v>1055</v>
      </c>
      <c r="B709">
        <v>5317</v>
      </c>
      <c r="C709">
        <v>1345</v>
      </c>
      <c r="D709">
        <v>18</v>
      </c>
      <c r="E709" t="s">
        <v>45</v>
      </c>
      <c r="F709" t="s">
        <v>49</v>
      </c>
      <c r="G709" t="s">
        <v>32</v>
      </c>
      <c r="H709" s="5">
        <v>44960</v>
      </c>
      <c r="I709" t="s">
        <v>1056</v>
      </c>
      <c r="J709" t="s">
        <v>98</v>
      </c>
      <c r="K709" t="s">
        <v>99</v>
      </c>
      <c r="L709" s="1">
        <v>44958</v>
      </c>
      <c r="M709">
        <v>2023</v>
      </c>
    </row>
    <row r="710" spans="1:13" x14ac:dyDescent="0.25">
      <c r="A710" t="s">
        <v>1055</v>
      </c>
      <c r="B710">
        <v>5317</v>
      </c>
      <c r="C710">
        <v>1345</v>
      </c>
      <c r="D710">
        <v>18</v>
      </c>
      <c r="E710" t="s">
        <v>45</v>
      </c>
      <c r="F710" t="s">
        <v>49</v>
      </c>
      <c r="G710" t="s">
        <v>32</v>
      </c>
      <c r="H710" s="5">
        <v>45044</v>
      </c>
      <c r="I710" t="s">
        <v>1057</v>
      </c>
      <c r="J710" t="s">
        <v>17</v>
      </c>
      <c r="K710" t="s">
        <v>34</v>
      </c>
      <c r="L710" s="1">
        <v>45017</v>
      </c>
      <c r="M710">
        <v>2023</v>
      </c>
    </row>
    <row r="711" spans="1:13" x14ac:dyDescent="0.25">
      <c r="A711" t="s">
        <v>1055</v>
      </c>
      <c r="B711">
        <v>6304</v>
      </c>
      <c r="C711">
        <v>766</v>
      </c>
      <c r="D711">
        <v>14</v>
      </c>
      <c r="E711" t="s">
        <v>45</v>
      </c>
      <c r="F711" t="s">
        <v>46</v>
      </c>
      <c r="G711" t="s">
        <v>40</v>
      </c>
      <c r="H711" s="5">
        <v>44960</v>
      </c>
      <c r="I711" t="s">
        <v>1056</v>
      </c>
      <c r="J711" t="s">
        <v>98</v>
      </c>
      <c r="K711" t="s">
        <v>99</v>
      </c>
      <c r="L711" s="1">
        <v>44958</v>
      </c>
      <c r="M711">
        <v>2023</v>
      </c>
    </row>
    <row r="712" spans="1:13" x14ac:dyDescent="0.25">
      <c r="A712" t="s">
        <v>1055</v>
      </c>
      <c r="B712">
        <v>6304</v>
      </c>
      <c r="C712">
        <v>766</v>
      </c>
      <c r="D712">
        <v>14</v>
      </c>
      <c r="E712" t="s">
        <v>45</v>
      </c>
      <c r="F712" t="s">
        <v>46</v>
      </c>
      <c r="G712" t="s">
        <v>40</v>
      </c>
      <c r="H712" s="5">
        <v>45044</v>
      </c>
      <c r="I712" t="s">
        <v>1057</v>
      </c>
      <c r="J712" t="s">
        <v>17</v>
      </c>
      <c r="K712" t="s">
        <v>34</v>
      </c>
      <c r="L712" s="1">
        <v>45017</v>
      </c>
      <c r="M712">
        <v>2023</v>
      </c>
    </row>
    <row r="713" spans="1:13" x14ac:dyDescent="0.25">
      <c r="A713" t="s">
        <v>1067</v>
      </c>
      <c r="B713">
        <v>9132</v>
      </c>
      <c r="C713">
        <v>3096</v>
      </c>
      <c r="D713">
        <v>14</v>
      </c>
      <c r="E713" t="s">
        <v>45</v>
      </c>
      <c r="F713" t="s">
        <v>49</v>
      </c>
      <c r="G713" t="s">
        <v>32</v>
      </c>
      <c r="H713" s="5">
        <v>45274</v>
      </c>
      <c r="I713" t="s">
        <v>1068</v>
      </c>
      <c r="J713" t="s">
        <v>17</v>
      </c>
      <c r="K713" t="s">
        <v>150</v>
      </c>
      <c r="L713" s="1">
        <v>45261</v>
      </c>
      <c r="M713">
        <v>2023</v>
      </c>
    </row>
    <row r="714" spans="1:13" x14ac:dyDescent="0.25">
      <c r="A714" t="s">
        <v>1085</v>
      </c>
      <c r="B714">
        <v>8780</v>
      </c>
      <c r="C714">
        <v>3430</v>
      </c>
      <c r="D714">
        <v>4</v>
      </c>
      <c r="E714" t="s">
        <v>13</v>
      </c>
      <c r="F714" t="s">
        <v>14</v>
      </c>
      <c r="G714" t="s">
        <v>47</v>
      </c>
      <c r="H714" s="5">
        <v>45132</v>
      </c>
      <c r="I714" t="s">
        <v>1087</v>
      </c>
      <c r="J714" t="s">
        <v>71</v>
      </c>
      <c r="K714" t="s">
        <v>86</v>
      </c>
      <c r="L714" s="1">
        <v>45108</v>
      </c>
      <c r="M714">
        <v>2023</v>
      </c>
    </row>
    <row r="715" spans="1:13" x14ac:dyDescent="0.25">
      <c r="A715" t="s">
        <v>1094</v>
      </c>
      <c r="B715">
        <v>1638</v>
      </c>
      <c r="C715">
        <v>661</v>
      </c>
      <c r="D715">
        <v>13</v>
      </c>
      <c r="E715" t="s">
        <v>45</v>
      </c>
      <c r="F715" t="s">
        <v>49</v>
      </c>
      <c r="G715" t="s">
        <v>40</v>
      </c>
      <c r="H715" s="5">
        <v>45255</v>
      </c>
      <c r="I715" t="s">
        <v>1095</v>
      </c>
      <c r="J715" t="s">
        <v>21</v>
      </c>
      <c r="K715" t="s">
        <v>63</v>
      </c>
      <c r="L715" s="1">
        <v>45231</v>
      </c>
      <c r="M715">
        <v>2023</v>
      </c>
    </row>
    <row r="716" spans="1:13" x14ac:dyDescent="0.25">
      <c r="A716" t="s">
        <v>1098</v>
      </c>
      <c r="B716">
        <v>4751</v>
      </c>
      <c r="C716">
        <v>781</v>
      </c>
      <c r="D716">
        <v>9</v>
      </c>
      <c r="E716" t="s">
        <v>30</v>
      </c>
      <c r="F716" t="s">
        <v>64</v>
      </c>
      <c r="G716" t="s">
        <v>40</v>
      </c>
      <c r="H716" s="5">
        <v>45109</v>
      </c>
      <c r="I716" t="s">
        <v>1099</v>
      </c>
      <c r="J716" t="s">
        <v>25</v>
      </c>
      <c r="K716" t="s">
        <v>26</v>
      </c>
      <c r="L716" s="1">
        <v>45108</v>
      </c>
      <c r="M716">
        <v>2023</v>
      </c>
    </row>
    <row r="717" spans="1:13" x14ac:dyDescent="0.25">
      <c r="A717" t="s">
        <v>1110</v>
      </c>
      <c r="B717">
        <v>8572</v>
      </c>
      <c r="C717">
        <v>2041</v>
      </c>
      <c r="D717">
        <v>8</v>
      </c>
      <c r="E717" t="s">
        <v>45</v>
      </c>
      <c r="F717" t="s">
        <v>46</v>
      </c>
      <c r="G717" t="s">
        <v>40</v>
      </c>
      <c r="H717" s="5">
        <v>45112</v>
      </c>
      <c r="I717" t="s">
        <v>1112</v>
      </c>
      <c r="J717" t="s">
        <v>21</v>
      </c>
      <c r="K717" t="s">
        <v>63</v>
      </c>
      <c r="L717" s="1">
        <v>45108</v>
      </c>
      <c r="M717">
        <v>2023</v>
      </c>
    </row>
    <row r="718" spans="1:13" x14ac:dyDescent="0.25">
      <c r="A718" t="s">
        <v>1110</v>
      </c>
      <c r="B718">
        <v>8059</v>
      </c>
      <c r="C718">
        <v>1834</v>
      </c>
      <c r="D718">
        <v>10</v>
      </c>
      <c r="E718" t="s">
        <v>13</v>
      </c>
      <c r="F718" t="s">
        <v>28</v>
      </c>
      <c r="G718" t="s">
        <v>47</v>
      </c>
      <c r="H718" s="5">
        <v>45112</v>
      </c>
      <c r="I718" t="s">
        <v>1112</v>
      </c>
      <c r="J718" t="s">
        <v>21</v>
      </c>
      <c r="K718" t="s">
        <v>63</v>
      </c>
      <c r="L718" s="1">
        <v>45108</v>
      </c>
      <c r="M718">
        <v>2023</v>
      </c>
    </row>
    <row r="719" spans="1:13" x14ac:dyDescent="0.25">
      <c r="A719" t="s">
        <v>1114</v>
      </c>
      <c r="B719">
        <v>3661</v>
      </c>
      <c r="C719">
        <v>436</v>
      </c>
      <c r="D719">
        <v>13</v>
      </c>
      <c r="E719" t="s">
        <v>45</v>
      </c>
      <c r="F719" t="s">
        <v>60</v>
      </c>
      <c r="G719" t="s">
        <v>40</v>
      </c>
      <c r="H719" s="5">
        <v>44952</v>
      </c>
      <c r="I719" t="s">
        <v>1115</v>
      </c>
      <c r="J719" t="s">
        <v>71</v>
      </c>
      <c r="K719" t="s">
        <v>86</v>
      </c>
      <c r="L719" s="1">
        <v>44927</v>
      </c>
      <c r="M719">
        <v>2023</v>
      </c>
    </row>
    <row r="720" spans="1:13" x14ac:dyDescent="0.25">
      <c r="A720" t="s">
        <v>1140</v>
      </c>
      <c r="B720">
        <v>3918</v>
      </c>
      <c r="C720">
        <v>749</v>
      </c>
      <c r="D720">
        <v>8</v>
      </c>
      <c r="E720" t="s">
        <v>13</v>
      </c>
      <c r="F720" t="s">
        <v>39</v>
      </c>
      <c r="G720" t="s">
        <v>47</v>
      </c>
      <c r="H720" s="5">
        <v>45056</v>
      </c>
      <c r="I720" t="s">
        <v>1141</v>
      </c>
      <c r="J720" t="s">
        <v>42</v>
      </c>
      <c r="K720" t="s">
        <v>75</v>
      </c>
      <c r="L720" s="1">
        <v>45047</v>
      </c>
      <c r="M720">
        <v>2023</v>
      </c>
    </row>
    <row r="721" spans="1:13" x14ac:dyDescent="0.25">
      <c r="A721" t="s">
        <v>1145</v>
      </c>
      <c r="B721">
        <v>9694</v>
      </c>
      <c r="C721">
        <v>4361</v>
      </c>
      <c r="D721">
        <v>1</v>
      </c>
      <c r="E721" t="s">
        <v>45</v>
      </c>
      <c r="F721" t="s">
        <v>49</v>
      </c>
      <c r="G721" t="s">
        <v>40</v>
      </c>
      <c r="H721" s="5">
        <v>45234</v>
      </c>
      <c r="I721" t="s">
        <v>1146</v>
      </c>
      <c r="J721" t="s">
        <v>21</v>
      </c>
      <c r="K721" t="s">
        <v>63</v>
      </c>
      <c r="L721" s="1">
        <v>45231</v>
      </c>
      <c r="M721">
        <v>2023</v>
      </c>
    </row>
    <row r="722" spans="1:13" x14ac:dyDescent="0.25">
      <c r="A722" t="s">
        <v>1149</v>
      </c>
      <c r="B722">
        <v>594</v>
      </c>
      <c r="C722">
        <v>67</v>
      </c>
      <c r="D722">
        <v>19</v>
      </c>
      <c r="E722" t="s">
        <v>30</v>
      </c>
      <c r="F722" t="s">
        <v>64</v>
      </c>
      <c r="G722" t="s">
        <v>32</v>
      </c>
      <c r="H722" s="5">
        <v>45179</v>
      </c>
      <c r="I722" t="s">
        <v>1150</v>
      </c>
      <c r="J722" t="s">
        <v>25</v>
      </c>
      <c r="K722" t="s">
        <v>26</v>
      </c>
      <c r="L722" s="1">
        <v>45170</v>
      </c>
      <c r="M722">
        <v>2023</v>
      </c>
    </row>
    <row r="723" spans="1:13" x14ac:dyDescent="0.25">
      <c r="A723" t="s">
        <v>1157</v>
      </c>
      <c r="B723">
        <v>3747</v>
      </c>
      <c r="C723">
        <v>410</v>
      </c>
      <c r="D723">
        <v>5</v>
      </c>
      <c r="E723" t="s">
        <v>30</v>
      </c>
      <c r="F723" t="s">
        <v>57</v>
      </c>
      <c r="G723" t="s">
        <v>47</v>
      </c>
      <c r="H723" s="5">
        <v>44974</v>
      </c>
      <c r="I723" t="s">
        <v>1161</v>
      </c>
      <c r="J723" t="s">
        <v>21</v>
      </c>
      <c r="K723" t="s">
        <v>22</v>
      </c>
      <c r="L723" s="1">
        <v>44958</v>
      </c>
      <c r="M723">
        <v>2023</v>
      </c>
    </row>
    <row r="724" spans="1:13" x14ac:dyDescent="0.25">
      <c r="A724" t="s">
        <v>1157</v>
      </c>
      <c r="B724">
        <v>3194</v>
      </c>
      <c r="C724">
        <v>534</v>
      </c>
      <c r="D724">
        <v>4</v>
      </c>
      <c r="E724" t="s">
        <v>30</v>
      </c>
      <c r="F724" t="s">
        <v>78</v>
      </c>
      <c r="G724" t="s">
        <v>15</v>
      </c>
      <c r="H724" s="5">
        <v>44974</v>
      </c>
      <c r="I724" t="s">
        <v>1161</v>
      </c>
      <c r="J724" t="s">
        <v>21</v>
      </c>
      <c r="K724" t="s">
        <v>22</v>
      </c>
      <c r="L724" s="1">
        <v>44958</v>
      </c>
      <c r="M724">
        <v>2023</v>
      </c>
    </row>
    <row r="725" spans="1:13" x14ac:dyDescent="0.25">
      <c r="A725" t="s">
        <v>1165</v>
      </c>
      <c r="B725">
        <v>6089</v>
      </c>
      <c r="C725">
        <v>139</v>
      </c>
      <c r="D725">
        <v>19</v>
      </c>
      <c r="E725" t="s">
        <v>45</v>
      </c>
      <c r="F725" t="s">
        <v>46</v>
      </c>
      <c r="G725" t="s">
        <v>32</v>
      </c>
      <c r="H725" s="5">
        <v>45021</v>
      </c>
      <c r="I725" t="s">
        <v>1168</v>
      </c>
      <c r="J725" t="s">
        <v>21</v>
      </c>
      <c r="K725" t="s">
        <v>22</v>
      </c>
      <c r="L725" s="1">
        <v>45017</v>
      </c>
      <c r="M725">
        <v>2023</v>
      </c>
    </row>
    <row r="726" spans="1:13" x14ac:dyDescent="0.25">
      <c r="A726" t="s">
        <v>1165</v>
      </c>
      <c r="B726">
        <v>2586</v>
      </c>
      <c r="C726">
        <v>800</v>
      </c>
      <c r="D726">
        <v>16</v>
      </c>
      <c r="E726" t="s">
        <v>45</v>
      </c>
      <c r="F726" t="s">
        <v>46</v>
      </c>
      <c r="G726" t="s">
        <v>15</v>
      </c>
      <c r="H726" s="5">
        <v>45021</v>
      </c>
      <c r="I726" t="s">
        <v>1168</v>
      </c>
      <c r="J726" t="s">
        <v>21</v>
      </c>
      <c r="K726" t="s">
        <v>22</v>
      </c>
      <c r="L726" s="1">
        <v>45017</v>
      </c>
      <c r="M726">
        <v>2023</v>
      </c>
    </row>
    <row r="727" spans="1:13" x14ac:dyDescent="0.25">
      <c r="A727" t="s">
        <v>1165</v>
      </c>
      <c r="B727">
        <v>3757</v>
      </c>
      <c r="C727">
        <v>1626</v>
      </c>
      <c r="D727">
        <v>9</v>
      </c>
      <c r="E727" t="s">
        <v>30</v>
      </c>
      <c r="F727" t="s">
        <v>64</v>
      </c>
      <c r="G727" t="s">
        <v>15</v>
      </c>
      <c r="H727" s="5">
        <v>45021</v>
      </c>
      <c r="I727" t="s">
        <v>1168</v>
      </c>
      <c r="J727" t="s">
        <v>21</v>
      </c>
      <c r="K727" t="s">
        <v>22</v>
      </c>
      <c r="L727" s="1">
        <v>45017</v>
      </c>
      <c r="M727">
        <v>2023</v>
      </c>
    </row>
    <row r="728" spans="1:13" x14ac:dyDescent="0.25">
      <c r="A728" t="s">
        <v>1176</v>
      </c>
      <c r="B728">
        <v>7163</v>
      </c>
      <c r="C728">
        <v>1536</v>
      </c>
      <c r="D728">
        <v>1</v>
      </c>
      <c r="E728" t="s">
        <v>13</v>
      </c>
      <c r="F728" t="s">
        <v>82</v>
      </c>
      <c r="G728" t="s">
        <v>40</v>
      </c>
      <c r="H728" s="5">
        <v>45216</v>
      </c>
      <c r="I728" t="s">
        <v>1177</v>
      </c>
      <c r="J728" t="s">
        <v>42</v>
      </c>
      <c r="K728" t="s">
        <v>75</v>
      </c>
      <c r="L728" s="1">
        <v>45200</v>
      </c>
      <c r="M728">
        <v>2023</v>
      </c>
    </row>
    <row r="729" spans="1:13" x14ac:dyDescent="0.25">
      <c r="A729" t="s">
        <v>1178</v>
      </c>
      <c r="B729">
        <v>4026</v>
      </c>
      <c r="C729">
        <v>163</v>
      </c>
      <c r="D729">
        <v>6</v>
      </c>
      <c r="E729" t="s">
        <v>13</v>
      </c>
      <c r="F729" t="s">
        <v>82</v>
      </c>
      <c r="G729" t="s">
        <v>65</v>
      </c>
      <c r="H729" s="5">
        <v>45135</v>
      </c>
      <c r="I729" t="s">
        <v>1179</v>
      </c>
      <c r="J729" t="s">
        <v>25</v>
      </c>
      <c r="K729" t="s">
        <v>51</v>
      </c>
      <c r="L729" s="1">
        <v>45108</v>
      </c>
      <c r="M729">
        <v>2023</v>
      </c>
    </row>
    <row r="730" spans="1:13" x14ac:dyDescent="0.25">
      <c r="A730" t="s">
        <v>1191</v>
      </c>
      <c r="B730">
        <v>2931</v>
      </c>
      <c r="C730">
        <v>212</v>
      </c>
      <c r="D730">
        <v>7</v>
      </c>
      <c r="E730" t="s">
        <v>13</v>
      </c>
      <c r="F730" t="s">
        <v>14</v>
      </c>
      <c r="G730" t="s">
        <v>47</v>
      </c>
      <c r="H730" s="5">
        <v>45268</v>
      </c>
      <c r="I730" t="s">
        <v>1193</v>
      </c>
      <c r="J730" t="s">
        <v>17</v>
      </c>
      <c r="K730" t="s">
        <v>150</v>
      </c>
      <c r="L730" s="1">
        <v>45261</v>
      </c>
      <c r="M730">
        <v>2023</v>
      </c>
    </row>
    <row r="731" spans="1:13" x14ac:dyDescent="0.25">
      <c r="A731" t="s">
        <v>1199</v>
      </c>
      <c r="B731">
        <v>7895</v>
      </c>
      <c r="C731">
        <v>1005</v>
      </c>
      <c r="D731">
        <v>1</v>
      </c>
      <c r="E731" t="s">
        <v>45</v>
      </c>
      <c r="F731" t="s">
        <v>49</v>
      </c>
      <c r="G731" t="s">
        <v>47</v>
      </c>
      <c r="H731" s="5">
        <v>45227</v>
      </c>
      <c r="I731" t="s">
        <v>1200</v>
      </c>
      <c r="J731" t="s">
        <v>98</v>
      </c>
      <c r="K731" t="s">
        <v>107</v>
      </c>
      <c r="L731" s="1">
        <v>45200</v>
      </c>
      <c r="M731">
        <v>2023</v>
      </c>
    </row>
    <row r="732" spans="1:13" x14ac:dyDescent="0.25">
      <c r="A732" t="s">
        <v>1199</v>
      </c>
      <c r="B732">
        <v>2740</v>
      </c>
      <c r="C732">
        <v>558</v>
      </c>
      <c r="D732">
        <v>8</v>
      </c>
      <c r="E732" t="s">
        <v>30</v>
      </c>
      <c r="F732" t="s">
        <v>31</v>
      </c>
      <c r="G732" t="s">
        <v>15</v>
      </c>
      <c r="H732" s="5">
        <v>45227</v>
      </c>
      <c r="I732" t="s">
        <v>1200</v>
      </c>
      <c r="J732" t="s">
        <v>98</v>
      </c>
      <c r="K732" t="s">
        <v>107</v>
      </c>
      <c r="L732" s="1">
        <v>45200</v>
      </c>
      <c r="M732">
        <v>2023</v>
      </c>
    </row>
    <row r="733" spans="1:13" x14ac:dyDescent="0.25">
      <c r="A733" t="s">
        <v>1202</v>
      </c>
      <c r="B733">
        <v>5338</v>
      </c>
      <c r="C733">
        <v>1354</v>
      </c>
      <c r="D733">
        <v>16</v>
      </c>
      <c r="E733" t="s">
        <v>30</v>
      </c>
      <c r="F733" t="s">
        <v>57</v>
      </c>
      <c r="G733" t="s">
        <v>15</v>
      </c>
      <c r="H733" s="5">
        <v>45084</v>
      </c>
      <c r="I733" t="s">
        <v>1204</v>
      </c>
      <c r="J733" t="s">
        <v>25</v>
      </c>
      <c r="K733" t="s">
        <v>26</v>
      </c>
      <c r="L733" s="1">
        <v>45078</v>
      </c>
      <c r="M733">
        <v>2023</v>
      </c>
    </row>
    <row r="734" spans="1:13" x14ac:dyDescent="0.25">
      <c r="A734" t="s">
        <v>1210</v>
      </c>
      <c r="B734">
        <v>6017</v>
      </c>
      <c r="C734">
        <v>2230</v>
      </c>
      <c r="D734">
        <v>13</v>
      </c>
      <c r="E734" t="s">
        <v>13</v>
      </c>
      <c r="F734" t="s">
        <v>28</v>
      </c>
      <c r="G734" t="s">
        <v>32</v>
      </c>
      <c r="H734" s="5">
        <v>45142</v>
      </c>
      <c r="I734" t="s">
        <v>1211</v>
      </c>
      <c r="J734" t="s">
        <v>21</v>
      </c>
      <c r="K734" t="s">
        <v>172</v>
      </c>
      <c r="L734" s="1">
        <v>45139</v>
      </c>
      <c r="M734">
        <v>2023</v>
      </c>
    </row>
    <row r="735" spans="1:13" x14ac:dyDescent="0.25">
      <c r="A735" t="s">
        <v>1222</v>
      </c>
      <c r="B735">
        <v>670</v>
      </c>
      <c r="C735">
        <v>85</v>
      </c>
      <c r="D735">
        <v>9</v>
      </c>
      <c r="E735" t="s">
        <v>30</v>
      </c>
      <c r="F735" t="s">
        <v>31</v>
      </c>
      <c r="G735" t="s">
        <v>40</v>
      </c>
      <c r="H735" s="5">
        <v>45159</v>
      </c>
      <c r="I735" t="s">
        <v>1223</v>
      </c>
      <c r="J735" t="s">
        <v>71</v>
      </c>
      <c r="K735" t="s">
        <v>138</v>
      </c>
      <c r="L735" s="1">
        <v>45139</v>
      </c>
      <c r="M735">
        <v>2023</v>
      </c>
    </row>
    <row r="736" spans="1:13" x14ac:dyDescent="0.25">
      <c r="A736" t="s">
        <v>1226</v>
      </c>
      <c r="B736">
        <v>8178</v>
      </c>
      <c r="C736">
        <v>2462</v>
      </c>
      <c r="D736">
        <v>10</v>
      </c>
      <c r="E736" t="s">
        <v>30</v>
      </c>
      <c r="F736" t="s">
        <v>31</v>
      </c>
      <c r="G736" t="s">
        <v>15</v>
      </c>
      <c r="H736" s="5">
        <v>45158</v>
      </c>
      <c r="I736" t="s">
        <v>1227</v>
      </c>
      <c r="J736" t="s">
        <v>42</v>
      </c>
      <c r="K736" t="s">
        <v>43</v>
      </c>
      <c r="L736" s="1">
        <v>45139</v>
      </c>
      <c r="M736">
        <v>2023</v>
      </c>
    </row>
    <row r="737" spans="1:13" x14ac:dyDescent="0.25">
      <c r="A737" t="s">
        <v>1228</v>
      </c>
      <c r="B737">
        <v>8752</v>
      </c>
      <c r="C737">
        <v>1686</v>
      </c>
      <c r="D737">
        <v>9</v>
      </c>
      <c r="E737" t="s">
        <v>45</v>
      </c>
      <c r="F737" t="s">
        <v>46</v>
      </c>
      <c r="G737" t="s">
        <v>32</v>
      </c>
      <c r="H737" s="5">
        <v>45173</v>
      </c>
      <c r="I737" t="s">
        <v>1230</v>
      </c>
      <c r="J737" t="s">
        <v>21</v>
      </c>
      <c r="K737" t="s">
        <v>172</v>
      </c>
      <c r="L737" s="1">
        <v>45170</v>
      </c>
      <c r="M737">
        <v>2023</v>
      </c>
    </row>
    <row r="738" spans="1:13" x14ac:dyDescent="0.25">
      <c r="A738" t="s">
        <v>1232</v>
      </c>
      <c r="B738">
        <v>8974</v>
      </c>
      <c r="C738">
        <v>4441</v>
      </c>
      <c r="D738">
        <v>16</v>
      </c>
      <c r="E738" t="s">
        <v>13</v>
      </c>
      <c r="F738" t="s">
        <v>28</v>
      </c>
      <c r="G738" t="s">
        <v>40</v>
      </c>
      <c r="H738" s="5">
        <v>45082</v>
      </c>
      <c r="I738" t="s">
        <v>1233</v>
      </c>
      <c r="J738" t="s">
        <v>25</v>
      </c>
      <c r="K738" t="s">
        <v>51</v>
      </c>
      <c r="L738" s="1">
        <v>45078</v>
      </c>
      <c r="M738">
        <v>2023</v>
      </c>
    </row>
    <row r="739" spans="1:13" x14ac:dyDescent="0.25">
      <c r="A739" t="s">
        <v>1237</v>
      </c>
      <c r="B739">
        <v>5427</v>
      </c>
      <c r="C739">
        <v>728</v>
      </c>
      <c r="D739">
        <v>3</v>
      </c>
      <c r="E739" t="s">
        <v>13</v>
      </c>
      <c r="F739" t="s">
        <v>82</v>
      </c>
      <c r="G739" t="s">
        <v>15</v>
      </c>
      <c r="H739" s="5">
        <v>44994</v>
      </c>
      <c r="I739" t="s">
        <v>1238</v>
      </c>
      <c r="J739" t="s">
        <v>17</v>
      </c>
      <c r="K739" t="s">
        <v>18</v>
      </c>
      <c r="L739" s="1">
        <v>44986</v>
      </c>
      <c r="M739">
        <v>2023</v>
      </c>
    </row>
    <row r="740" spans="1:13" x14ac:dyDescent="0.25">
      <c r="A740" t="s">
        <v>1263</v>
      </c>
      <c r="B740">
        <v>762</v>
      </c>
      <c r="C740">
        <v>92</v>
      </c>
      <c r="D740">
        <v>11</v>
      </c>
      <c r="E740" t="s">
        <v>13</v>
      </c>
      <c r="F740" t="s">
        <v>28</v>
      </c>
      <c r="G740" t="s">
        <v>65</v>
      </c>
      <c r="H740" s="5">
        <v>44932</v>
      </c>
      <c r="I740" t="s">
        <v>1264</v>
      </c>
      <c r="J740" t="s">
        <v>21</v>
      </c>
      <c r="K740" t="s">
        <v>63</v>
      </c>
      <c r="L740" s="1">
        <v>44927</v>
      </c>
      <c r="M740">
        <v>2023</v>
      </c>
    </row>
    <row r="741" spans="1:13" x14ac:dyDescent="0.25">
      <c r="A741" t="s">
        <v>1267</v>
      </c>
      <c r="B741">
        <v>5994</v>
      </c>
      <c r="C741">
        <v>2826</v>
      </c>
      <c r="D741">
        <v>9</v>
      </c>
      <c r="E741" t="s">
        <v>45</v>
      </c>
      <c r="F741" t="s">
        <v>109</v>
      </c>
      <c r="G741" t="s">
        <v>40</v>
      </c>
      <c r="H741" s="5">
        <v>45070</v>
      </c>
      <c r="I741" t="s">
        <v>1268</v>
      </c>
      <c r="J741" t="s">
        <v>42</v>
      </c>
      <c r="K741" t="s">
        <v>92</v>
      </c>
      <c r="L741" s="1">
        <v>45047</v>
      </c>
      <c r="M741">
        <v>2023</v>
      </c>
    </row>
    <row r="742" spans="1:13" x14ac:dyDescent="0.25">
      <c r="A742" t="s">
        <v>1290</v>
      </c>
      <c r="B742">
        <v>4918</v>
      </c>
      <c r="C742">
        <v>1485</v>
      </c>
      <c r="D742">
        <v>7</v>
      </c>
      <c r="E742" t="s">
        <v>13</v>
      </c>
      <c r="F742" t="s">
        <v>82</v>
      </c>
      <c r="G742" t="s">
        <v>15</v>
      </c>
      <c r="H742" s="5">
        <v>44959</v>
      </c>
      <c r="I742" t="s">
        <v>1291</v>
      </c>
      <c r="J742" t="s">
        <v>17</v>
      </c>
      <c r="K742" t="s">
        <v>150</v>
      </c>
      <c r="L742" s="1">
        <v>44958</v>
      </c>
      <c r="M742">
        <v>2023</v>
      </c>
    </row>
    <row r="743" spans="1:13" x14ac:dyDescent="0.25">
      <c r="A743" t="s">
        <v>1301</v>
      </c>
      <c r="B743">
        <v>6669</v>
      </c>
      <c r="C743">
        <v>3063</v>
      </c>
      <c r="D743">
        <v>19</v>
      </c>
      <c r="E743" t="s">
        <v>13</v>
      </c>
      <c r="F743" t="s">
        <v>28</v>
      </c>
      <c r="G743" t="s">
        <v>15</v>
      </c>
      <c r="H743" s="5">
        <v>45150</v>
      </c>
      <c r="I743" t="s">
        <v>1302</v>
      </c>
      <c r="J743" t="s">
        <v>98</v>
      </c>
      <c r="K743" t="s">
        <v>107</v>
      </c>
      <c r="L743" s="1">
        <v>45139</v>
      </c>
      <c r="M743">
        <v>2023</v>
      </c>
    </row>
    <row r="744" spans="1:13" x14ac:dyDescent="0.25">
      <c r="A744" t="s">
        <v>1311</v>
      </c>
      <c r="B744">
        <v>847</v>
      </c>
      <c r="C744">
        <v>355</v>
      </c>
      <c r="D744">
        <v>17</v>
      </c>
      <c r="E744" t="s">
        <v>45</v>
      </c>
      <c r="F744" t="s">
        <v>46</v>
      </c>
      <c r="G744" t="s">
        <v>65</v>
      </c>
      <c r="H744" s="5">
        <v>45258</v>
      </c>
      <c r="I744" t="s">
        <v>1313</v>
      </c>
      <c r="J744" t="s">
        <v>71</v>
      </c>
      <c r="K744" t="s">
        <v>86</v>
      </c>
      <c r="L744" s="1">
        <v>45231</v>
      </c>
      <c r="M744">
        <v>2023</v>
      </c>
    </row>
    <row r="745" spans="1:13" x14ac:dyDescent="0.25">
      <c r="A745" t="s">
        <v>1311</v>
      </c>
      <c r="B745">
        <v>847</v>
      </c>
      <c r="C745">
        <v>355</v>
      </c>
      <c r="D745">
        <v>17</v>
      </c>
      <c r="E745" t="s">
        <v>45</v>
      </c>
      <c r="F745" t="s">
        <v>46</v>
      </c>
      <c r="G745" t="s">
        <v>65</v>
      </c>
      <c r="H745" s="5">
        <v>44944</v>
      </c>
      <c r="I745" t="s">
        <v>1314</v>
      </c>
      <c r="J745" t="s">
        <v>42</v>
      </c>
      <c r="K745" t="s">
        <v>92</v>
      </c>
      <c r="L745" s="1">
        <v>44927</v>
      </c>
      <c r="M745">
        <v>2023</v>
      </c>
    </row>
    <row r="746" spans="1:13" x14ac:dyDescent="0.25">
      <c r="A746" t="s">
        <v>1331</v>
      </c>
      <c r="B746">
        <v>6485</v>
      </c>
      <c r="C746">
        <v>3178</v>
      </c>
      <c r="D746">
        <v>18</v>
      </c>
      <c r="E746" t="s">
        <v>45</v>
      </c>
      <c r="F746" t="s">
        <v>60</v>
      </c>
      <c r="G746" t="s">
        <v>15</v>
      </c>
      <c r="H746" s="5">
        <v>45125</v>
      </c>
      <c r="I746" t="s">
        <v>1332</v>
      </c>
      <c r="J746" t="s">
        <v>98</v>
      </c>
      <c r="K746" t="s">
        <v>99</v>
      </c>
      <c r="L746" s="1">
        <v>45108</v>
      </c>
      <c r="M746">
        <v>2023</v>
      </c>
    </row>
    <row r="747" spans="1:13" x14ac:dyDescent="0.25">
      <c r="A747" t="s">
        <v>1335</v>
      </c>
      <c r="B747">
        <v>3333</v>
      </c>
      <c r="C747">
        <v>700</v>
      </c>
      <c r="D747">
        <v>18</v>
      </c>
      <c r="E747" t="s">
        <v>13</v>
      </c>
      <c r="F747" t="s">
        <v>28</v>
      </c>
      <c r="G747" t="s">
        <v>65</v>
      </c>
      <c r="H747" s="5">
        <v>45033</v>
      </c>
      <c r="I747" t="s">
        <v>1336</v>
      </c>
      <c r="J747" t="s">
        <v>17</v>
      </c>
      <c r="K747" t="s">
        <v>18</v>
      </c>
      <c r="L747" s="1">
        <v>45017</v>
      </c>
      <c r="M747">
        <v>2023</v>
      </c>
    </row>
    <row r="748" spans="1:13" x14ac:dyDescent="0.25">
      <c r="A748" t="s">
        <v>1341</v>
      </c>
      <c r="B748">
        <v>1476</v>
      </c>
      <c r="C748">
        <v>247</v>
      </c>
      <c r="D748">
        <v>5</v>
      </c>
      <c r="E748" t="s">
        <v>45</v>
      </c>
      <c r="F748" t="s">
        <v>109</v>
      </c>
      <c r="G748" t="s">
        <v>65</v>
      </c>
      <c r="H748" s="5">
        <v>45248</v>
      </c>
      <c r="I748" t="s">
        <v>1342</v>
      </c>
      <c r="J748" t="s">
        <v>42</v>
      </c>
      <c r="K748" t="s">
        <v>43</v>
      </c>
      <c r="L748" s="1">
        <v>45231</v>
      </c>
      <c r="M748">
        <v>2023</v>
      </c>
    </row>
    <row r="749" spans="1:13" x14ac:dyDescent="0.25">
      <c r="A749" t="s">
        <v>1357</v>
      </c>
      <c r="B749">
        <v>9840</v>
      </c>
      <c r="C749">
        <v>3870</v>
      </c>
      <c r="D749">
        <v>11</v>
      </c>
      <c r="E749" t="s">
        <v>13</v>
      </c>
      <c r="F749" t="s">
        <v>28</v>
      </c>
      <c r="G749" t="s">
        <v>32</v>
      </c>
      <c r="H749" s="5">
        <v>45041</v>
      </c>
      <c r="I749" t="s">
        <v>1358</v>
      </c>
      <c r="J749" t="s">
        <v>71</v>
      </c>
      <c r="K749" t="s">
        <v>86</v>
      </c>
      <c r="L749" s="1">
        <v>45017</v>
      </c>
      <c r="M749">
        <v>2023</v>
      </c>
    </row>
    <row r="750" spans="1:13" x14ac:dyDescent="0.25">
      <c r="A750" t="s">
        <v>1366</v>
      </c>
      <c r="B750">
        <v>544</v>
      </c>
      <c r="C750">
        <v>272</v>
      </c>
      <c r="D750">
        <v>2</v>
      </c>
      <c r="E750" t="s">
        <v>13</v>
      </c>
      <c r="F750" t="s">
        <v>39</v>
      </c>
      <c r="G750" t="s">
        <v>32</v>
      </c>
      <c r="H750" s="5">
        <v>45102</v>
      </c>
      <c r="I750" t="s">
        <v>1368</v>
      </c>
      <c r="J750" t="s">
        <v>25</v>
      </c>
      <c r="K750" t="s">
        <v>26</v>
      </c>
      <c r="L750" s="1">
        <v>45078</v>
      </c>
      <c r="M750">
        <v>2023</v>
      </c>
    </row>
    <row r="751" spans="1:13" x14ac:dyDescent="0.25">
      <c r="A751" t="s">
        <v>1379</v>
      </c>
      <c r="B751">
        <v>9952</v>
      </c>
      <c r="C751">
        <v>3301</v>
      </c>
      <c r="D751">
        <v>15</v>
      </c>
      <c r="E751" t="s">
        <v>13</v>
      </c>
      <c r="F751" t="s">
        <v>14</v>
      </c>
      <c r="G751" t="s">
        <v>32</v>
      </c>
      <c r="H751" s="5">
        <v>44995</v>
      </c>
      <c r="I751" t="s">
        <v>1380</v>
      </c>
      <c r="J751" t="s">
        <v>71</v>
      </c>
      <c r="K751" t="s">
        <v>72</v>
      </c>
      <c r="L751" s="1">
        <v>44986</v>
      </c>
      <c r="M751">
        <v>2023</v>
      </c>
    </row>
    <row r="752" spans="1:13" x14ac:dyDescent="0.25">
      <c r="A752" t="s">
        <v>1383</v>
      </c>
      <c r="B752">
        <v>3560</v>
      </c>
      <c r="C752">
        <v>1335</v>
      </c>
      <c r="D752">
        <v>15</v>
      </c>
      <c r="E752" t="s">
        <v>13</v>
      </c>
      <c r="F752" t="s">
        <v>14</v>
      </c>
      <c r="G752" t="s">
        <v>65</v>
      </c>
      <c r="H752" s="5">
        <v>45001</v>
      </c>
      <c r="I752" t="s">
        <v>1385</v>
      </c>
      <c r="J752" t="s">
        <v>21</v>
      </c>
      <c r="K752" t="s">
        <v>63</v>
      </c>
      <c r="L752" s="1">
        <v>44986</v>
      </c>
      <c r="M752">
        <v>2023</v>
      </c>
    </row>
    <row r="753" spans="1:13" x14ac:dyDescent="0.25">
      <c r="A753" t="s">
        <v>1392</v>
      </c>
      <c r="B753">
        <v>2101</v>
      </c>
      <c r="C753">
        <v>287</v>
      </c>
      <c r="D753">
        <v>8</v>
      </c>
      <c r="E753" t="s">
        <v>30</v>
      </c>
      <c r="F753" t="s">
        <v>31</v>
      </c>
      <c r="G753" t="s">
        <v>65</v>
      </c>
      <c r="H753" s="5">
        <v>45025</v>
      </c>
      <c r="I753" t="s">
        <v>1393</v>
      </c>
      <c r="J753" t="s">
        <v>21</v>
      </c>
      <c r="K753" t="s">
        <v>22</v>
      </c>
      <c r="L753" s="1">
        <v>45017</v>
      </c>
      <c r="M753">
        <v>2023</v>
      </c>
    </row>
    <row r="754" spans="1:13" x14ac:dyDescent="0.25">
      <c r="A754" t="s">
        <v>1394</v>
      </c>
      <c r="B754">
        <v>8644</v>
      </c>
      <c r="C754">
        <v>1968</v>
      </c>
      <c r="D754">
        <v>9</v>
      </c>
      <c r="E754" t="s">
        <v>30</v>
      </c>
      <c r="F754" t="s">
        <v>64</v>
      </c>
      <c r="G754" t="s">
        <v>32</v>
      </c>
      <c r="H754" s="5">
        <v>45254</v>
      </c>
      <c r="I754" t="s">
        <v>1395</v>
      </c>
      <c r="J754" t="s">
        <v>21</v>
      </c>
      <c r="K754" t="s">
        <v>22</v>
      </c>
      <c r="L754" s="1">
        <v>45231</v>
      </c>
      <c r="M754">
        <v>2023</v>
      </c>
    </row>
    <row r="755" spans="1:13" x14ac:dyDescent="0.25">
      <c r="A755" t="s">
        <v>1396</v>
      </c>
      <c r="B755">
        <v>6672</v>
      </c>
      <c r="C755">
        <v>3319</v>
      </c>
      <c r="D755">
        <v>4</v>
      </c>
      <c r="E755" t="s">
        <v>45</v>
      </c>
      <c r="F755" t="s">
        <v>46</v>
      </c>
      <c r="G755" t="s">
        <v>15</v>
      </c>
      <c r="H755" s="5">
        <v>45259</v>
      </c>
      <c r="I755" t="s">
        <v>1397</v>
      </c>
      <c r="J755" t="s">
        <v>71</v>
      </c>
      <c r="K755" t="s">
        <v>72</v>
      </c>
      <c r="L755" s="1">
        <v>45231</v>
      </c>
      <c r="M755">
        <v>2023</v>
      </c>
    </row>
    <row r="756" spans="1:13" x14ac:dyDescent="0.25">
      <c r="A756" t="s">
        <v>1410</v>
      </c>
      <c r="B756">
        <v>7870</v>
      </c>
      <c r="C756">
        <v>1057</v>
      </c>
      <c r="D756">
        <v>15</v>
      </c>
      <c r="E756" t="s">
        <v>30</v>
      </c>
      <c r="F756" t="s">
        <v>31</v>
      </c>
      <c r="G756" t="s">
        <v>47</v>
      </c>
      <c r="H756" s="5">
        <v>45217</v>
      </c>
      <c r="I756" t="s">
        <v>1411</v>
      </c>
      <c r="J756" t="s">
        <v>71</v>
      </c>
      <c r="K756" t="s">
        <v>138</v>
      </c>
      <c r="L756" s="1">
        <v>45200</v>
      </c>
      <c r="M756">
        <v>2023</v>
      </c>
    </row>
    <row r="757" spans="1:13" x14ac:dyDescent="0.25">
      <c r="A757" t="s">
        <v>1413</v>
      </c>
      <c r="B757">
        <v>7992</v>
      </c>
      <c r="C757">
        <v>893</v>
      </c>
      <c r="D757">
        <v>12</v>
      </c>
      <c r="E757" t="s">
        <v>13</v>
      </c>
      <c r="F757" t="s">
        <v>39</v>
      </c>
      <c r="G757" t="s">
        <v>47</v>
      </c>
      <c r="H757" s="5">
        <v>45050</v>
      </c>
      <c r="I757" t="s">
        <v>1415</v>
      </c>
      <c r="J757" t="s">
        <v>25</v>
      </c>
      <c r="K757" t="s">
        <v>51</v>
      </c>
      <c r="L757" s="1">
        <v>45047</v>
      </c>
      <c r="M757">
        <v>2023</v>
      </c>
    </row>
    <row r="758" spans="1:13" x14ac:dyDescent="0.25">
      <c r="A758" t="s">
        <v>1413</v>
      </c>
      <c r="B758">
        <v>7992</v>
      </c>
      <c r="C758">
        <v>893</v>
      </c>
      <c r="D758">
        <v>12</v>
      </c>
      <c r="E758" t="s">
        <v>13</v>
      </c>
      <c r="F758" t="s">
        <v>39</v>
      </c>
      <c r="G758" t="s">
        <v>47</v>
      </c>
      <c r="H758" s="5">
        <v>45077</v>
      </c>
      <c r="I758" t="s">
        <v>1416</v>
      </c>
      <c r="J758" t="s">
        <v>21</v>
      </c>
      <c r="K758" t="s">
        <v>22</v>
      </c>
      <c r="L758" s="1">
        <v>45047</v>
      </c>
      <c r="M758">
        <v>2023</v>
      </c>
    </row>
    <row r="759" spans="1:13" x14ac:dyDescent="0.25">
      <c r="A759" t="s">
        <v>1431</v>
      </c>
      <c r="B759">
        <v>6646</v>
      </c>
      <c r="C759">
        <v>848</v>
      </c>
      <c r="D759">
        <v>15</v>
      </c>
      <c r="E759" t="s">
        <v>45</v>
      </c>
      <c r="F759" t="s">
        <v>60</v>
      </c>
      <c r="G759" t="s">
        <v>32</v>
      </c>
      <c r="H759" s="5">
        <v>45157</v>
      </c>
      <c r="I759" t="s">
        <v>1432</v>
      </c>
      <c r="J759" t="s">
        <v>25</v>
      </c>
      <c r="K759" t="s">
        <v>51</v>
      </c>
      <c r="L759" s="1">
        <v>45139</v>
      </c>
      <c r="M759">
        <v>2023</v>
      </c>
    </row>
    <row r="760" spans="1:13" x14ac:dyDescent="0.25">
      <c r="A760" t="s">
        <v>1431</v>
      </c>
      <c r="B760">
        <v>6646</v>
      </c>
      <c r="C760">
        <v>848</v>
      </c>
      <c r="D760">
        <v>15</v>
      </c>
      <c r="E760" t="s">
        <v>45</v>
      </c>
      <c r="F760" t="s">
        <v>60</v>
      </c>
      <c r="G760" t="s">
        <v>32</v>
      </c>
      <c r="H760" s="5">
        <v>45121</v>
      </c>
      <c r="I760" t="s">
        <v>1433</v>
      </c>
      <c r="J760" t="s">
        <v>25</v>
      </c>
      <c r="K760" t="s">
        <v>26</v>
      </c>
      <c r="L760" s="1">
        <v>45108</v>
      </c>
      <c r="M760">
        <v>2023</v>
      </c>
    </row>
    <row r="761" spans="1:13" x14ac:dyDescent="0.25">
      <c r="A761" t="s">
        <v>1434</v>
      </c>
      <c r="B761">
        <v>2553</v>
      </c>
      <c r="C761">
        <v>907</v>
      </c>
      <c r="D761">
        <v>6</v>
      </c>
      <c r="E761" t="s">
        <v>13</v>
      </c>
      <c r="F761" t="s">
        <v>39</v>
      </c>
      <c r="G761" t="s">
        <v>47</v>
      </c>
      <c r="H761" s="5">
        <v>45099</v>
      </c>
      <c r="I761" t="s">
        <v>1435</v>
      </c>
      <c r="J761" t="s">
        <v>71</v>
      </c>
      <c r="K761" t="s">
        <v>72</v>
      </c>
      <c r="L761" s="1">
        <v>45078</v>
      </c>
      <c r="M761">
        <v>2023</v>
      </c>
    </row>
    <row r="762" spans="1:13" x14ac:dyDescent="0.25">
      <c r="A762" t="s">
        <v>1436</v>
      </c>
      <c r="B762">
        <v>8490</v>
      </c>
      <c r="C762">
        <v>3485</v>
      </c>
      <c r="D762">
        <v>3</v>
      </c>
      <c r="E762" t="s">
        <v>13</v>
      </c>
      <c r="F762" t="s">
        <v>82</v>
      </c>
      <c r="G762" t="s">
        <v>47</v>
      </c>
      <c r="H762" s="5">
        <v>45006</v>
      </c>
      <c r="I762" t="s">
        <v>1437</v>
      </c>
      <c r="J762" t="s">
        <v>25</v>
      </c>
      <c r="K762" t="s">
        <v>51</v>
      </c>
      <c r="L762" s="1">
        <v>44986</v>
      </c>
      <c r="M762">
        <v>2023</v>
      </c>
    </row>
    <row r="763" spans="1:13" x14ac:dyDescent="0.25">
      <c r="A763" t="s">
        <v>1456</v>
      </c>
      <c r="B763">
        <v>7699</v>
      </c>
      <c r="C763">
        <v>246</v>
      </c>
      <c r="D763">
        <v>5</v>
      </c>
      <c r="E763" t="s">
        <v>13</v>
      </c>
      <c r="F763" t="s">
        <v>14</v>
      </c>
      <c r="G763" t="s">
        <v>32</v>
      </c>
      <c r="H763" s="5">
        <v>45192</v>
      </c>
      <c r="I763" t="s">
        <v>1457</v>
      </c>
      <c r="J763" t="s">
        <v>71</v>
      </c>
      <c r="K763" t="s">
        <v>86</v>
      </c>
      <c r="L763" s="1">
        <v>45170</v>
      </c>
      <c r="M763">
        <v>2023</v>
      </c>
    </row>
    <row r="764" spans="1:13" x14ac:dyDescent="0.25">
      <c r="A764" t="s">
        <v>12</v>
      </c>
      <c r="B764">
        <v>9726</v>
      </c>
      <c r="C764">
        <v>1275</v>
      </c>
      <c r="D764">
        <v>5</v>
      </c>
      <c r="E764" t="s">
        <v>13</v>
      </c>
      <c r="F764" t="s">
        <v>14</v>
      </c>
      <c r="G764" t="s">
        <v>15</v>
      </c>
      <c r="H764" s="5">
        <v>44402</v>
      </c>
      <c r="I764" t="s">
        <v>24</v>
      </c>
      <c r="J764" t="s">
        <v>25</v>
      </c>
      <c r="K764" t="s">
        <v>26</v>
      </c>
      <c r="L764" s="1">
        <v>44378</v>
      </c>
      <c r="M764">
        <v>2021</v>
      </c>
    </row>
    <row r="765" spans="1:13" x14ac:dyDescent="0.25">
      <c r="A765" t="s">
        <v>12</v>
      </c>
      <c r="B765">
        <v>4975</v>
      </c>
      <c r="C765">
        <v>1330</v>
      </c>
      <c r="D765">
        <v>14</v>
      </c>
      <c r="E765" t="s">
        <v>13</v>
      </c>
      <c r="F765" t="s">
        <v>28</v>
      </c>
      <c r="G765" t="s">
        <v>15</v>
      </c>
      <c r="H765" s="5">
        <v>44402</v>
      </c>
      <c r="I765" t="s">
        <v>24</v>
      </c>
      <c r="J765" t="s">
        <v>25</v>
      </c>
      <c r="K765" t="s">
        <v>26</v>
      </c>
      <c r="L765" s="1">
        <v>44378</v>
      </c>
      <c r="M765">
        <v>2021</v>
      </c>
    </row>
    <row r="766" spans="1:13" x14ac:dyDescent="0.25">
      <c r="A766" t="s">
        <v>29</v>
      </c>
      <c r="B766">
        <v>1525</v>
      </c>
      <c r="C766">
        <v>185</v>
      </c>
      <c r="D766">
        <v>12</v>
      </c>
      <c r="E766" t="s">
        <v>30</v>
      </c>
      <c r="F766" t="s">
        <v>31</v>
      </c>
      <c r="G766" t="s">
        <v>32</v>
      </c>
      <c r="H766" s="5">
        <v>44478</v>
      </c>
      <c r="I766" t="s">
        <v>36</v>
      </c>
      <c r="J766" t="s">
        <v>17</v>
      </c>
      <c r="K766" t="s">
        <v>18</v>
      </c>
      <c r="L766" s="1">
        <v>44470</v>
      </c>
      <c r="M766">
        <v>2021</v>
      </c>
    </row>
    <row r="767" spans="1:13" x14ac:dyDescent="0.25">
      <c r="A767" t="s">
        <v>88</v>
      </c>
      <c r="B767">
        <v>5219</v>
      </c>
      <c r="C767">
        <v>1180</v>
      </c>
      <c r="D767">
        <v>20</v>
      </c>
      <c r="E767" t="s">
        <v>30</v>
      </c>
      <c r="F767" t="s">
        <v>78</v>
      </c>
      <c r="G767" t="s">
        <v>65</v>
      </c>
      <c r="H767" s="5">
        <v>44547</v>
      </c>
      <c r="I767" t="s">
        <v>89</v>
      </c>
      <c r="J767" t="s">
        <v>25</v>
      </c>
      <c r="K767" t="s">
        <v>51</v>
      </c>
      <c r="L767" s="1">
        <v>44531</v>
      </c>
      <c r="M767">
        <v>2021</v>
      </c>
    </row>
    <row r="768" spans="1:13" x14ac:dyDescent="0.25">
      <c r="A768" t="s">
        <v>103</v>
      </c>
      <c r="B768">
        <v>4051</v>
      </c>
      <c r="C768">
        <v>1848</v>
      </c>
      <c r="D768">
        <v>12</v>
      </c>
      <c r="E768" t="s">
        <v>13</v>
      </c>
      <c r="F768" t="s">
        <v>82</v>
      </c>
      <c r="G768" t="s">
        <v>47</v>
      </c>
      <c r="H768" s="5">
        <v>44324</v>
      </c>
      <c r="I768" t="s">
        <v>106</v>
      </c>
      <c r="J768" t="s">
        <v>98</v>
      </c>
      <c r="K768" t="s">
        <v>107</v>
      </c>
      <c r="L768" s="1">
        <v>44317</v>
      </c>
      <c r="M768">
        <v>2021</v>
      </c>
    </row>
    <row r="769" spans="1:13" x14ac:dyDescent="0.25">
      <c r="A769" t="s">
        <v>103</v>
      </c>
      <c r="B769">
        <v>5011</v>
      </c>
      <c r="C769">
        <v>866</v>
      </c>
      <c r="D769">
        <v>11</v>
      </c>
      <c r="E769" t="s">
        <v>45</v>
      </c>
      <c r="F769" t="s">
        <v>109</v>
      </c>
      <c r="G769" t="s">
        <v>47</v>
      </c>
      <c r="H769" s="5">
        <v>44324</v>
      </c>
      <c r="I769" t="s">
        <v>106</v>
      </c>
      <c r="J769" t="s">
        <v>98</v>
      </c>
      <c r="K769" t="s">
        <v>107</v>
      </c>
      <c r="L769" s="1">
        <v>44317</v>
      </c>
      <c r="M769">
        <v>2021</v>
      </c>
    </row>
    <row r="770" spans="1:13" x14ac:dyDescent="0.25">
      <c r="A770" t="s">
        <v>122</v>
      </c>
      <c r="B770">
        <v>3090</v>
      </c>
      <c r="C770">
        <v>573</v>
      </c>
      <c r="D770">
        <v>6</v>
      </c>
      <c r="E770" t="s">
        <v>45</v>
      </c>
      <c r="F770" t="s">
        <v>46</v>
      </c>
      <c r="G770" t="s">
        <v>40</v>
      </c>
      <c r="H770" s="5">
        <v>44365</v>
      </c>
      <c r="I770" t="s">
        <v>124</v>
      </c>
      <c r="J770" t="s">
        <v>98</v>
      </c>
      <c r="K770" t="s">
        <v>107</v>
      </c>
      <c r="L770" s="1">
        <v>44348</v>
      </c>
      <c r="M770">
        <v>2021</v>
      </c>
    </row>
    <row r="771" spans="1:13" x14ac:dyDescent="0.25">
      <c r="A771" t="s">
        <v>122</v>
      </c>
      <c r="B771">
        <v>3090</v>
      </c>
      <c r="C771">
        <v>573</v>
      </c>
      <c r="D771">
        <v>6</v>
      </c>
      <c r="E771" t="s">
        <v>45</v>
      </c>
      <c r="F771" t="s">
        <v>46</v>
      </c>
      <c r="G771" t="s">
        <v>40</v>
      </c>
      <c r="H771" s="5">
        <v>44481</v>
      </c>
      <c r="I771" t="s">
        <v>128</v>
      </c>
      <c r="J771" t="s">
        <v>71</v>
      </c>
      <c r="K771" t="s">
        <v>72</v>
      </c>
      <c r="L771" s="1">
        <v>44470</v>
      </c>
      <c r="M771">
        <v>2021</v>
      </c>
    </row>
    <row r="772" spans="1:13" x14ac:dyDescent="0.25">
      <c r="A772" t="s">
        <v>122</v>
      </c>
      <c r="B772">
        <v>9683</v>
      </c>
      <c r="C772">
        <v>1014</v>
      </c>
      <c r="D772">
        <v>5</v>
      </c>
      <c r="E772" t="s">
        <v>13</v>
      </c>
      <c r="F772" t="s">
        <v>28</v>
      </c>
      <c r="G772" t="s">
        <v>15</v>
      </c>
      <c r="H772" s="5">
        <v>44365</v>
      </c>
      <c r="I772" t="s">
        <v>124</v>
      </c>
      <c r="J772" t="s">
        <v>98</v>
      </c>
      <c r="K772" t="s">
        <v>107</v>
      </c>
      <c r="L772" s="1">
        <v>44348</v>
      </c>
      <c r="M772">
        <v>2021</v>
      </c>
    </row>
    <row r="773" spans="1:13" x14ac:dyDescent="0.25">
      <c r="A773" t="s">
        <v>122</v>
      </c>
      <c r="B773">
        <v>9683</v>
      </c>
      <c r="C773">
        <v>1014</v>
      </c>
      <c r="D773">
        <v>5</v>
      </c>
      <c r="E773" t="s">
        <v>13</v>
      </c>
      <c r="F773" t="s">
        <v>28</v>
      </c>
      <c r="G773" t="s">
        <v>15</v>
      </c>
      <c r="H773" s="5">
        <v>44481</v>
      </c>
      <c r="I773" t="s">
        <v>128</v>
      </c>
      <c r="J773" t="s">
        <v>71</v>
      </c>
      <c r="K773" t="s">
        <v>72</v>
      </c>
      <c r="L773" s="1">
        <v>44470</v>
      </c>
      <c r="M773">
        <v>2021</v>
      </c>
    </row>
    <row r="774" spans="1:13" x14ac:dyDescent="0.25">
      <c r="A774" t="s">
        <v>135</v>
      </c>
      <c r="B774">
        <v>6139</v>
      </c>
      <c r="C774">
        <v>451</v>
      </c>
      <c r="D774">
        <v>10</v>
      </c>
      <c r="E774" t="s">
        <v>45</v>
      </c>
      <c r="F774" t="s">
        <v>46</v>
      </c>
      <c r="G774" t="s">
        <v>32</v>
      </c>
      <c r="H774" s="5">
        <v>44291</v>
      </c>
      <c r="I774" t="s">
        <v>91</v>
      </c>
      <c r="J774" t="s">
        <v>71</v>
      </c>
      <c r="K774" t="s">
        <v>138</v>
      </c>
      <c r="L774" s="1">
        <v>44287</v>
      </c>
      <c r="M774">
        <v>2021</v>
      </c>
    </row>
    <row r="775" spans="1:13" x14ac:dyDescent="0.25">
      <c r="A775" t="s">
        <v>135</v>
      </c>
      <c r="B775">
        <v>8636</v>
      </c>
      <c r="C775">
        <v>3192</v>
      </c>
      <c r="D775">
        <v>3</v>
      </c>
      <c r="E775" t="s">
        <v>45</v>
      </c>
      <c r="F775" t="s">
        <v>49</v>
      </c>
      <c r="G775" t="s">
        <v>65</v>
      </c>
      <c r="H775" s="5">
        <v>44291</v>
      </c>
      <c r="I775" t="s">
        <v>91</v>
      </c>
      <c r="J775" t="s">
        <v>71</v>
      </c>
      <c r="K775" t="s">
        <v>138</v>
      </c>
      <c r="L775" s="1">
        <v>44287</v>
      </c>
      <c r="M775">
        <v>2021</v>
      </c>
    </row>
    <row r="776" spans="1:13" x14ac:dyDescent="0.25">
      <c r="A776" t="s">
        <v>135</v>
      </c>
      <c r="B776">
        <v>4439</v>
      </c>
      <c r="C776">
        <v>1712</v>
      </c>
      <c r="D776">
        <v>19</v>
      </c>
      <c r="E776" t="s">
        <v>45</v>
      </c>
      <c r="F776" t="s">
        <v>60</v>
      </c>
      <c r="G776" t="s">
        <v>47</v>
      </c>
      <c r="H776" s="5">
        <v>44291</v>
      </c>
      <c r="I776" t="s">
        <v>91</v>
      </c>
      <c r="J776" t="s">
        <v>71</v>
      </c>
      <c r="K776" t="s">
        <v>138</v>
      </c>
      <c r="L776" s="1">
        <v>44287</v>
      </c>
      <c r="M776">
        <v>2021</v>
      </c>
    </row>
    <row r="777" spans="1:13" x14ac:dyDescent="0.25">
      <c r="A777" t="s">
        <v>163</v>
      </c>
      <c r="B777">
        <v>1591</v>
      </c>
      <c r="C777">
        <v>727</v>
      </c>
      <c r="D777">
        <v>5</v>
      </c>
      <c r="E777" t="s">
        <v>13</v>
      </c>
      <c r="F777" t="s">
        <v>14</v>
      </c>
      <c r="G777" t="s">
        <v>47</v>
      </c>
      <c r="H777" s="5">
        <v>44269</v>
      </c>
      <c r="I777" t="s">
        <v>166</v>
      </c>
      <c r="J777" t="s">
        <v>17</v>
      </c>
      <c r="K777" t="s">
        <v>150</v>
      </c>
      <c r="L777" s="1">
        <v>44256</v>
      </c>
      <c r="M777">
        <v>2021</v>
      </c>
    </row>
    <row r="778" spans="1:13" x14ac:dyDescent="0.25">
      <c r="A778" t="s">
        <v>173</v>
      </c>
      <c r="B778">
        <v>6940</v>
      </c>
      <c r="C778">
        <v>253</v>
      </c>
      <c r="D778">
        <v>15</v>
      </c>
      <c r="E778" t="s">
        <v>45</v>
      </c>
      <c r="F778" t="s">
        <v>109</v>
      </c>
      <c r="G778" t="s">
        <v>32</v>
      </c>
      <c r="H778" s="5">
        <v>44512</v>
      </c>
      <c r="I778" t="s">
        <v>174</v>
      </c>
      <c r="J778" t="s">
        <v>17</v>
      </c>
      <c r="K778" t="s">
        <v>34</v>
      </c>
      <c r="L778" s="1">
        <v>44501</v>
      </c>
      <c r="M778">
        <v>2021</v>
      </c>
    </row>
    <row r="779" spans="1:13" x14ac:dyDescent="0.25">
      <c r="A779" t="s">
        <v>173</v>
      </c>
      <c r="B779">
        <v>5105</v>
      </c>
      <c r="C779">
        <v>465</v>
      </c>
      <c r="D779">
        <v>5</v>
      </c>
      <c r="E779" t="s">
        <v>13</v>
      </c>
      <c r="F779" t="s">
        <v>28</v>
      </c>
      <c r="G779" t="s">
        <v>15</v>
      </c>
      <c r="H779" s="5">
        <v>44512</v>
      </c>
      <c r="I779" t="s">
        <v>174</v>
      </c>
      <c r="J779" t="s">
        <v>17</v>
      </c>
      <c r="K779" t="s">
        <v>34</v>
      </c>
      <c r="L779" s="1">
        <v>44501</v>
      </c>
      <c r="M779">
        <v>2021</v>
      </c>
    </row>
    <row r="780" spans="1:13" x14ac:dyDescent="0.25">
      <c r="A780" t="s">
        <v>176</v>
      </c>
      <c r="B780">
        <v>5578</v>
      </c>
      <c r="C780">
        <v>277</v>
      </c>
      <c r="D780">
        <v>16</v>
      </c>
      <c r="E780" t="s">
        <v>45</v>
      </c>
      <c r="F780" t="s">
        <v>46</v>
      </c>
      <c r="G780" t="s">
        <v>65</v>
      </c>
      <c r="H780" s="5">
        <v>44425</v>
      </c>
      <c r="I780" t="s">
        <v>177</v>
      </c>
      <c r="J780" t="s">
        <v>17</v>
      </c>
      <c r="K780" t="s">
        <v>18</v>
      </c>
      <c r="L780" s="1">
        <v>44409</v>
      </c>
      <c r="M780">
        <v>2021</v>
      </c>
    </row>
    <row r="781" spans="1:13" x14ac:dyDescent="0.25">
      <c r="A781" t="s">
        <v>192</v>
      </c>
      <c r="B781">
        <v>5704</v>
      </c>
      <c r="C781">
        <v>714</v>
      </c>
      <c r="D781">
        <v>13</v>
      </c>
      <c r="E781" t="s">
        <v>13</v>
      </c>
      <c r="F781" t="s">
        <v>39</v>
      </c>
      <c r="G781" t="s">
        <v>40</v>
      </c>
      <c r="H781" s="5">
        <v>44542</v>
      </c>
      <c r="I781" t="s">
        <v>194</v>
      </c>
      <c r="J781" t="s">
        <v>42</v>
      </c>
      <c r="K781" t="s">
        <v>75</v>
      </c>
      <c r="L781" s="1">
        <v>44531</v>
      </c>
      <c r="M781">
        <v>2021</v>
      </c>
    </row>
    <row r="782" spans="1:13" x14ac:dyDescent="0.25">
      <c r="A782" t="s">
        <v>192</v>
      </c>
      <c r="B782">
        <v>8797</v>
      </c>
      <c r="C782">
        <v>1010</v>
      </c>
      <c r="D782">
        <v>8</v>
      </c>
      <c r="E782" t="s">
        <v>45</v>
      </c>
      <c r="F782" t="s">
        <v>46</v>
      </c>
      <c r="G782" t="s">
        <v>15</v>
      </c>
      <c r="H782" s="5">
        <v>44542</v>
      </c>
      <c r="I782" t="s">
        <v>194</v>
      </c>
      <c r="J782" t="s">
        <v>42</v>
      </c>
      <c r="K782" t="s">
        <v>75</v>
      </c>
      <c r="L782" s="1">
        <v>44531</v>
      </c>
      <c r="M782">
        <v>2021</v>
      </c>
    </row>
    <row r="783" spans="1:13" x14ac:dyDescent="0.25">
      <c r="A783" t="s">
        <v>192</v>
      </c>
      <c r="B783">
        <v>9236</v>
      </c>
      <c r="C783">
        <v>2899</v>
      </c>
      <c r="D783">
        <v>5</v>
      </c>
      <c r="E783" t="s">
        <v>13</v>
      </c>
      <c r="F783" t="s">
        <v>39</v>
      </c>
      <c r="G783" t="s">
        <v>32</v>
      </c>
      <c r="H783" s="5">
        <v>44542</v>
      </c>
      <c r="I783" t="s">
        <v>194</v>
      </c>
      <c r="J783" t="s">
        <v>42</v>
      </c>
      <c r="K783" t="s">
        <v>75</v>
      </c>
      <c r="L783" s="1">
        <v>44531</v>
      </c>
      <c r="M783">
        <v>2021</v>
      </c>
    </row>
    <row r="784" spans="1:13" x14ac:dyDescent="0.25">
      <c r="A784" t="s">
        <v>200</v>
      </c>
      <c r="B784">
        <v>2478</v>
      </c>
      <c r="C784">
        <v>92</v>
      </c>
      <c r="D784">
        <v>12</v>
      </c>
      <c r="E784" t="s">
        <v>45</v>
      </c>
      <c r="F784" t="s">
        <v>109</v>
      </c>
      <c r="G784" t="s">
        <v>65</v>
      </c>
      <c r="H784" s="5">
        <v>44258</v>
      </c>
      <c r="I784" t="s">
        <v>202</v>
      </c>
      <c r="J784" t="s">
        <v>25</v>
      </c>
      <c r="K784" t="s">
        <v>51</v>
      </c>
      <c r="L784" s="1">
        <v>44256</v>
      </c>
      <c r="M784">
        <v>2021</v>
      </c>
    </row>
    <row r="785" spans="1:13" x14ac:dyDescent="0.25">
      <c r="A785" t="s">
        <v>200</v>
      </c>
      <c r="B785">
        <v>2478</v>
      </c>
      <c r="C785">
        <v>92</v>
      </c>
      <c r="D785">
        <v>12</v>
      </c>
      <c r="E785" t="s">
        <v>45</v>
      </c>
      <c r="F785" t="s">
        <v>109</v>
      </c>
      <c r="G785" t="s">
        <v>65</v>
      </c>
      <c r="H785" s="5">
        <v>44273</v>
      </c>
      <c r="I785" t="s">
        <v>203</v>
      </c>
      <c r="J785" t="s">
        <v>42</v>
      </c>
      <c r="K785" t="s">
        <v>92</v>
      </c>
      <c r="L785" s="1">
        <v>44256</v>
      </c>
      <c r="M785">
        <v>2021</v>
      </c>
    </row>
    <row r="786" spans="1:13" x14ac:dyDescent="0.25">
      <c r="A786" t="s">
        <v>205</v>
      </c>
      <c r="B786">
        <v>9992</v>
      </c>
      <c r="C786">
        <v>3696</v>
      </c>
      <c r="D786">
        <v>20</v>
      </c>
      <c r="E786" t="s">
        <v>30</v>
      </c>
      <c r="F786" t="s">
        <v>31</v>
      </c>
      <c r="G786" t="s">
        <v>32</v>
      </c>
      <c r="H786" s="5">
        <v>44478</v>
      </c>
      <c r="I786" t="s">
        <v>206</v>
      </c>
      <c r="J786" t="s">
        <v>25</v>
      </c>
      <c r="K786" t="s">
        <v>68</v>
      </c>
      <c r="L786" s="1">
        <v>44470</v>
      </c>
      <c r="M786">
        <v>2021</v>
      </c>
    </row>
    <row r="787" spans="1:13" x14ac:dyDescent="0.25">
      <c r="A787" t="s">
        <v>205</v>
      </c>
      <c r="B787">
        <v>9619</v>
      </c>
      <c r="C787">
        <v>3420</v>
      </c>
      <c r="D787">
        <v>7</v>
      </c>
      <c r="E787" t="s">
        <v>30</v>
      </c>
      <c r="F787" t="s">
        <v>78</v>
      </c>
      <c r="G787" t="s">
        <v>15</v>
      </c>
      <c r="H787" s="5">
        <v>44478</v>
      </c>
      <c r="I787" t="s">
        <v>206</v>
      </c>
      <c r="J787" t="s">
        <v>25</v>
      </c>
      <c r="K787" t="s">
        <v>68</v>
      </c>
      <c r="L787" s="1">
        <v>44470</v>
      </c>
      <c r="M787">
        <v>2021</v>
      </c>
    </row>
    <row r="788" spans="1:13" x14ac:dyDescent="0.25">
      <c r="A788" t="s">
        <v>210</v>
      </c>
      <c r="B788">
        <v>9538</v>
      </c>
      <c r="C788">
        <v>3158</v>
      </c>
      <c r="D788">
        <v>20</v>
      </c>
      <c r="E788" t="s">
        <v>13</v>
      </c>
      <c r="F788" t="s">
        <v>28</v>
      </c>
      <c r="G788" t="s">
        <v>47</v>
      </c>
      <c r="H788" s="5">
        <v>44334</v>
      </c>
      <c r="I788" t="s">
        <v>212</v>
      </c>
      <c r="J788" t="s">
        <v>98</v>
      </c>
      <c r="K788" t="s">
        <v>117</v>
      </c>
      <c r="L788" s="1">
        <v>44317</v>
      </c>
      <c r="M788">
        <v>2021</v>
      </c>
    </row>
    <row r="789" spans="1:13" x14ac:dyDescent="0.25">
      <c r="A789" t="s">
        <v>210</v>
      </c>
      <c r="B789">
        <v>9035</v>
      </c>
      <c r="C789">
        <v>1227</v>
      </c>
      <c r="D789">
        <v>14</v>
      </c>
      <c r="E789" t="s">
        <v>45</v>
      </c>
      <c r="F789" t="s">
        <v>49</v>
      </c>
      <c r="G789" t="s">
        <v>40</v>
      </c>
      <c r="H789" s="5">
        <v>44334</v>
      </c>
      <c r="I789" t="s">
        <v>212</v>
      </c>
      <c r="J789" t="s">
        <v>98</v>
      </c>
      <c r="K789" t="s">
        <v>117</v>
      </c>
      <c r="L789" s="1">
        <v>44317</v>
      </c>
      <c r="M789">
        <v>2021</v>
      </c>
    </row>
    <row r="790" spans="1:13" x14ac:dyDescent="0.25">
      <c r="A790" t="s">
        <v>219</v>
      </c>
      <c r="B790">
        <v>9768</v>
      </c>
      <c r="C790">
        <v>4518</v>
      </c>
      <c r="D790">
        <v>8</v>
      </c>
      <c r="E790" t="s">
        <v>45</v>
      </c>
      <c r="F790" t="s">
        <v>46</v>
      </c>
      <c r="G790" t="s">
        <v>47</v>
      </c>
      <c r="H790" s="5">
        <v>44526</v>
      </c>
      <c r="I790" t="s">
        <v>220</v>
      </c>
      <c r="J790" t="s">
        <v>71</v>
      </c>
      <c r="K790" t="s">
        <v>72</v>
      </c>
      <c r="L790" s="1">
        <v>44501</v>
      </c>
      <c r="M790">
        <v>2021</v>
      </c>
    </row>
    <row r="791" spans="1:13" x14ac:dyDescent="0.25">
      <c r="A791" t="s">
        <v>219</v>
      </c>
      <c r="B791">
        <v>4968</v>
      </c>
      <c r="C791">
        <v>934</v>
      </c>
      <c r="D791">
        <v>5</v>
      </c>
      <c r="E791" t="s">
        <v>45</v>
      </c>
      <c r="F791" t="s">
        <v>60</v>
      </c>
      <c r="G791" t="s">
        <v>32</v>
      </c>
      <c r="H791" s="5">
        <v>44526</v>
      </c>
      <c r="I791" t="s">
        <v>220</v>
      </c>
      <c r="J791" t="s">
        <v>71</v>
      </c>
      <c r="K791" t="s">
        <v>72</v>
      </c>
      <c r="L791" s="1">
        <v>44501</v>
      </c>
      <c r="M791">
        <v>2021</v>
      </c>
    </row>
    <row r="792" spans="1:13" x14ac:dyDescent="0.25">
      <c r="A792" t="s">
        <v>219</v>
      </c>
      <c r="B792">
        <v>1731</v>
      </c>
      <c r="C792">
        <v>149</v>
      </c>
      <c r="D792">
        <v>4</v>
      </c>
      <c r="E792" t="s">
        <v>13</v>
      </c>
      <c r="F792" t="s">
        <v>39</v>
      </c>
      <c r="G792" t="s">
        <v>40</v>
      </c>
      <c r="H792" s="5">
        <v>44526</v>
      </c>
      <c r="I792" t="s">
        <v>220</v>
      </c>
      <c r="J792" t="s">
        <v>71</v>
      </c>
      <c r="K792" t="s">
        <v>72</v>
      </c>
      <c r="L792" s="1">
        <v>44501</v>
      </c>
      <c r="M792">
        <v>2021</v>
      </c>
    </row>
    <row r="793" spans="1:13" x14ac:dyDescent="0.25">
      <c r="A793" t="s">
        <v>221</v>
      </c>
      <c r="B793">
        <v>3433</v>
      </c>
      <c r="C793">
        <v>1169</v>
      </c>
      <c r="D793">
        <v>10</v>
      </c>
      <c r="E793" t="s">
        <v>30</v>
      </c>
      <c r="F793" t="s">
        <v>78</v>
      </c>
      <c r="G793" t="s">
        <v>65</v>
      </c>
      <c r="H793" s="5">
        <v>44448</v>
      </c>
      <c r="I793" t="s">
        <v>223</v>
      </c>
      <c r="J793" t="s">
        <v>21</v>
      </c>
      <c r="K793" t="s">
        <v>63</v>
      </c>
      <c r="L793" s="1">
        <v>44440</v>
      </c>
      <c r="M793">
        <v>2021</v>
      </c>
    </row>
    <row r="794" spans="1:13" x14ac:dyDescent="0.25">
      <c r="A794" t="s">
        <v>221</v>
      </c>
      <c r="B794">
        <v>3433</v>
      </c>
      <c r="C794">
        <v>1169</v>
      </c>
      <c r="D794">
        <v>10</v>
      </c>
      <c r="E794" t="s">
        <v>30</v>
      </c>
      <c r="F794" t="s">
        <v>78</v>
      </c>
      <c r="G794" t="s">
        <v>65</v>
      </c>
      <c r="H794" s="5">
        <v>44447</v>
      </c>
      <c r="I794" t="s">
        <v>225</v>
      </c>
      <c r="J794" t="s">
        <v>42</v>
      </c>
      <c r="K794" t="s">
        <v>75</v>
      </c>
      <c r="L794" s="1">
        <v>44440</v>
      </c>
      <c r="M794">
        <v>2021</v>
      </c>
    </row>
    <row r="795" spans="1:13" x14ac:dyDescent="0.25">
      <c r="A795" t="s">
        <v>221</v>
      </c>
      <c r="B795">
        <v>3887</v>
      </c>
      <c r="C795">
        <v>1490</v>
      </c>
      <c r="D795">
        <v>1</v>
      </c>
      <c r="E795" t="s">
        <v>30</v>
      </c>
      <c r="F795" t="s">
        <v>78</v>
      </c>
      <c r="G795" t="s">
        <v>32</v>
      </c>
      <c r="H795" s="5">
        <v>44448</v>
      </c>
      <c r="I795" t="s">
        <v>223</v>
      </c>
      <c r="J795" t="s">
        <v>21</v>
      </c>
      <c r="K795" t="s">
        <v>63</v>
      </c>
      <c r="L795" s="1">
        <v>44440</v>
      </c>
      <c r="M795">
        <v>2021</v>
      </c>
    </row>
    <row r="796" spans="1:13" x14ac:dyDescent="0.25">
      <c r="A796" t="s">
        <v>221</v>
      </c>
      <c r="B796">
        <v>3887</v>
      </c>
      <c r="C796">
        <v>1490</v>
      </c>
      <c r="D796">
        <v>1</v>
      </c>
      <c r="E796" t="s">
        <v>30</v>
      </c>
      <c r="F796" t="s">
        <v>78</v>
      </c>
      <c r="G796" t="s">
        <v>32</v>
      </c>
      <c r="H796" s="5">
        <v>44447</v>
      </c>
      <c r="I796" t="s">
        <v>225</v>
      </c>
      <c r="J796" t="s">
        <v>42</v>
      </c>
      <c r="K796" t="s">
        <v>75</v>
      </c>
      <c r="L796" s="1">
        <v>44440</v>
      </c>
      <c r="M796">
        <v>2021</v>
      </c>
    </row>
    <row r="797" spans="1:13" x14ac:dyDescent="0.25">
      <c r="A797" t="s">
        <v>238</v>
      </c>
      <c r="B797">
        <v>9835</v>
      </c>
      <c r="C797">
        <v>2571</v>
      </c>
      <c r="D797">
        <v>16</v>
      </c>
      <c r="E797" t="s">
        <v>45</v>
      </c>
      <c r="F797" t="s">
        <v>46</v>
      </c>
      <c r="G797" t="s">
        <v>65</v>
      </c>
      <c r="H797" s="5">
        <v>44516</v>
      </c>
      <c r="I797" t="s">
        <v>240</v>
      </c>
      <c r="J797" t="s">
        <v>17</v>
      </c>
      <c r="K797" t="s">
        <v>34</v>
      </c>
      <c r="L797" s="1">
        <v>44501</v>
      </c>
      <c r="M797">
        <v>2021</v>
      </c>
    </row>
    <row r="798" spans="1:13" x14ac:dyDescent="0.25">
      <c r="A798" t="s">
        <v>238</v>
      </c>
      <c r="B798">
        <v>9691</v>
      </c>
      <c r="C798">
        <v>3056</v>
      </c>
      <c r="D798">
        <v>13</v>
      </c>
      <c r="E798" t="s">
        <v>30</v>
      </c>
      <c r="F798" t="s">
        <v>57</v>
      </c>
      <c r="G798" t="s">
        <v>47</v>
      </c>
      <c r="H798" s="5">
        <v>44516</v>
      </c>
      <c r="I798" t="s">
        <v>240</v>
      </c>
      <c r="J798" t="s">
        <v>17</v>
      </c>
      <c r="K798" t="s">
        <v>34</v>
      </c>
      <c r="L798" s="1">
        <v>44501</v>
      </c>
      <c r="M798">
        <v>2021</v>
      </c>
    </row>
    <row r="799" spans="1:13" x14ac:dyDescent="0.25">
      <c r="A799" t="s">
        <v>238</v>
      </c>
      <c r="B799">
        <v>7826</v>
      </c>
      <c r="C799">
        <v>1221</v>
      </c>
      <c r="D799">
        <v>14</v>
      </c>
      <c r="E799" t="s">
        <v>45</v>
      </c>
      <c r="F799" t="s">
        <v>109</v>
      </c>
      <c r="G799" t="s">
        <v>15</v>
      </c>
      <c r="H799" s="5">
        <v>44516</v>
      </c>
      <c r="I799" t="s">
        <v>240</v>
      </c>
      <c r="J799" t="s">
        <v>17</v>
      </c>
      <c r="K799" t="s">
        <v>34</v>
      </c>
      <c r="L799" s="1">
        <v>44501</v>
      </c>
      <c r="M799">
        <v>2021</v>
      </c>
    </row>
    <row r="800" spans="1:13" x14ac:dyDescent="0.25">
      <c r="A800" t="s">
        <v>242</v>
      </c>
      <c r="B800">
        <v>770</v>
      </c>
      <c r="C800">
        <v>241</v>
      </c>
      <c r="D800">
        <v>11</v>
      </c>
      <c r="E800" t="s">
        <v>45</v>
      </c>
      <c r="F800" t="s">
        <v>60</v>
      </c>
      <c r="G800" t="s">
        <v>65</v>
      </c>
      <c r="H800" s="5">
        <v>44523</v>
      </c>
      <c r="I800" t="s">
        <v>243</v>
      </c>
      <c r="J800" t="s">
        <v>71</v>
      </c>
      <c r="K800" t="s">
        <v>86</v>
      </c>
      <c r="L800" s="1">
        <v>44501</v>
      </c>
      <c r="M800">
        <v>2021</v>
      </c>
    </row>
    <row r="801" spans="1:13" x14ac:dyDescent="0.25">
      <c r="A801" t="s">
        <v>251</v>
      </c>
      <c r="B801">
        <v>9820</v>
      </c>
      <c r="C801">
        <v>793</v>
      </c>
      <c r="D801">
        <v>16</v>
      </c>
      <c r="E801" t="s">
        <v>45</v>
      </c>
      <c r="F801" t="s">
        <v>49</v>
      </c>
      <c r="G801" t="s">
        <v>47</v>
      </c>
      <c r="H801" s="5">
        <v>44437</v>
      </c>
      <c r="I801" t="s">
        <v>252</v>
      </c>
      <c r="J801" t="s">
        <v>25</v>
      </c>
      <c r="K801" t="s">
        <v>26</v>
      </c>
      <c r="L801" s="1">
        <v>44409</v>
      </c>
      <c r="M801">
        <v>2021</v>
      </c>
    </row>
    <row r="802" spans="1:13" x14ac:dyDescent="0.25">
      <c r="A802" t="s">
        <v>256</v>
      </c>
      <c r="B802">
        <v>7340</v>
      </c>
      <c r="C802">
        <v>2271</v>
      </c>
      <c r="D802">
        <v>8</v>
      </c>
      <c r="E802" t="s">
        <v>30</v>
      </c>
      <c r="F802" t="s">
        <v>64</v>
      </c>
      <c r="G802" t="s">
        <v>40</v>
      </c>
      <c r="H802" s="5">
        <v>44535</v>
      </c>
      <c r="I802" t="s">
        <v>257</v>
      </c>
      <c r="J802" t="s">
        <v>17</v>
      </c>
      <c r="K802" t="s">
        <v>34</v>
      </c>
      <c r="L802" s="1">
        <v>44531</v>
      </c>
      <c r="M802">
        <v>2021</v>
      </c>
    </row>
    <row r="803" spans="1:13" x14ac:dyDescent="0.25">
      <c r="A803" t="s">
        <v>256</v>
      </c>
      <c r="B803">
        <v>5442</v>
      </c>
      <c r="C803">
        <v>1610</v>
      </c>
      <c r="D803">
        <v>1</v>
      </c>
      <c r="E803" t="s">
        <v>13</v>
      </c>
      <c r="F803" t="s">
        <v>82</v>
      </c>
      <c r="G803" t="s">
        <v>40</v>
      </c>
      <c r="H803" s="5">
        <v>44535</v>
      </c>
      <c r="I803" t="s">
        <v>257</v>
      </c>
      <c r="J803" t="s">
        <v>17</v>
      </c>
      <c r="K803" t="s">
        <v>34</v>
      </c>
      <c r="L803" s="1">
        <v>44531</v>
      </c>
      <c r="M803">
        <v>2021</v>
      </c>
    </row>
    <row r="804" spans="1:13" x14ac:dyDescent="0.25">
      <c r="A804" t="s">
        <v>265</v>
      </c>
      <c r="B804">
        <v>9883</v>
      </c>
      <c r="C804">
        <v>4812</v>
      </c>
      <c r="D804">
        <v>16</v>
      </c>
      <c r="E804" t="s">
        <v>30</v>
      </c>
      <c r="F804" t="s">
        <v>64</v>
      </c>
      <c r="G804" t="s">
        <v>15</v>
      </c>
      <c r="H804" s="5">
        <v>44486</v>
      </c>
      <c r="I804" t="s">
        <v>268</v>
      </c>
      <c r="J804" t="s">
        <v>21</v>
      </c>
      <c r="K804" t="s">
        <v>63</v>
      </c>
      <c r="L804" s="1">
        <v>44470</v>
      </c>
      <c r="M804">
        <v>2021</v>
      </c>
    </row>
    <row r="805" spans="1:13" x14ac:dyDescent="0.25">
      <c r="A805" t="s">
        <v>265</v>
      </c>
      <c r="B805">
        <v>5210</v>
      </c>
      <c r="C805">
        <v>1185</v>
      </c>
      <c r="D805">
        <v>7</v>
      </c>
      <c r="E805" t="s">
        <v>30</v>
      </c>
      <c r="F805" t="s">
        <v>64</v>
      </c>
      <c r="G805" t="s">
        <v>15</v>
      </c>
      <c r="H805" s="5">
        <v>44486</v>
      </c>
      <c r="I805" t="s">
        <v>268</v>
      </c>
      <c r="J805" t="s">
        <v>21</v>
      </c>
      <c r="K805" t="s">
        <v>63</v>
      </c>
      <c r="L805" s="1">
        <v>44470</v>
      </c>
      <c r="M805">
        <v>2021</v>
      </c>
    </row>
    <row r="806" spans="1:13" x14ac:dyDescent="0.25">
      <c r="A806" t="s">
        <v>274</v>
      </c>
      <c r="B806">
        <v>782</v>
      </c>
      <c r="C806">
        <v>374</v>
      </c>
      <c r="D806">
        <v>8</v>
      </c>
      <c r="E806" t="s">
        <v>30</v>
      </c>
      <c r="F806" t="s">
        <v>31</v>
      </c>
      <c r="G806" t="s">
        <v>40</v>
      </c>
      <c r="H806" s="5">
        <v>44215</v>
      </c>
      <c r="I806" t="s">
        <v>275</v>
      </c>
      <c r="J806" t="s">
        <v>21</v>
      </c>
      <c r="K806" t="s">
        <v>172</v>
      </c>
      <c r="L806" s="1">
        <v>44197</v>
      </c>
      <c r="M806">
        <v>2021</v>
      </c>
    </row>
    <row r="807" spans="1:13" x14ac:dyDescent="0.25">
      <c r="A807" t="s">
        <v>274</v>
      </c>
      <c r="B807">
        <v>4371</v>
      </c>
      <c r="C807">
        <v>1852</v>
      </c>
      <c r="D807">
        <v>1</v>
      </c>
      <c r="E807" t="s">
        <v>13</v>
      </c>
      <c r="F807" t="s">
        <v>39</v>
      </c>
      <c r="G807" t="s">
        <v>15</v>
      </c>
      <c r="H807" s="5">
        <v>44215</v>
      </c>
      <c r="I807" t="s">
        <v>275</v>
      </c>
      <c r="J807" t="s">
        <v>21</v>
      </c>
      <c r="K807" t="s">
        <v>172</v>
      </c>
      <c r="L807" s="1">
        <v>44197</v>
      </c>
      <c r="M807">
        <v>2021</v>
      </c>
    </row>
    <row r="808" spans="1:13" x14ac:dyDescent="0.25">
      <c r="A808" t="s">
        <v>283</v>
      </c>
      <c r="B808">
        <v>4920</v>
      </c>
      <c r="C808">
        <v>775</v>
      </c>
      <c r="D808">
        <v>12</v>
      </c>
      <c r="E808" t="s">
        <v>45</v>
      </c>
      <c r="F808" t="s">
        <v>46</v>
      </c>
      <c r="G808" t="s">
        <v>32</v>
      </c>
      <c r="H808" s="5">
        <v>44420</v>
      </c>
      <c r="I808" t="s">
        <v>284</v>
      </c>
      <c r="J808" t="s">
        <v>21</v>
      </c>
      <c r="K808" t="s">
        <v>63</v>
      </c>
      <c r="L808" s="1">
        <v>44409</v>
      </c>
      <c r="M808">
        <v>2021</v>
      </c>
    </row>
    <row r="809" spans="1:13" x14ac:dyDescent="0.25">
      <c r="A809" t="s">
        <v>283</v>
      </c>
      <c r="B809">
        <v>9078</v>
      </c>
      <c r="C809">
        <v>2213</v>
      </c>
      <c r="D809">
        <v>15</v>
      </c>
      <c r="E809" t="s">
        <v>45</v>
      </c>
      <c r="F809" t="s">
        <v>109</v>
      </c>
      <c r="G809" t="s">
        <v>40</v>
      </c>
      <c r="H809" s="5">
        <v>44420</v>
      </c>
      <c r="I809" t="s">
        <v>284</v>
      </c>
      <c r="J809" t="s">
        <v>21</v>
      </c>
      <c r="K809" t="s">
        <v>63</v>
      </c>
      <c r="L809" s="1">
        <v>44409</v>
      </c>
      <c r="M809">
        <v>2021</v>
      </c>
    </row>
    <row r="810" spans="1:13" x14ac:dyDescent="0.25">
      <c r="A810" t="s">
        <v>289</v>
      </c>
      <c r="B810">
        <v>5047</v>
      </c>
      <c r="C810">
        <v>2211</v>
      </c>
      <c r="D810">
        <v>13</v>
      </c>
      <c r="E810" t="s">
        <v>45</v>
      </c>
      <c r="F810" t="s">
        <v>60</v>
      </c>
      <c r="G810" t="s">
        <v>40</v>
      </c>
      <c r="H810" s="5">
        <v>44231</v>
      </c>
      <c r="I810" t="s">
        <v>291</v>
      </c>
      <c r="J810" t="s">
        <v>21</v>
      </c>
      <c r="K810" t="s">
        <v>22</v>
      </c>
      <c r="L810" s="1">
        <v>44228</v>
      </c>
      <c r="M810">
        <v>2021</v>
      </c>
    </row>
    <row r="811" spans="1:13" x14ac:dyDescent="0.25">
      <c r="A811" t="s">
        <v>295</v>
      </c>
      <c r="B811">
        <v>3657</v>
      </c>
      <c r="C811">
        <v>163</v>
      </c>
      <c r="D811">
        <v>1</v>
      </c>
      <c r="E811" t="s">
        <v>45</v>
      </c>
      <c r="F811" t="s">
        <v>60</v>
      </c>
      <c r="G811" t="s">
        <v>15</v>
      </c>
      <c r="H811" s="5">
        <v>44344</v>
      </c>
      <c r="I811" t="s">
        <v>296</v>
      </c>
      <c r="J811" t="s">
        <v>42</v>
      </c>
      <c r="K811" t="s">
        <v>92</v>
      </c>
      <c r="L811" s="1">
        <v>44317</v>
      </c>
      <c r="M811">
        <v>2021</v>
      </c>
    </row>
    <row r="812" spans="1:13" x14ac:dyDescent="0.25">
      <c r="A812" t="s">
        <v>305</v>
      </c>
      <c r="B812">
        <v>7759</v>
      </c>
      <c r="C812">
        <v>3741</v>
      </c>
      <c r="D812">
        <v>17</v>
      </c>
      <c r="E812" t="s">
        <v>13</v>
      </c>
      <c r="F812" t="s">
        <v>28</v>
      </c>
      <c r="G812" t="s">
        <v>15</v>
      </c>
      <c r="H812" s="5">
        <v>44279</v>
      </c>
      <c r="I812" t="s">
        <v>306</v>
      </c>
      <c r="J812" t="s">
        <v>17</v>
      </c>
      <c r="K812" t="s">
        <v>18</v>
      </c>
      <c r="L812" s="1">
        <v>44256</v>
      </c>
      <c r="M812">
        <v>2021</v>
      </c>
    </row>
    <row r="813" spans="1:13" x14ac:dyDescent="0.25">
      <c r="A813" t="s">
        <v>305</v>
      </c>
      <c r="B813">
        <v>7521</v>
      </c>
      <c r="C813">
        <v>3457</v>
      </c>
      <c r="D813">
        <v>16</v>
      </c>
      <c r="E813" t="s">
        <v>30</v>
      </c>
      <c r="F813" t="s">
        <v>57</v>
      </c>
      <c r="G813" t="s">
        <v>32</v>
      </c>
      <c r="H813" s="5">
        <v>44279</v>
      </c>
      <c r="I813" t="s">
        <v>306</v>
      </c>
      <c r="J813" t="s">
        <v>17</v>
      </c>
      <c r="K813" t="s">
        <v>18</v>
      </c>
      <c r="L813" s="1">
        <v>44256</v>
      </c>
      <c r="M813">
        <v>2021</v>
      </c>
    </row>
    <row r="814" spans="1:13" x14ac:dyDescent="0.25">
      <c r="A814" t="s">
        <v>309</v>
      </c>
      <c r="B814">
        <v>9704</v>
      </c>
      <c r="C814">
        <v>4339</v>
      </c>
      <c r="D814">
        <v>12</v>
      </c>
      <c r="E814" t="s">
        <v>30</v>
      </c>
      <c r="F814" t="s">
        <v>31</v>
      </c>
      <c r="G814" t="s">
        <v>65</v>
      </c>
      <c r="H814" s="5">
        <v>44261</v>
      </c>
      <c r="I814" t="s">
        <v>310</v>
      </c>
      <c r="J814" t="s">
        <v>71</v>
      </c>
      <c r="K814" t="s">
        <v>138</v>
      </c>
      <c r="L814" s="1">
        <v>44256</v>
      </c>
      <c r="M814">
        <v>2021</v>
      </c>
    </row>
    <row r="815" spans="1:13" x14ac:dyDescent="0.25">
      <c r="A815" t="s">
        <v>309</v>
      </c>
      <c r="B815">
        <v>4948</v>
      </c>
      <c r="C815">
        <v>2356</v>
      </c>
      <c r="D815">
        <v>18</v>
      </c>
      <c r="E815" t="s">
        <v>13</v>
      </c>
      <c r="F815" t="s">
        <v>28</v>
      </c>
      <c r="G815" t="s">
        <v>32</v>
      </c>
      <c r="H815" s="5">
        <v>44261</v>
      </c>
      <c r="I815" t="s">
        <v>310</v>
      </c>
      <c r="J815" t="s">
        <v>71</v>
      </c>
      <c r="K815" t="s">
        <v>138</v>
      </c>
      <c r="L815" s="1">
        <v>44256</v>
      </c>
      <c r="M815">
        <v>2021</v>
      </c>
    </row>
    <row r="816" spans="1:13" x14ac:dyDescent="0.25">
      <c r="A816" t="s">
        <v>309</v>
      </c>
      <c r="B816">
        <v>6435</v>
      </c>
      <c r="C816">
        <v>334</v>
      </c>
      <c r="D816">
        <v>10</v>
      </c>
      <c r="E816" t="s">
        <v>13</v>
      </c>
      <c r="F816" t="s">
        <v>14</v>
      </c>
      <c r="G816" t="s">
        <v>32</v>
      </c>
      <c r="H816" s="5">
        <v>44261</v>
      </c>
      <c r="I816" t="s">
        <v>310</v>
      </c>
      <c r="J816" t="s">
        <v>71</v>
      </c>
      <c r="K816" t="s">
        <v>138</v>
      </c>
      <c r="L816" s="1">
        <v>44256</v>
      </c>
      <c r="M816">
        <v>2021</v>
      </c>
    </row>
    <row r="817" spans="1:13" x14ac:dyDescent="0.25">
      <c r="A817" t="s">
        <v>317</v>
      </c>
      <c r="B817">
        <v>6447</v>
      </c>
      <c r="C817">
        <v>3079</v>
      </c>
      <c r="D817">
        <v>20</v>
      </c>
      <c r="E817" t="s">
        <v>13</v>
      </c>
      <c r="F817" t="s">
        <v>39</v>
      </c>
      <c r="G817" t="s">
        <v>65</v>
      </c>
      <c r="H817" s="5">
        <v>44280</v>
      </c>
      <c r="I817" t="s">
        <v>318</v>
      </c>
      <c r="J817" t="s">
        <v>25</v>
      </c>
      <c r="K817" t="s">
        <v>68</v>
      </c>
      <c r="L817" s="1">
        <v>44256</v>
      </c>
      <c r="M817">
        <v>2021</v>
      </c>
    </row>
    <row r="818" spans="1:13" x14ac:dyDescent="0.25">
      <c r="A818" t="s">
        <v>317</v>
      </c>
      <c r="B818">
        <v>8947</v>
      </c>
      <c r="C818">
        <v>2807</v>
      </c>
      <c r="D818">
        <v>6</v>
      </c>
      <c r="E818" t="s">
        <v>13</v>
      </c>
      <c r="F818" t="s">
        <v>14</v>
      </c>
      <c r="G818" t="s">
        <v>47</v>
      </c>
      <c r="H818" s="5">
        <v>44280</v>
      </c>
      <c r="I818" t="s">
        <v>318</v>
      </c>
      <c r="J818" t="s">
        <v>25</v>
      </c>
      <c r="K818" t="s">
        <v>68</v>
      </c>
      <c r="L818" s="1">
        <v>44256</v>
      </c>
      <c r="M818">
        <v>2021</v>
      </c>
    </row>
    <row r="819" spans="1:13" x14ac:dyDescent="0.25">
      <c r="A819" t="s">
        <v>319</v>
      </c>
      <c r="B819">
        <v>914</v>
      </c>
      <c r="C819">
        <v>400</v>
      </c>
      <c r="D819">
        <v>8</v>
      </c>
      <c r="E819" t="s">
        <v>30</v>
      </c>
      <c r="F819" t="s">
        <v>31</v>
      </c>
      <c r="G819" t="s">
        <v>32</v>
      </c>
      <c r="H819" s="5">
        <v>44199</v>
      </c>
      <c r="I819" t="s">
        <v>320</v>
      </c>
      <c r="J819" t="s">
        <v>42</v>
      </c>
      <c r="K819" t="s">
        <v>43</v>
      </c>
      <c r="L819" s="1">
        <v>44197</v>
      </c>
      <c r="M819">
        <v>2021</v>
      </c>
    </row>
    <row r="820" spans="1:13" x14ac:dyDescent="0.25">
      <c r="A820" t="s">
        <v>319</v>
      </c>
      <c r="B820">
        <v>1548</v>
      </c>
      <c r="C820">
        <v>666</v>
      </c>
      <c r="D820">
        <v>3</v>
      </c>
      <c r="E820" t="s">
        <v>30</v>
      </c>
      <c r="F820" t="s">
        <v>64</v>
      </c>
      <c r="G820" t="s">
        <v>47</v>
      </c>
      <c r="H820" s="5">
        <v>44199</v>
      </c>
      <c r="I820" t="s">
        <v>320</v>
      </c>
      <c r="J820" t="s">
        <v>42</v>
      </c>
      <c r="K820" t="s">
        <v>43</v>
      </c>
      <c r="L820" s="1">
        <v>44197</v>
      </c>
      <c r="M820">
        <v>2021</v>
      </c>
    </row>
    <row r="821" spans="1:13" x14ac:dyDescent="0.25">
      <c r="A821" t="s">
        <v>349</v>
      </c>
      <c r="B821">
        <v>2962</v>
      </c>
      <c r="C821">
        <v>1470</v>
      </c>
      <c r="D821">
        <v>1</v>
      </c>
      <c r="E821" t="s">
        <v>13</v>
      </c>
      <c r="F821" t="s">
        <v>82</v>
      </c>
      <c r="G821" t="s">
        <v>65</v>
      </c>
      <c r="H821" s="5">
        <v>44328</v>
      </c>
      <c r="I821" t="s">
        <v>350</v>
      </c>
      <c r="J821" t="s">
        <v>25</v>
      </c>
      <c r="K821" t="s">
        <v>26</v>
      </c>
      <c r="L821" s="1">
        <v>44317</v>
      </c>
      <c r="M821">
        <v>2021</v>
      </c>
    </row>
    <row r="822" spans="1:13" x14ac:dyDescent="0.25">
      <c r="A822" t="s">
        <v>349</v>
      </c>
      <c r="B822">
        <v>7131</v>
      </c>
      <c r="C822">
        <v>718</v>
      </c>
      <c r="D822">
        <v>12</v>
      </c>
      <c r="E822" t="s">
        <v>13</v>
      </c>
      <c r="F822" t="s">
        <v>28</v>
      </c>
      <c r="G822" t="s">
        <v>15</v>
      </c>
      <c r="H822" s="5">
        <v>44328</v>
      </c>
      <c r="I822" t="s">
        <v>350</v>
      </c>
      <c r="J822" t="s">
        <v>25</v>
      </c>
      <c r="K822" t="s">
        <v>26</v>
      </c>
      <c r="L822" s="1">
        <v>44317</v>
      </c>
      <c r="M822">
        <v>2021</v>
      </c>
    </row>
    <row r="823" spans="1:13" x14ac:dyDescent="0.25">
      <c r="A823" t="s">
        <v>349</v>
      </c>
      <c r="B823">
        <v>4200</v>
      </c>
      <c r="C823">
        <v>855</v>
      </c>
      <c r="D823">
        <v>10</v>
      </c>
      <c r="E823" t="s">
        <v>30</v>
      </c>
      <c r="F823" t="s">
        <v>57</v>
      </c>
      <c r="G823" t="s">
        <v>40</v>
      </c>
      <c r="H823" s="5">
        <v>44328</v>
      </c>
      <c r="I823" t="s">
        <v>350</v>
      </c>
      <c r="J823" t="s">
        <v>25</v>
      </c>
      <c r="K823" t="s">
        <v>26</v>
      </c>
      <c r="L823" s="1">
        <v>44317</v>
      </c>
      <c r="M823">
        <v>2021</v>
      </c>
    </row>
    <row r="824" spans="1:13" x14ac:dyDescent="0.25">
      <c r="A824" t="s">
        <v>371</v>
      </c>
      <c r="B824">
        <v>3348</v>
      </c>
      <c r="C824">
        <v>568</v>
      </c>
      <c r="D824">
        <v>5</v>
      </c>
      <c r="E824" t="s">
        <v>30</v>
      </c>
      <c r="F824" t="s">
        <v>57</v>
      </c>
      <c r="G824" t="s">
        <v>47</v>
      </c>
      <c r="H824" s="5">
        <v>44316</v>
      </c>
      <c r="I824" t="s">
        <v>373</v>
      </c>
      <c r="J824" t="s">
        <v>25</v>
      </c>
      <c r="K824" t="s">
        <v>68</v>
      </c>
      <c r="L824" s="1">
        <v>44287</v>
      </c>
      <c r="M824">
        <v>2021</v>
      </c>
    </row>
    <row r="825" spans="1:13" x14ac:dyDescent="0.25">
      <c r="A825" t="s">
        <v>371</v>
      </c>
      <c r="B825">
        <v>8856</v>
      </c>
      <c r="C825">
        <v>2020</v>
      </c>
      <c r="D825">
        <v>9</v>
      </c>
      <c r="E825" t="s">
        <v>30</v>
      </c>
      <c r="F825" t="s">
        <v>31</v>
      </c>
      <c r="G825" t="s">
        <v>32</v>
      </c>
      <c r="H825" s="5">
        <v>44316</v>
      </c>
      <c r="I825" t="s">
        <v>373</v>
      </c>
      <c r="J825" t="s">
        <v>25</v>
      </c>
      <c r="K825" t="s">
        <v>68</v>
      </c>
      <c r="L825" s="1">
        <v>44287</v>
      </c>
      <c r="M825">
        <v>2021</v>
      </c>
    </row>
    <row r="826" spans="1:13" x14ac:dyDescent="0.25">
      <c r="A826" t="s">
        <v>374</v>
      </c>
      <c r="B826">
        <v>1760</v>
      </c>
      <c r="C826">
        <v>619</v>
      </c>
      <c r="D826">
        <v>16</v>
      </c>
      <c r="E826" t="s">
        <v>45</v>
      </c>
      <c r="F826" t="s">
        <v>60</v>
      </c>
      <c r="G826" t="s">
        <v>32</v>
      </c>
      <c r="H826" s="5">
        <v>44454</v>
      </c>
      <c r="I826" t="s">
        <v>375</v>
      </c>
      <c r="J826" t="s">
        <v>98</v>
      </c>
      <c r="K826" t="s">
        <v>99</v>
      </c>
      <c r="L826" s="1">
        <v>44440</v>
      </c>
      <c r="M826">
        <v>2021</v>
      </c>
    </row>
    <row r="827" spans="1:13" x14ac:dyDescent="0.25">
      <c r="A827" t="s">
        <v>374</v>
      </c>
      <c r="B827">
        <v>6351</v>
      </c>
      <c r="C827">
        <v>986</v>
      </c>
      <c r="D827">
        <v>15</v>
      </c>
      <c r="E827" t="s">
        <v>13</v>
      </c>
      <c r="F827" t="s">
        <v>28</v>
      </c>
      <c r="G827" t="s">
        <v>15</v>
      </c>
      <c r="H827" s="5">
        <v>44454</v>
      </c>
      <c r="I827" t="s">
        <v>375</v>
      </c>
      <c r="J827" t="s">
        <v>98</v>
      </c>
      <c r="K827" t="s">
        <v>99</v>
      </c>
      <c r="L827" s="1">
        <v>44440</v>
      </c>
      <c r="M827">
        <v>2021</v>
      </c>
    </row>
    <row r="828" spans="1:13" x14ac:dyDescent="0.25">
      <c r="A828" t="s">
        <v>377</v>
      </c>
      <c r="B828">
        <v>869</v>
      </c>
      <c r="C828">
        <v>373</v>
      </c>
      <c r="D828">
        <v>14</v>
      </c>
      <c r="E828" t="s">
        <v>30</v>
      </c>
      <c r="F828" t="s">
        <v>64</v>
      </c>
      <c r="G828" t="s">
        <v>47</v>
      </c>
      <c r="H828" s="5">
        <v>44385</v>
      </c>
      <c r="I828" t="s">
        <v>378</v>
      </c>
      <c r="J828" t="s">
        <v>25</v>
      </c>
      <c r="K828" t="s">
        <v>51</v>
      </c>
      <c r="L828" s="1">
        <v>44378</v>
      </c>
      <c r="M828">
        <v>2021</v>
      </c>
    </row>
    <row r="829" spans="1:13" x14ac:dyDescent="0.25">
      <c r="A829" t="s">
        <v>377</v>
      </c>
      <c r="B829">
        <v>1486</v>
      </c>
      <c r="C829">
        <v>114</v>
      </c>
      <c r="D829">
        <v>7</v>
      </c>
      <c r="E829" t="s">
        <v>45</v>
      </c>
      <c r="F829" t="s">
        <v>109</v>
      </c>
      <c r="G829" t="s">
        <v>15</v>
      </c>
      <c r="H829" s="5">
        <v>44385</v>
      </c>
      <c r="I829" t="s">
        <v>378</v>
      </c>
      <c r="J829" t="s">
        <v>25</v>
      </c>
      <c r="K829" t="s">
        <v>51</v>
      </c>
      <c r="L829" s="1">
        <v>44378</v>
      </c>
      <c r="M829">
        <v>2021</v>
      </c>
    </row>
    <row r="830" spans="1:13" x14ac:dyDescent="0.25">
      <c r="A830" t="s">
        <v>402</v>
      </c>
      <c r="B830">
        <v>1281</v>
      </c>
      <c r="C830">
        <v>340</v>
      </c>
      <c r="D830">
        <v>3</v>
      </c>
      <c r="E830" t="s">
        <v>13</v>
      </c>
      <c r="F830" t="s">
        <v>14</v>
      </c>
      <c r="G830" t="s">
        <v>32</v>
      </c>
      <c r="H830" s="5">
        <v>44561</v>
      </c>
      <c r="I830" t="s">
        <v>403</v>
      </c>
      <c r="J830" t="s">
        <v>71</v>
      </c>
      <c r="K830" t="s">
        <v>86</v>
      </c>
      <c r="L830" s="1">
        <v>44531</v>
      </c>
      <c r="M830">
        <v>2021</v>
      </c>
    </row>
    <row r="831" spans="1:13" x14ac:dyDescent="0.25">
      <c r="A831" t="s">
        <v>402</v>
      </c>
      <c r="B831">
        <v>2404</v>
      </c>
      <c r="C831">
        <v>253</v>
      </c>
      <c r="D831">
        <v>15</v>
      </c>
      <c r="E831" t="s">
        <v>13</v>
      </c>
      <c r="F831" t="s">
        <v>39</v>
      </c>
      <c r="G831" t="s">
        <v>65</v>
      </c>
      <c r="H831" s="5">
        <v>44561</v>
      </c>
      <c r="I831" t="s">
        <v>403</v>
      </c>
      <c r="J831" t="s">
        <v>71</v>
      </c>
      <c r="K831" t="s">
        <v>86</v>
      </c>
      <c r="L831" s="1">
        <v>44531</v>
      </c>
      <c r="M831">
        <v>2021</v>
      </c>
    </row>
    <row r="832" spans="1:13" x14ac:dyDescent="0.25">
      <c r="A832" t="s">
        <v>410</v>
      </c>
      <c r="B832">
        <v>9204</v>
      </c>
      <c r="C832">
        <v>3289</v>
      </c>
      <c r="D832">
        <v>16</v>
      </c>
      <c r="E832" t="s">
        <v>13</v>
      </c>
      <c r="F832" t="s">
        <v>39</v>
      </c>
      <c r="G832" t="s">
        <v>47</v>
      </c>
      <c r="H832" s="5">
        <v>44362</v>
      </c>
      <c r="I832" t="s">
        <v>412</v>
      </c>
      <c r="J832" t="s">
        <v>17</v>
      </c>
      <c r="K832" t="s">
        <v>18</v>
      </c>
      <c r="L832" s="1">
        <v>44348</v>
      </c>
      <c r="M832">
        <v>2021</v>
      </c>
    </row>
    <row r="833" spans="1:13" x14ac:dyDescent="0.25">
      <c r="A833" t="s">
        <v>410</v>
      </c>
      <c r="B833">
        <v>9894</v>
      </c>
      <c r="C833">
        <v>3698</v>
      </c>
      <c r="D833">
        <v>20</v>
      </c>
      <c r="E833" t="s">
        <v>30</v>
      </c>
      <c r="F833" t="s">
        <v>64</v>
      </c>
      <c r="G833" t="s">
        <v>40</v>
      </c>
      <c r="H833" s="5">
        <v>44362</v>
      </c>
      <c r="I833" t="s">
        <v>412</v>
      </c>
      <c r="J833" t="s">
        <v>17</v>
      </c>
      <c r="K833" t="s">
        <v>18</v>
      </c>
      <c r="L833" s="1">
        <v>44348</v>
      </c>
      <c r="M833">
        <v>2021</v>
      </c>
    </row>
    <row r="834" spans="1:13" x14ac:dyDescent="0.25">
      <c r="A834" t="s">
        <v>421</v>
      </c>
      <c r="B834">
        <v>7560</v>
      </c>
      <c r="C834">
        <v>821</v>
      </c>
      <c r="D834">
        <v>4</v>
      </c>
      <c r="E834" t="s">
        <v>30</v>
      </c>
      <c r="F834" t="s">
        <v>64</v>
      </c>
      <c r="G834" t="s">
        <v>40</v>
      </c>
      <c r="H834" s="5">
        <v>44473</v>
      </c>
      <c r="I834" t="s">
        <v>422</v>
      </c>
      <c r="J834" t="s">
        <v>21</v>
      </c>
      <c r="K834" t="s">
        <v>22</v>
      </c>
      <c r="L834" s="1">
        <v>44470</v>
      </c>
      <c r="M834">
        <v>2021</v>
      </c>
    </row>
    <row r="835" spans="1:13" x14ac:dyDescent="0.25">
      <c r="A835" t="s">
        <v>423</v>
      </c>
      <c r="B835">
        <v>1314</v>
      </c>
      <c r="C835">
        <v>490</v>
      </c>
      <c r="D835">
        <v>16</v>
      </c>
      <c r="E835" t="s">
        <v>45</v>
      </c>
      <c r="F835" t="s">
        <v>60</v>
      </c>
      <c r="G835" t="s">
        <v>15</v>
      </c>
      <c r="H835" s="5">
        <v>44520</v>
      </c>
      <c r="I835" t="s">
        <v>424</v>
      </c>
      <c r="J835" t="s">
        <v>25</v>
      </c>
      <c r="K835" t="s">
        <v>26</v>
      </c>
      <c r="L835" s="1">
        <v>44501</v>
      </c>
      <c r="M835">
        <v>2021</v>
      </c>
    </row>
    <row r="836" spans="1:13" x14ac:dyDescent="0.25">
      <c r="A836" t="s">
        <v>423</v>
      </c>
      <c r="B836">
        <v>4390</v>
      </c>
      <c r="C836">
        <v>179</v>
      </c>
      <c r="D836">
        <v>1</v>
      </c>
      <c r="E836" t="s">
        <v>45</v>
      </c>
      <c r="F836" t="s">
        <v>46</v>
      </c>
      <c r="G836" t="s">
        <v>32</v>
      </c>
      <c r="H836" s="5">
        <v>44520</v>
      </c>
      <c r="I836" t="s">
        <v>424</v>
      </c>
      <c r="J836" t="s">
        <v>25</v>
      </c>
      <c r="K836" t="s">
        <v>26</v>
      </c>
      <c r="L836" s="1">
        <v>44501</v>
      </c>
      <c r="M836">
        <v>2021</v>
      </c>
    </row>
    <row r="837" spans="1:13" x14ac:dyDescent="0.25">
      <c r="A837" t="s">
        <v>423</v>
      </c>
      <c r="B837">
        <v>1150</v>
      </c>
      <c r="C837">
        <v>58</v>
      </c>
      <c r="D837">
        <v>7</v>
      </c>
      <c r="E837" t="s">
        <v>30</v>
      </c>
      <c r="F837" t="s">
        <v>78</v>
      </c>
      <c r="G837" t="s">
        <v>32</v>
      </c>
      <c r="H837" s="5">
        <v>44520</v>
      </c>
      <c r="I837" t="s">
        <v>424</v>
      </c>
      <c r="J837" t="s">
        <v>25</v>
      </c>
      <c r="K837" t="s">
        <v>26</v>
      </c>
      <c r="L837" s="1">
        <v>44501</v>
      </c>
      <c r="M837">
        <v>2021</v>
      </c>
    </row>
    <row r="838" spans="1:13" x14ac:dyDescent="0.25">
      <c r="A838" t="s">
        <v>443</v>
      </c>
      <c r="B838">
        <v>2791</v>
      </c>
      <c r="C838">
        <v>894</v>
      </c>
      <c r="D838">
        <v>14</v>
      </c>
      <c r="E838" t="s">
        <v>13</v>
      </c>
      <c r="F838" t="s">
        <v>39</v>
      </c>
      <c r="G838" t="s">
        <v>65</v>
      </c>
      <c r="H838" s="5">
        <v>44236</v>
      </c>
      <c r="I838" t="s">
        <v>446</v>
      </c>
      <c r="J838" t="s">
        <v>71</v>
      </c>
      <c r="K838" t="s">
        <v>72</v>
      </c>
      <c r="L838" s="1">
        <v>44228</v>
      </c>
      <c r="M838">
        <v>2021</v>
      </c>
    </row>
    <row r="839" spans="1:13" x14ac:dyDescent="0.25">
      <c r="A839" t="s">
        <v>443</v>
      </c>
      <c r="B839">
        <v>6223</v>
      </c>
      <c r="C839">
        <v>1478</v>
      </c>
      <c r="D839">
        <v>3</v>
      </c>
      <c r="E839" t="s">
        <v>45</v>
      </c>
      <c r="F839" t="s">
        <v>60</v>
      </c>
      <c r="G839" t="s">
        <v>32</v>
      </c>
      <c r="H839" s="5">
        <v>44236</v>
      </c>
      <c r="I839" t="s">
        <v>446</v>
      </c>
      <c r="J839" t="s">
        <v>71</v>
      </c>
      <c r="K839" t="s">
        <v>72</v>
      </c>
      <c r="L839" s="1">
        <v>44228</v>
      </c>
      <c r="M839">
        <v>2021</v>
      </c>
    </row>
    <row r="840" spans="1:13" x14ac:dyDescent="0.25">
      <c r="A840" t="s">
        <v>443</v>
      </c>
      <c r="B840">
        <v>8943</v>
      </c>
      <c r="C840">
        <v>3121</v>
      </c>
      <c r="D840">
        <v>17</v>
      </c>
      <c r="E840" t="s">
        <v>45</v>
      </c>
      <c r="F840" t="s">
        <v>49</v>
      </c>
      <c r="G840" t="s">
        <v>32</v>
      </c>
      <c r="H840" s="5">
        <v>44236</v>
      </c>
      <c r="I840" t="s">
        <v>446</v>
      </c>
      <c r="J840" t="s">
        <v>71</v>
      </c>
      <c r="K840" t="s">
        <v>72</v>
      </c>
      <c r="L840" s="1">
        <v>44228</v>
      </c>
      <c r="M840">
        <v>2021</v>
      </c>
    </row>
    <row r="841" spans="1:13" x14ac:dyDescent="0.25">
      <c r="A841" t="s">
        <v>443</v>
      </c>
      <c r="B841">
        <v>3297</v>
      </c>
      <c r="C841">
        <v>102</v>
      </c>
      <c r="D841">
        <v>12</v>
      </c>
      <c r="E841" t="s">
        <v>13</v>
      </c>
      <c r="F841" t="s">
        <v>82</v>
      </c>
      <c r="G841" t="s">
        <v>47</v>
      </c>
      <c r="H841" s="5">
        <v>44236</v>
      </c>
      <c r="I841" t="s">
        <v>446</v>
      </c>
      <c r="J841" t="s">
        <v>71</v>
      </c>
      <c r="K841" t="s">
        <v>72</v>
      </c>
      <c r="L841" s="1">
        <v>44228</v>
      </c>
      <c r="M841">
        <v>2021</v>
      </c>
    </row>
    <row r="842" spans="1:13" x14ac:dyDescent="0.25">
      <c r="A842" t="s">
        <v>455</v>
      </c>
      <c r="B842">
        <v>9905</v>
      </c>
      <c r="C842">
        <v>633</v>
      </c>
      <c r="D842">
        <v>17</v>
      </c>
      <c r="E842" t="s">
        <v>30</v>
      </c>
      <c r="F842" t="s">
        <v>31</v>
      </c>
      <c r="G842" t="s">
        <v>40</v>
      </c>
      <c r="H842" s="5">
        <v>44395</v>
      </c>
      <c r="I842" t="s">
        <v>456</v>
      </c>
      <c r="J842" t="s">
        <v>71</v>
      </c>
      <c r="K842" t="s">
        <v>72</v>
      </c>
      <c r="L842" s="1">
        <v>44378</v>
      </c>
      <c r="M842">
        <v>2021</v>
      </c>
    </row>
    <row r="843" spans="1:13" x14ac:dyDescent="0.25">
      <c r="A843" t="s">
        <v>455</v>
      </c>
      <c r="B843">
        <v>9905</v>
      </c>
      <c r="C843">
        <v>633</v>
      </c>
      <c r="D843">
        <v>17</v>
      </c>
      <c r="E843" t="s">
        <v>30</v>
      </c>
      <c r="F843" t="s">
        <v>31</v>
      </c>
      <c r="G843" t="s">
        <v>40</v>
      </c>
      <c r="H843" s="5">
        <v>44471</v>
      </c>
      <c r="I843" t="s">
        <v>457</v>
      </c>
      <c r="J843" t="s">
        <v>17</v>
      </c>
      <c r="K843" t="s">
        <v>150</v>
      </c>
      <c r="L843" s="1">
        <v>44470</v>
      </c>
      <c r="M843">
        <v>2021</v>
      </c>
    </row>
    <row r="844" spans="1:13" x14ac:dyDescent="0.25">
      <c r="A844" t="s">
        <v>460</v>
      </c>
      <c r="B844">
        <v>3423</v>
      </c>
      <c r="C844">
        <v>804</v>
      </c>
      <c r="D844">
        <v>4</v>
      </c>
      <c r="E844" t="s">
        <v>13</v>
      </c>
      <c r="F844" t="s">
        <v>28</v>
      </c>
      <c r="G844" t="s">
        <v>47</v>
      </c>
      <c r="H844" s="5">
        <v>44513</v>
      </c>
      <c r="I844" t="s">
        <v>466</v>
      </c>
      <c r="J844" t="s">
        <v>98</v>
      </c>
      <c r="K844" t="s">
        <v>107</v>
      </c>
      <c r="L844" s="1">
        <v>44501</v>
      </c>
      <c r="M844">
        <v>2021</v>
      </c>
    </row>
    <row r="845" spans="1:13" x14ac:dyDescent="0.25">
      <c r="A845" t="s">
        <v>469</v>
      </c>
      <c r="B845">
        <v>8568</v>
      </c>
      <c r="C845">
        <v>2419</v>
      </c>
      <c r="D845">
        <v>11</v>
      </c>
      <c r="E845" t="s">
        <v>13</v>
      </c>
      <c r="F845" t="s">
        <v>14</v>
      </c>
      <c r="G845" t="s">
        <v>15</v>
      </c>
      <c r="H845" s="5">
        <v>44492</v>
      </c>
      <c r="I845" t="s">
        <v>470</v>
      </c>
      <c r="J845" t="s">
        <v>25</v>
      </c>
      <c r="K845" t="s">
        <v>68</v>
      </c>
      <c r="L845" s="1">
        <v>44470</v>
      </c>
      <c r="M845">
        <v>2021</v>
      </c>
    </row>
    <row r="846" spans="1:13" x14ac:dyDescent="0.25">
      <c r="A846" t="s">
        <v>469</v>
      </c>
      <c r="B846">
        <v>3283</v>
      </c>
      <c r="C846">
        <v>71</v>
      </c>
      <c r="D846">
        <v>6</v>
      </c>
      <c r="E846" t="s">
        <v>30</v>
      </c>
      <c r="F846" t="s">
        <v>31</v>
      </c>
      <c r="G846" t="s">
        <v>40</v>
      </c>
      <c r="H846" s="5">
        <v>44492</v>
      </c>
      <c r="I846" t="s">
        <v>470</v>
      </c>
      <c r="J846" t="s">
        <v>25</v>
      </c>
      <c r="K846" t="s">
        <v>68</v>
      </c>
      <c r="L846" s="1">
        <v>44470</v>
      </c>
      <c r="M846">
        <v>2021</v>
      </c>
    </row>
    <row r="847" spans="1:13" x14ac:dyDescent="0.25">
      <c r="A847" t="s">
        <v>512</v>
      </c>
      <c r="B847">
        <v>2539</v>
      </c>
      <c r="C847">
        <v>324</v>
      </c>
      <c r="D847">
        <v>5</v>
      </c>
      <c r="E847" t="s">
        <v>13</v>
      </c>
      <c r="F847" t="s">
        <v>14</v>
      </c>
      <c r="G847" t="s">
        <v>15</v>
      </c>
      <c r="H847" s="5">
        <v>44226</v>
      </c>
      <c r="I847" t="s">
        <v>513</v>
      </c>
      <c r="J847" t="s">
        <v>42</v>
      </c>
      <c r="K847" t="s">
        <v>92</v>
      </c>
      <c r="L847" s="1">
        <v>44197</v>
      </c>
      <c r="M847">
        <v>2021</v>
      </c>
    </row>
    <row r="848" spans="1:13" x14ac:dyDescent="0.25">
      <c r="A848" t="s">
        <v>516</v>
      </c>
      <c r="B848">
        <v>2901</v>
      </c>
      <c r="C848">
        <v>1411</v>
      </c>
      <c r="D848">
        <v>2</v>
      </c>
      <c r="E848" t="s">
        <v>30</v>
      </c>
      <c r="F848" t="s">
        <v>64</v>
      </c>
      <c r="G848" t="s">
        <v>32</v>
      </c>
      <c r="H848" s="5">
        <v>44495</v>
      </c>
      <c r="I848" t="s">
        <v>517</v>
      </c>
      <c r="J848" t="s">
        <v>71</v>
      </c>
      <c r="K848" t="s">
        <v>86</v>
      </c>
      <c r="L848" s="1">
        <v>44470</v>
      </c>
      <c r="M848">
        <v>2021</v>
      </c>
    </row>
    <row r="849" spans="1:13" x14ac:dyDescent="0.25">
      <c r="A849" t="s">
        <v>516</v>
      </c>
      <c r="B849">
        <v>6934</v>
      </c>
      <c r="C849">
        <v>1152</v>
      </c>
      <c r="D849">
        <v>6</v>
      </c>
      <c r="E849" t="s">
        <v>30</v>
      </c>
      <c r="F849" t="s">
        <v>31</v>
      </c>
      <c r="G849" t="s">
        <v>47</v>
      </c>
      <c r="H849" s="5">
        <v>44495</v>
      </c>
      <c r="I849" t="s">
        <v>517</v>
      </c>
      <c r="J849" t="s">
        <v>71</v>
      </c>
      <c r="K849" t="s">
        <v>86</v>
      </c>
      <c r="L849" s="1">
        <v>44470</v>
      </c>
      <c r="M849">
        <v>2021</v>
      </c>
    </row>
    <row r="850" spans="1:13" x14ac:dyDescent="0.25">
      <c r="A850" t="s">
        <v>519</v>
      </c>
      <c r="B850">
        <v>9640</v>
      </c>
      <c r="C850">
        <v>2606</v>
      </c>
      <c r="D850">
        <v>2</v>
      </c>
      <c r="E850" t="s">
        <v>45</v>
      </c>
      <c r="F850" t="s">
        <v>109</v>
      </c>
      <c r="G850" t="s">
        <v>47</v>
      </c>
      <c r="H850" s="5">
        <v>44500</v>
      </c>
      <c r="I850" t="s">
        <v>520</v>
      </c>
      <c r="J850" t="s">
        <v>21</v>
      </c>
      <c r="K850" t="s">
        <v>172</v>
      </c>
      <c r="L850" s="1">
        <v>44470</v>
      </c>
      <c r="M850">
        <v>2021</v>
      </c>
    </row>
    <row r="851" spans="1:13" x14ac:dyDescent="0.25">
      <c r="A851" t="s">
        <v>541</v>
      </c>
      <c r="B851">
        <v>7838</v>
      </c>
      <c r="C851">
        <v>1142</v>
      </c>
      <c r="D851">
        <v>13</v>
      </c>
      <c r="E851" t="s">
        <v>13</v>
      </c>
      <c r="F851" t="s">
        <v>82</v>
      </c>
      <c r="G851" t="s">
        <v>15</v>
      </c>
      <c r="H851" s="5">
        <v>44245</v>
      </c>
      <c r="I851" t="s">
        <v>542</v>
      </c>
      <c r="J851" t="s">
        <v>42</v>
      </c>
      <c r="K851" t="s">
        <v>92</v>
      </c>
      <c r="L851" s="1">
        <v>44228</v>
      </c>
      <c r="M851">
        <v>2021</v>
      </c>
    </row>
    <row r="852" spans="1:13" x14ac:dyDescent="0.25">
      <c r="A852" t="s">
        <v>541</v>
      </c>
      <c r="B852">
        <v>9300</v>
      </c>
      <c r="C852">
        <v>3146</v>
      </c>
      <c r="D852">
        <v>6</v>
      </c>
      <c r="E852" t="s">
        <v>13</v>
      </c>
      <c r="F852" t="s">
        <v>82</v>
      </c>
      <c r="G852" t="s">
        <v>47</v>
      </c>
      <c r="H852" s="5">
        <v>44245</v>
      </c>
      <c r="I852" t="s">
        <v>542</v>
      </c>
      <c r="J852" t="s">
        <v>42</v>
      </c>
      <c r="K852" t="s">
        <v>92</v>
      </c>
      <c r="L852" s="1">
        <v>44228</v>
      </c>
      <c r="M852">
        <v>2021</v>
      </c>
    </row>
    <row r="853" spans="1:13" x14ac:dyDescent="0.25">
      <c r="A853" t="s">
        <v>541</v>
      </c>
      <c r="B853">
        <v>1733</v>
      </c>
      <c r="C853">
        <v>133</v>
      </c>
      <c r="D853">
        <v>17</v>
      </c>
      <c r="E853" t="s">
        <v>30</v>
      </c>
      <c r="F853" t="s">
        <v>64</v>
      </c>
      <c r="G853" t="s">
        <v>32</v>
      </c>
      <c r="H853" s="5">
        <v>44245</v>
      </c>
      <c r="I853" t="s">
        <v>542</v>
      </c>
      <c r="J853" t="s">
        <v>42</v>
      </c>
      <c r="K853" t="s">
        <v>92</v>
      </c>
      <c r="L853" s="1">
        <v>44228</v>
      </c>
      <c r="M853">
        <v>2021</v>
      </c>
    </row>
    <row r="854" spans="1:13" x14ac:dyDescent="0.25">
      <c r="A854" t="s">
        <v>543</v>
      </c>
      <c r="B854">
        <v>874</v>
      </c>
      <c r="C854">
        <v>235</v>
      </c>
      <c r="D854">
        <v>15</v>
      </c>
      <c r="E854" t="s">
        <v>30</v>
      </c>
      <c r="F854" t="s">
        <v>78</v>
      </c>
      <c r="G854" t="s">
        <v>32</v>
      </c>
      <c r="H854" s="5">
        <v>44351</v>
      </c>
      <c r="I854" t="s">
        <v>545</v>
      </c>
      <c r="J854" t="s">
        <v>17</v>
      </c>
      <c r="K854" t="s">
        <v>18</v>
      </c>
      <c r="L854" s="1">
        <v>44348</v>
      </c>
      <c r="M854">
        <v>2021</v>
      </c>
    </row>
    <row r="855" spans="1:13" x14ac:dyDescent="0.25">
      <c r="A855" t="s">
        <v>560</v>
      </c>
      <c r="B855">
        <v>7856</v>
      </c>
      <c r="C855">
        <v>3699</v>
      </c>
      <c r="D855">
        <v>17</v>
      </c>
      <c r="E855" t="s">
        <v>13</v>
      </c>
      <c r="F855" t="s">
        <v>14</v>
      </c>
      <c r="G855" t="s">
        <v>15</v>
      </c>
      <c r="H855" s="5">
        <v>44279</v>
      </c>
      <c r="I855" t="s">
        <v>561</v>
      </c>
      <c r="J855" t="s">
        <v>17</v>
      </c>
      <c r="K855" t="s">
        <v>34</v>
      </c>
      <c r="L855" s="1">
        <v>44256</v>
      </c>
      <c r="M855">
        <v>2021</v>
      </c>
    </row>
    <row r="856" spans="1:13" x14ac:dyDescent="0.25">
      <c r="A856" t="s">
        <v>560</v>
      </c>
      <c r="B856">
        <v>1165</v>
      </c>
      <c r="C856">
        <v>51</v>
      </c>
      <c r="D856">
        <v>3</v>
      </c>
      <c r="E856" t="s">
        <v>30</v>
      </c>
      <c r="F856" t="s">
        <v>31</v>
      </c>
      <c r="G856" t="s">
        <v>40</v>
      </c>
      <c r="H856" s="5">
        <v>44279</v>
      </c>
      <c r="I856" t="s">
        <v>561</v>
      </c>
      <c r="J856" t="s">
        <v>17</v>
      </c>
      <c r="K856" t="s">
        <v>34</v>
      </c>
      <c r="L856" s="1">
        <v>44256</v>
      </c>
      <c r="M856">
        <v>2021</v>
      </c>
    </row>
    <row r="857" spans="1:13" x14ac:dyDescent="0.25">
      <c r="A857" t="s">
        <v>568</v>
      </c>
      <c r="B857">
        <v>6255</v>
      </c>
      <c r="C857">
        <v>437</v>
      </c>
      <c r="D857">
        <v>18</v>
      </c>
      <c r="E857" t="s">
        <v>30</v>
      </c>
      <c r="F857" t="s">
        <v>57</v>
      </c>
      <c r="G857" t="s">
        <v>65</v>
      </c>
      <c r="H857" s="5">
        <v>44533</v>
      </c>
      <c r="I857" t="s">
        <v>569</v>
      </c>
      <c r="J857" t="s">
        <v>25</v>
      </c>
      <c r="K857" t="s">
        <v>68</v>
      </c>
      <c r="L857" s="1">
        <v>44531</v>
      </c>
      <c r="M857">
        <v>2021</v>
      </c>
    </row>
    <row r="858" spans="1:13" x14ac:dyDescent="0.25">
      <c r="A858" t="s">
        <v>568</v>
      </c>
      <c r="B858">
        <v>2109</v>
      </c>
      <c r="C858">
        <v>681</v>
      </c>
      <c r="D858">
        <v>20</v>
      </c>
      <c r="E858" t="s">
        <v>13</v>
      </c>
      <c r="F858" t="s">
        <v>14</v>
      </c>
      <c r="G858" t="s">
        <v>15</v>
      </c>
      <c r="H858" s="5">
        <v>44533</v>
      </c>
      <c r="I858" t="s">
        <v>569</v>
      </c>
      <c r="J858" t="s">
        <v>25</v>
      </c>
      <c r="K858" t="s">
        <v>68</v>
      </c>
      <c r="L858" s="1">
        <v>44531</v>
      </c>
      <c r="M858">
        <v>2021</v>
      </c>
    </row>
    <row r="859" spans="1:13" x14ac:dyDescent="0.25">
      <c r="A859" t="s">
        <v>570</v>
      </c>
      <c r="B859">
        <v>6707</v>
      </c>
      <c r="C859">
        <v>1041</v>
      </c>
      <c r="D859">
        <v>20</v>
      </c>
      <c r="E859" t="s">
        <v>13</v>
      </c>
      <c r="F859" t="s">
        <v>82</v>
      </c>
      <c r="G859" t="s">
        <v>47</v>
      </c>
      <c r="H859" s="5">
        <v>44453</v>
      </c>
      <c r="I859" t="s">
        <v>571</v>
      </c>
      <c r="J859" t="s">
        <v>71</v>
      </c>
      <c r="K859" t="s">
        <v>86</v>
      </c>
      <c r="L859" s="1">
        <v>44440</v>
      </c>
      <c r="M859">
        <v>2021</v>
      </c>
    </row>
    <row r="860" spans="1:13" x14ac:dyDescent="0.25">
      <c r="A860" t="s">
        <v>572</v>
      </c>
      <c r="B860">
        <v>7633</v>
      </c>
      <c r="C860">
        <v>184</v>
      </c>
      <c r="D860">
        <v>13</v>
      </c>
      <c r="E860" t="s">
        <v>30</v>
      </c>
      <c r="F860" t="s">
        <v>31</v>
      </c>
      <c r="G860" t="s">
        <v>65</v>
      </c>
      <c r="H860" s="5">
        <v>44469</v>
      </c>
      <c r="I860" t="s">
        <v>573</v>
      </c>
      <c r="J860" t="s">
        <v>21</v>
      </c>
      <c r="K860" t="s">
        <v>63</v>
      </c>
      <c r="L860" s="1">
        <v>44440</v>
      </c>
      <c r="M860">
        <v>2021</v>
      </c>
    </row>
    <row r="861" spans="1:13" x14ac:dyDescent="0.25">
      <c r="A861" t="s">
        <v>574</v>
      </c>
      <c r="B861">
        <v>975</v>
      </c>
      <c r="C861">
        <v>224</v>
      </c>
      <c r="D861">
        <v>18</v>
      </c>
      <c r="E861" t="s">
        <v>30</v>
      </c>
      <c r="F861" t="s">
        <v>31</v>
      </c>
      <c r="G861" t="s">
        <v>65</v>
      </c>
      <c r="H861" s="5">
        <v>44552</v>
      </c>
      <c r="I861" t="s">
        <v>575</v>
      </c>
      <c r="J861" t="s">
        <v>42</v>
      </c>
      <c r="K861" t="s">
        <v>75</v>
      </c>
      <c r="L861" s="1">
        <v>44531</v>
      </c>
      <c r="M861">
        <v>2021</v>
      </c>
    </row>
    <row r="862" spans="1:13" x14ac:dyDescent="0.25">
      <c r="A862" t="s">
        <v>574</v>
      </c>
      <c r="B862">
        <v>4492</v>
      </c>
      <c r="C862">
        <v>1450</v>
      </c>
      <c r="D862">
        <v>7</v>
      </c>
      <c r="E862" t="s">
        <v>45</v>
      </c>
      <c r="F862" t="s">
        <v>46</v>
      </c>
      <c r="G862" t="s">
        <v>40</v>
      </c>
      <c r="H862" s="5">
        <v>44552</v>
      </c>
      <c r="I862" t="s">
        <v>575</v>
      </c>
      <c r="J862" t="s">
        <v>42</v>
      </c>
      <c r="K862" t="s">
        <v>75</v>
      </c>
      <c r="L862" s="1">
        <v>44531</v>
      </c>
      <c r="M862">
        <v>2021</v>
      </c>
    </row>
    <row r="863" spans="1:13" x14ac:dyDescent="0.25">
      <c r="A863" t="s">
        <v>574</v>
      </c>
      <c r="B863">
        <v>7957</v>
      </c>
      <c r="C863">
        <v>2834</v>
      </c>
      <c r="D863">
        <v>12</v>
      </c>
      <c r="E863" t="s">
        <v>45</v>
      </c>
      <c r="F863" t="s">
        <v>49</v>
      </c>
      <c r="G863" t="s">
        <v>15</v>
      </c>
      <c r="H863" s="5">
        <v>44552</v>
      </c>
      <c r="I863" t="s">
        <v>575</v>
      </c>
      <c r="J863" t="s">
        <v>42</v>
      </c>
      <c r="K863" t="s">
        <v>75</v>
      </c>
      <c r="L863" s="1">
        <v>44531</v>
      </c>
      <c r="M863">
        <v>2021</v>
      </c>
    </row>
    <row r="864" spans="1:13" x14ac:dyDescent="0.25">
      <c r="A864" t="s">
        <v>599</v>
      </c>
      <c r="B864">
        <v>6355</v>
      </c>
      <c r="C864">
        <v>1335</v>
      </c>
      <c r="D864">
        <v>15</v>
      </c>
      <c r="E864" t="s">
        <v>13</v>
      </c>
      <c r="F864" t="s">
        <v>14</v>
      </c>
      <c r="G864" t="s">
        <v>32</v>
      </c>
      <c r="H864" s="5">
        <v>44353</v>
      </c>
      <c r="I864" t="s">
        <v>601</v>
      </c>
      <c r="J864" t="s">
        <v>71</v>
      </c>
      <c r="K864" t="s">
        <v>86</v>
      </c>
      <c r="L864" s="1">
        <v>44348</v>
      </c>
      <c r="M864">
        <v>2021</v>
      </c>
    </row>
    <row r="865" spans="1:13" x14ac:dyDescent="0.25">
      <c r="A865" t="s">
        <v>608</v>
      </c>
      <c r="B865">
        <v>8243</v>
      </c>
      <c r="C865">
        <v>1346</v>
      </c>
      <c r="D865">
        <v>15</v>
      </c>
      <c r="E865" t="s">
        <v>30</v>
      </c>
      <c r="F865" t="s">
        <v>78</v>
      </c>
      <c r="G865" t="s">
        <v>32</v>
      </c>
      <c r="H865" s="5">
        <v>44290</v>
      </c>
      <c r="I865" t="s">
        <v>609</v>
      </c>
      <c r="J865" t="s">
        <v>71</v>
      </c>
      <c r="K865" t="s">
        <v>138</v>
      </c>
      <c r="L865" s="1">
        <v>44287</v>
      </c>
      <c r="M865">
        <v>2021</v>
      </c>
    </row>
    <row r="866" spans="1:13" x14ac:dyDescent="0.25">
      <c r="A866" t="s">
        <v>610</v>
      </c>
      <c r="B866">
        <v>7792</v>
      </c>
      <c r="C866">
        <v>1403</v>
      </c>
      <c r="D866">
        <v>13</v>
      </c>
      <c r="E866" t="s">
        <v>30</v>
      </c>
      <c r="F866" t="s">
        <v>64</v>
      </c>
      <c r="G866" t="s">
        <v>15</v>
      </c>
      <c r="H866" s="5">
        <v>44239</v>
      </c>
      <c r="I866" t="s">
        <v>611</v>
      </c>
      <c r="J866" t="s">
        <v>21</v>
      </c>
      <c r="K866" t="s">
        <v>172</v>
      </c>
      <c r="L866" s="1">
        <v>44228</v>
      </c>
      <c r="M866">
        <v>2021</v>
      </c>
    </row>
    <row r="867" spans="1:13" x14ac:dyDescent="0.25">
      <c r="A867" t="s">
        <v>610</v>
      </c>
      <c r="B867">
        <v>2346</v>
      </c>
      <c r="C867">
        <v>388</v>
      </c>
      <c r="D867">
        <v>14</v>
      </c>
      <c r="E867" t="s">
        <v>45</v>
      </c>
      <c r="F867" t="s">
        <v>49</v>
      </c>
      <c r="G867" t="s">
        <v>32</v>
      </c>
      <c r="H867" s="5">
        <v>44239</v>
      </c>
      <c r="I867" t="s">
        <v>611</v>
      </c>
      <c r="J867" t="s">
        <v>21</v>
      </c>
      <c r="K867" t="s">
        <v>172</v>
      </c>
      <c r="L867" s="1">
        <v>44228</v>
      </c>
      <c r="M867">
        <v>2021</v>
      </c>
    </row>
    <row r="868" spans="1:13" x14ac:dyDescent="0.25">
      <c r="A868" t="s">
        <v>623</v>
      </c>
      <c r="B868">
        <v>6934</v>
      </c>
      <c r="C868">
        <v>1226</v>
      </c>
      <c r="D868">
        <v>1</v>
      </c>
      <c r="E868" t="s">
        <v>13</v>
      </c>
      <c r="F868" t="s">
        <v>14</v>
      </c>
      <c r="G868" t="s">
        <v>32</v>
      </c>
      <c r="H868" s="5">
        <v>44358</v>
      </c>
      <c r="I868" t="s">
        <v>624</v>
      </c>
      <c r="J868" t="s">
        <v>98</v>
      </c>
      <c r="K868" t="s">
        <v>107</v>
      </c>
      <c r="L868" s="1">
        <v>44348</v>
      </c>
      <c r="M868">
        <v>2021</v>
      </c>
    </row>
    <row r="869" spans="1:13" x14ac:dyDescent="0.25">
      <c r="A869" t="s">
        <v>623</v>
      </c>
      <c r="B869">
        <v>6934</v>
      </c>
      <c r="C869">
        <v>1226</v>
      </c>
      <c r="D869">
        <v>1</v>
      </c>
      <c r="E869" t="s">
        <v>13</v>
      </c>
      <c r="F869" t="s">
        <v>14</v>
      </c>
      <c r="G869" t="s">
        <v>32</v>
      </c>
      <c r="H869" s="5">
        <v>44447</v>
      </c>
      <c r="I869" t="s">
        <v>595</v>
      </c>
      <c r="J869" t="s">
        <v>25</v>
      </c>
      <c r="K869" t="s">
        <v>68</v>
      </c>
      <c r="L869" s="1">
        <v>44440</v>
      </c>
      <c r="M869">
        <v>2021</v>
      </c>
    </row>
    <row r="870" spans="1:13" x14ac:dyDescent="0.25">
      <c r="A870" t="s">
        <v>654</v>
      </c>
      <c r="B870">
        <v>3022</v>
      </c>
      <c r="C870">
        <v>384</v>
      </c>
      <c r="D870">
        <v>1</v>
      </c>
      <c r="E870" t="s">
        <v>30</v>
      </c>
      <c r="F870" t="s">
        <v>31</v>
      </c>
      <c r="G870" t="s">
        <v>47</v>
      </c>
      <c r="H870" s="5">
        <v>44244</v>
      </c>
      <c r="I870" t="s">
        <v>656</v>
      </c>
      <c r="J870" t="s">
        <v>21</v>
      </c>
      <c r="K870" t="s">
        <v>22</v>
      </c>
      <c r="L870" s="1">
        <v>44228</v>
      </c>
      <c r="M870">
        <v>2021</v>
      </c>
    </row>
    <row r="871" spans="1:13" x14ac:dyDescent="0.25">
      <c r="A871" t="s">
        <v>654</v>
      </c>
      <c r="B871">
        <v>5266</v>
      </c>
      <c r="C871">
        <v>1111</v>
      </c>
      <c r="D871">
        <v>13</v>
      </c>
      <c r="E871" t="s">
        <v>13</v>
      </c>
      <c r="F871" t="s">
        <v>14</v>
      </c>
      <c r="G871" t="s">
        <v>32</v>
      </c>
      <c r="H871" s="5">
        <v>44244</v>
      </c>
      <c r="I871" t="s">
        <v>656</v>
      </c>
      <c r="J871" t="s">
        <v>21</v>
      </c>
      <c r="K871" t="s">
        <v>22</v>
      </c>
      <c r="L871" s="1">
        <v>44228</v>
      </c>
      <c r="M871">
        <v>2021</v>
      </c>
    </row>
    <row r="872" spans="1:13" x14ac:dyDescent="0.25">
      <c r="A872" t="s">
        <v>657</v>
      </c>
      <c r="B872">
        <v>4853</v>
      </c>
      <c r="C872">
        <v>1764</v>
      </c>
      <c r="D872">
        <v>9</v>
      </c>
      <c r="E872" t="s">
        <v>30</v>
      </c>
      <c r="F872" t="s">
        <v>31</v>
      </c>
      <c r="G872" t="s">
        <v>32</v>
      </c>
      <c r="H872" s="5">
        <v>44506</v>
      </c>
      <c r="I872" t="s">
        <v>658</v>
      </c>
      <c r="J872" t="s">
        <v>17</v>
      </c>
      <c r="K872" t="s">
        <v>34</v>
      </c>
      <c r="L872" s="1">
        <v>44501</v>
      </c>
      <c r="M872">
        <v>2021</v>
      </c>
    </row>
    <row r="873" spans="1:13" x14ac:dyDescent="0.25">
      <c r="A873" t="s">
        <v>666</v>
      </c>
      <c r="B873">
        <v>4688</v>
      </c>
      <c r="C873">
        <v>1841</v>
      </c>
      <c r="D873">
        <v>3</v>
      </c>
      <c r="E873" t="s">
        <v>13</v>
      </c>
      <c r="F873" t="s">
        <v>39</v>
      </c>
      <c r="G873" t="s">
        <v>47</v>
      </c>
      <c r="H873" s="5">
        <v>44402</v>
      </c>
      <c r="I873" t="s">
        <v>668</v>
      </c>
      <c r="J873" t="s">
        <v>42</v>
      </c>
      <c r="K873" t="s">
        <v>75</v>
      </c>
      <c r="L873" s="1">
        <v>44378</v>
      </c>
      <c r="M873">
        <v>2021</v>
      </c>
    </row>
    <row r="874" spans="1:13" x14ac:dyDescent="0.25">
      <c r="A874" t="s">
        <v>673</v>
      </c>
      <c r="B874">
        <v>4852</v>
      </c>
      <c r="C874">
        <v>218</v>
      </c>
      <c r="D874">
        <v>2</v>
      </c>
      <c r="E874" t="s">
        <v>45</v>
      </c>
      <c r="F874" t="s">
        <v>46</v>
      </c>
      <c r="G874" t="s">
        <v>40</v>
      </c>
      <c r="H874" s="5">
        <v>44554</v>
      </c>
      <c r="I874" t="s">
        <v>675</v>
      </c>
      <c r="J874" t="s">
        <v>17</v>
      </c>
      <c r="K874" t="s">
        <v>150</v>
      </c>
      <c r="L874" s="1">
        <v>44531</v>
      </c>
      <c r="M874">
        <v>2021</v>
      </c>
    </row>
    <row r="875" spans="1:13" x14ac:dyDescent="0.25">
      <c r="A875" t="s">
        <v>677</v>
      </c>
      <c r="B875">
        <v>4314</v>
      </c>
      <c r="C875">
        <v>1453</v>
      </c>
      <c r="D875">
        <v>6</v>
      </c>
      <c r="E875" t="s">
        <v>45</v>
      </c>
      <c r="F875" t="s">
        <v>60</v>
      </c>
      <c r="G875" t="s">
        <v>65</v>
      </c>
      <c r="H875" s="5">
        <v>44418</v>
      </c>
      <c r="I875" t="s">
        <v>678</v>
      </c>
      <c r="J875" t="s">
        <v>17</v>
      </c>
      <c r="K875" t="s">
        <v>150</v>
      </c>
      <c r="L875" s="1">
        <v>44409</v>
      </c>
      <c r="M875">
        <v>2021</v>
      </c>
    </row>
    <row r="876" spans="1:13" x14ac:dyDescent="0.25">
      <c r="A876" t="s">
        <v>692</v>
      </c>
      <c r="B876">
        <v>6690</v>
      </c>
      <c r="C876">
        <v>1001</v>
      </c>
      <c r="D876">
        <v>19</v>
      </c>
      <c r="E876" t="s">
        <v>30</v>
      </c>
      <c r="F876" t="s">
        <v>78</v>
      </c>
      <c r="G876" t="s">
        <v>15</v>
      </c>
      <c r="H876" s="5">
        <v>44513</v>
      </c>
      <c r="I876" t="s">
        <v>694</v>
      </c>
      <c r="J876" t="s">
        <v>21</v>
      </c>
      <c r="K876" t="s">
        <v>22</v>
      </c>
      <c r="L876" s="1">
        <v>44501</v>
      </c>
      <c r="M876">
        <v>2021</v>
      </c>
    </row>
    <row r="877" spans="1:13" x14ac:dyDescent="0.25">
      <c r="A877" t="s">
        <v>692</v>
      </c>
      <c r="B877">
        <v>4985</v>
      </c>
      <c r="C877">
        <v>1920</v>
      </c>
      <c r="D877">
        <v>10</v>
      </c>
      <c r="E877" t="s">
        <v>45</v>
      </c>
      <c r="F877" t="s">
        <v>109</v>
      </c>
      <c r="G877" t="s">
        <v>47</v>
      </c>
      <c r="H877" s="5">
        <v>44513</v>
      </c>
      <c r="I877" t="s">
        <v>694</v>
      </c>
      <c r="J877" t="s">
        <v>21</v>
      </c>
      <c r="K877" t="s">
        <v>22</v>
      </c>
      <c r="L877" s="1">
        <v>44501</v>
      </c>
      <c r="M877">
        <v>2021</v>
      </c>
    </row>
    <row r="878" spans="1:13" x14ac:dyDescent="0.25">
      <c r="A878" t="s">
        <v>695</v>
      </c>
      <c r="B878">
        <v>8590</v>
      </c>
      <c r="C878">
        <v>3565</v>
      </c>
      <c r="D878">
        <v>15</v>
      </c>
      <c r="E878" t="s">
        <v>13</v>
      </c>
      <c r="F878" t="s">
        <v>14</v>
      </c>
      <c r="G878" t="s">
        <v>40</v>
      </c>
      <c r="H878" s="5">
        <v>44511</v>
      </c>
      <c r="I878" t="s">
        <v>696</v>
      </c>
      <c r="J878" t="s">
        <v>17</v>
      </c>
      <c r="K878" t="s">
        <v>18</v>
      </c>
      <c r="L878" s="1">
        <v>44501</v>
      </c>
      <c r="M878">
        <v>2021</v>
      </c>
    </row>
    <row r="879" spans="1:13" x14ac:dyDescent="0.25">
      <c r="A879" t="s">
        <v>695</v>
      </c>
      <c r="B879">
        <v>6973</v>
      </c>
      <c r="C879">
        <v>3038</v>
      </c>
      <c r="D879">
        <v>10</v>
      </c>
      <c r="E879" t="s">
        <v>45</v>
      </c>
      <c r="F879" t="s">
        <v>46</v>
      </c>
      <c r="G879" t="s">
        <v>65</v>
      </c>
      <c r="H879" s="5">
        <v>44511</v>
      </c>
      <c r="I879" t="s">
        <v>696</v>
      </c>
      <c r="J879" t="s">
        <v>17</v>
      </c>
      <c r="K879" t="s">
        <v>18</v>
      </c>
      <c r="L879" s="1">
        <v>44501</v>
      </c>
      <c r="M879">
        <v>2021</v>
      </c>
    </row>
    <row r="880" spans="1:13" x14ac:dyDescent="0.25">
      <c r="A880" t="s">
        <v>697</v>
      </c>
      <c r="B880">
        <v>4591</v>
      </c>
      <c r="C880">
        <v>1941</v>
      </c>
      <c r="D880">
        <v>19</v>
      </c>
      <c r="E880" t="s">
        <v>13</v>
      </c>
      <c r="F880" t="s">
        <v>28</v>
      </c>
      <c r="G880" t="s">
        <v>40</v>
      </c>
      <c r="H880" s="5">
        <v>44408</v>
      </c>
      <c r="I880" t="s">
        <v>476</v>
      </c>
      <c r="J880" t="s">
        <v>71</v>
      </c>
      <c r="K880" t="s">
        <v>72</v>
      </c>
      <c r="L880" s="1">
        <v>44378</v>
      </c>
      <c r="M880">
        <v>2021</v>
      </c>
    </row>
    <row r="881" spans="1:13" x14ac:dyDescent="0.25">
      <c r="A881" t="s">
        <v>697</v>
      </c>
      <c r="B881">
        <v>9612</v>
      </c>
      <c r="C881">
        <v>2572</v>
      </c>
      <c r="D881">
        <v>17</v>
      </c>
      <c r="E881" t="s">
        <v>30</v>
      </c>
      <c r="F881" t="s">
        <v>31</v>
      </c>
      <c r="G881" t="s">
        <v>47</v>
      </c>
      <c r="H881" s="5">
        <v>44408</v>
      </c>
      <c r="I881" t="s">
        <v>476</v>
      </c>
      <c r="J881" t="s">
        <v>71</v>
      </c>
      <c r="K881" t="s">
        <v>72</v>
      </c>
      <c r="L881" s="1">
        <v>44378</v>
      </c>
      <c r="M881">
        <v>2021</v>
      </c>
    </row>
    <row r="882" spans="1:13" x14ac:dyDescent="0.25">
      <c r="A882" t="s">
        <v>704</v>
      </c>
      <c r="B882">
        <v>8982</v>
      </c>
      <c r="C882">
        <v>448</v>
      </c>
      <c r="D882">
        <v>17</v>
      </c>
      <c r="E882" t="s">
        <v>45</v>
      </c>
      <c r="F882" t="s">
        <v>60</v>
      </c>
      <c r="G882" t="s">
        <v>15</v>
      </c>
      <c r="H882" s="5">
        <v>44323</v>
      </c>
      <c r="I882" t="s">
        <v>705</v>
      </c>
      <c r="J882" t="s">
        <v>25</v>
      </c>
      <c r="K882" t="s">
        <v>51</v>
      </c>
      <c r="L882" s="1">
        <v>44317</v>
      </c>
      <c r="M882">
        <v>2021</v>
      </c>
    </row>
    <row r="883" spans="1:13" x14ac:dyDescent="0.25">
      <c r="A883" t="s">
        <v>704</v>
      </c>
      <c r="B883">
        <v>4826</v>
      </c>
      <c r="C883">
        <v>562</v>
      </c>
      <c r="D883">
        <v>5</v>
      </c>
      <c r="E883" t="s">
        <v>30</v>
      </c>
      <c r="F883" t="s">
        <v>64</v>
      </c>
      <c r="G883" t="s">
        <v>32</v>
      </c>
      <c r="H883" s="5">
        <v>44323</v>
      </c>
      <c r="I883" t="s">
        <v>705</v>
      </c>
      <c r="J883" t="s">
        <v>25</v>
      </c>
      <c r="K883" t="s">
        <v>51</v>
      </c>
      <c r="L883" s="1">
        <v>44317</v>
      </c>
      <c r="M883">
        <v>2021</v>
      </c>
    </row>
    <row r="884" spans="1:13" x14ac:dyDescent="0.25">
      <c r="A884" t="s">
        <v>708</v>
      </c>
      <c r="B884">
        <v>3665</v>
      </c>
      <c r="C884">
        <v>802</v>
      </c>
      <c r="D884">
        <v>4</v>
      </c>
      <c r="E884" t="s">
        <v>30</v>
      </c>
      <c r="F884" t="s">
        <v>57</v>
      </c>
      <c r="G884" t="s">
        <v>47</v>
      </c>
      <c r="H884" s="5">
        <v>44417</v>
      </c>
      <c r="I884" t="s">
        <v>709</v>
      </c>
      <c r="J884" t="s">
        <v>17</v>
      </c>
      <c r="K884" t="s">
        <v>18</v>
      </c>
      <c r="L884" s="1">
        <v>44409</v>
      </c>
      <c r="M884">
        <v>2021</v>
      </c>
    </row>
    <row r="885" spans="1:13" x14ac:dyDescent="0.25">
      <c r="A885" t="s">
        <v>726</v>
      </c>
      <c r="B885">
        <v>3024</v>
      </c>
      <c r="C885">
        <v>1353</v>
      </c>
      <c r="D885">
        <v>1</v>
      </c>
      <c r="E885" t="s">
        <v>45</v>
      </c>
      <c r="F885" t="s">
        <v>60</v>
      </c>
      <c r="G885" t="s">
        <v>47</v>
      </c>
      <c r="H885" s="5">
        <v>44558</v>
      </c>
      <c r="I885" t="s">
        <v>728</v>
      </c>
      <c r="J885" t="s">
        <v>98</v>
      </c>
      <c r="K885" t="s">
        <v>99</v>
      </c>
      <c r="L885" s="1">
        <v>44531</v>
      </c>
      <c r="M885">
        <v>2021</v>
      </c>
    </row>
    <row r="886" spans="1:13" x14ac:dyDescent="0.25">
      <c r="A886" t="s">
        <v>731</v>
      </c>
      <c r="B886">
        <v>7213</v>
      </c>
      <c r="C886">
        <v>508</v>
      </c>
      <c r="D886">
        <v>19</v>
      </c>
      <c r="E886" t="s">
        <v>13</v>
      </c>
      <c r="F886" t="s">
        <v>14</v>
      </c>
      <c r="G886" t="s">
        <v>32</v>
      </c>
      <c r="H886" s="5">
        <v>44529</v>
      </c>
      <c r="I886" t="s">
        <v>733</v>
      </c>
      <c r="J886" t="s">
        <v>98</v>
      </c>
      <c r="K886" t="s">
        <v>107</v>
      </c>
      <c r="L886" s="1">
        <v>44501</v>
      </c>
      <c r="M886">
        <v>2021</v>
      </c>
    </row>
    <row r="887" spans="1:13" x14ac:dyDescent="0.25">
      <c r="A887" t="s">
        <v>731</v>
      </c>
      <c r="B887">
        <v>3176</v>
      </c>
      <c r="C887">
        <v>586</v>
      </c>
      <c r="D887">
        <v>9</v>
      </c>
      <c r="E887" t="s">
        <v>45</v>
      </c>
      <c r="F887" t="s">
        <v>46</v>
      </c>
      <c r="G887" t="s">
        <v>40</v>
      </c>
      <c r="H887" s="5">
        <v>44529</v>
      </c>
      <c r="I887" t="s">
        <v>733</v>
      </c>
      <c r="J887" t="s">
        <v>98</v>
      </c>
      <c r="K887" t="s">
        <v>107</v>
      </c>
      <c r="L887" s="1">
        <v>44501</v>
      </c>
      <c r="M887">
        <v>2021</v>
      </c>
    </row>
    <row r="888" spans="1:13" x14ac:dyDescent="0.25">
      <c r="A888" t="s">
        <v>734</v>
      </c>
      <c r="B888">
        <v>9144</v>
      </c>
      <c r="C888">
        <v>2220</v>
      </c>
      <c r="D888">
        <v>18</v>
      </c>
      <c r="E888" t="s">
        <v>30</v>
      </c>
      <c r="F888" t="s">
        <v>78</v>
      </c>
      <c r="G888" t="s">
        <v>47</v>
      </c>
      <c r="H888" s="5">
        <v>44360</v>
      </c>
      <c r="I888" t="s">
        <v>735</v>
      </c>
      <c r="J888" t="s">
        <v>17</v>
      </c>
      <c r="K888" t="s">
        <v>18</v>
      </c>
      <c r="L888" s="1">
        <v>44348</v>
      </c>
      <c r="M888">
        <v>2021</v>
      </c>
    </row>
    <row r="889" spans="1:13" x14ac:dyDescent="0.25">
      <c r="A889" t="s">
        <v>738</v>
      </c>
      <c r="B889">
        <v>7169</v>
      </c>
      <c r="C889">
        <v>2385</v>
      </c>
      <c r="D889">
        <v>11</v>
      </c>
      <c r="E889" t="s">
        <v>45</v>
      </c>
      <c r="F889" t="s">
        <v>60</v>
      </c>
      <c r="G889" t="s">
        <v>65</v>
      </c>
      <c r="H889" s="5">
        <v>44374</v>
      </c>
      <c r="I889" t="s">
        <v>739</v>
      </c>
      <c r="J889" t="s">
        <v>42</v>
      </c>
      <c r="K889" t="s">
        <v>43</v>
      </c>
      <c r="L889" s="1">
        <v>44348</v>
      </c>
      <c r="M889">
        <v>2021</v>
      </c>
    </row>
    <row r="890" spans="1:13" x14ac:dyDescent="0.25">
      <c r="A890" t="s">
        <v>738</v>
      </c>
      <c r="B890">
        <v>4046</v>
      </c>
      <c r="C890">
        <v>417</v>
      </c>
      <c r="D890">
        <v>18</v>
      </c>
      <c r="E890" t="s">
        <v>45</v>
      </c>
      <c r="F890" t="s">
        <v>49</v>
      </c>
      <c r="G890" t="s">
        <v>47</v>
      </c>
      <c r="H890" s="5">
        <v>44374</v>
      </c>
      <c r="I890" t="s">
        <v>739</v>
      </c>
      <c r="J890" t="s">
        <v>42</v>
      </c>
      <c r="K890" t="s">
        <v>43</v>
      </c>
      <c r="L890" s="1">
        <v>44348</v>
      </c>
      <c r="M890">
        <v>2021</v>
      </c>
    </row>
    <row r="891" spans="1:13" x14ac:dyDescent="0.25">
      <c r="A891" t="s">
        <v>751</v>
      </c>
      <c r="B891">
        <v>4369</v>
      </c>
      <c r="C891">
        <v>584</v>
      </c>
      <c r="D891">
        <v>13</v>
      </c>
      <c r="E891" t="s">
        <v>30</v>
      </c>
      <c r="F891" t="s">
        <v>31</v>
      </c>
      <c r="G891" t="s">
        <v>47</v>
      </c>
      <c r="H891" s="5">
        <v>44289</v>
      </c>
      <c r="I891" t="s">
        <v>753</v>
      </c>
      <c r="J891" t="s">
        <v>71</v>
      </c>
      <c r="K891" t="s">
        <v>86</v>
      </c>
      <c r="L891" s="1">
        <v>44287</v>
      </c>
      <c r="M891">
        <v>2021</v>
      </c>
    </row>
    <row r="892" spans="1:13" x14ac:dyDescent="0.25">
      <c r="A892" t="s">
        <v>754</v>
      </c>
      <c r="B892">
        <v>5632</v>
      </c>
      <c r="C892">
        <v>2358</v>
      </c>
      <c r="D892">
        <v>20</v>
      </c>
      <c r="E892" t="s">
        <v>45</v>
      </c>
      <c r="F892" t="s">
        <v>60</v>
      </c>
      <c r="G892" t="s">
        <v>47</v>
      </c>
      <c r="H892" s="5">
        <v>44319</v>
      </c>
      <c r="I892" t="s">
        <v>755</v>
      </c>
      <c r="J892" t="s">
        <v>42</v>
      </c>
      <c r="K892" t="s">
        <v>43</v>
      </c>
      <c r="L892" s="1">
        <v>44317</v>
      </c>
      <c r="M892">
        <v>2021</v>
      </c>
    </row>
    <row r="893" spans="1:13" x14ac:dyDescent="0.25">
      <c r="A893" t="s">
        <v>768</v>
      </c>
      <c r="B893">
        <v>7441</v>
      </c>
      <c r="C893">
        <v>867</v>
      </c>
      <c r="D893">
        <v>12</v>
      </c>
      <c r="E893" t="s">
        <v>45</v>
      </c>
      <c r="F893" t="s">
        <v>60</v>
      </c>
      <c r="G893" t="s">
        <v>65</v>
      </c>
      <c r="H893" s="5">
        <v>44520</v>
      </c>
      <c r="I893" t="s">
        <v>769</v>
      </c>
      <c r="J893" t="s">
        <v>21</v>
      </c>
      <c r="K893" t="s">
        <v>22</v>
      </c>
      <c r="L893" s="1">
        <v>44501</v>
      </c>
      <c r="M893">
        <v>2021</v>
      </c>
    </row>
    <row r="894" spans="1:13" x14ac:dyDescent="0.25">
      <c r="A894" t="s">
        <v>773</v>
      </c>
      <c r="B894">
        <v>838</v>
      </c>
      <c r="C894">
        <v>271</v>
      </c>
      <c r="D894">
        <v>11</v>
      </c>
      <c r="E894" t="s">
        <v>30</v>
      </c>
      <c r="F894" t="s">
        <v>57</v>
      </c>
      <c r="G894" t="s">
        <v>40</v>
      </c>
      <c r="H894" s="5">
        <v>44217</v>
      </c>
      <c r="I894" t="s">
        <v>774</v>
      </c>
      <c r="J894" t="s">
        <v>98</v>
      </c>
      <c r="K894" t="s">
        <v>99</v>
      </c>
      <c r="L894" s="1">
        <v>44197</v>
      </c>
      <c r="M894">
        <v>2021</v>
      </c>
    </row>
    <row r="895" spans="1:13" x14ac:dyDescent="0.25">
      <c r="A895" t="s">
        <v>773</v>
      </c>
      <c r="B895">
        <v>3577</v>
      </c>
      <c r="C895">
        <v>699</v>
      </c>
      <c r="D895">
        <v>2</v>
      </c>
      <c r="E895" t="s">
        <v>45</v>
      </c>
      <c r="F895" t="s">
        <v>46</v>
      </c>
      <c r="G895" t="s">
        <v>15</v>
      </c>
      <c r="H895" s="5">
        <v>44217</v>
      </c>
      <c r="I895" t="s">
        <v>774</v>
      </c>
      <c r="J895" t="s">
        <v>98</v>
      </c>
      <c r="K895" t="s">
        <v>99</v>
      </c>
      <c r="L895" s="1">
        <v>44197</v>
      </c>
      <c r="M895">
        <v>2021</v>
      </c>
    </row>
    <row r="896" spans="1:13" x14ac:dyDescent="0.25">
      <c r="A896" t="s">
        <v>802</v>
      </c>
      <c r="B896">
        <v>1397</v>
      </c>
      <c r="C896">
        <v>686</v>
      </c>
      <c r="D896">
        <v>11</v>
      </c>
      <c r="E896" t="s">
        <v>45</v>
      </c>
      <c r="F896" t="s">
        <v>49</v>
      </c>
      <c r="G896" t="s">
        <v>47</v>
      </c>
      <c r="H896" s="5">
        <v>44537</v>
      </c>
      <c r="I896" t="s">
        <v>803</v>
      </c>
      <c r="J896" t="s">
        <v>25</v>
      </c>
      <c r="K896" t="s">
        <v>51</v>
      </c>
      <c r="L896" s="1">
        <v>44531</v>
      </c>
      <c r="M896">
        <v>2021</v>
      </c>
    </row>
    <row r="897" spans="1:13" x14ac:dyDescent="0.25">
      <c r="A897" t="s">
        <v>804</v>
      </c>
      <c r="B897">
        <v>9279</v>
      </c>
      <c r="C897">
        <v>552</v>
      </c>
      <c r="D897">
        <v>14</v>
      </c>
      <c r="E897" t="s">
        <v>45</v>
      </c>
      <c r="F897" t="s">
        <v>49</v>
      </c>
      <c r="G897" t="s">
        <v>40</v>
      </c>
      <c r="H897" s="5">
        <v>44544</v>
      </c>
      <c r="I897" t="s">
        <v>805</v>
      </c>
      <c r="J897" t="s">
        <v>25</v>
      </c>
      <c r="K897" t="s">
        <v>26</v>
      </c>
      <c r="L897" s="1">
        <v>44531</v>
      </c>
      <c r="M897">
        <v>2021</v>
      </c>
    </row>
    <row r="898" spans="1:13" x14ac:dyDescent="0.25">
      <c r="A898" t="s">
        <v>804</v>
      </c>
      <c r="B898">
        <v>2596</v>
      </c>
      <c r="C898">
        <v>1003</v>
      </c>
      <c r="D898">
        <v>19</v>
      </c>
      <c r="E898" t="s">
        <v>30</v>
      </c>
      <c r="F898" t="s">
        <v>64</v>
      </c>
      <c r="G898" t="s">
        <v>47</v>
      </c>
      <c r="H898" s="5">
        <v>44544</v>
      </c>
      <c r="I898" t="s">
        <v>805</v>
      </c>
      <c r="J898" t="s">
        <v>25</v>
      </c>
      <c r="K898" t="s">
        <v>26</v>
      </c>
      <c r="L898" s="1">
        <v>44531</v>
      </c>
      <c r="M898">
        <v>2021</v>
      </c>
    </row>
    <row r="899" spans="1:13" x14ac:dyDescent="0.25">
      <c r="A899" t="s">
        <v>807</v>
      </c>
      <c r="B899">
        <v>6732</v>
      </c>
      <c r="C899">
        <v>911</v>
      </c>
      <c r="D899">
        <v>19</v>
      </c>
      <c r="E899" t="s">
        <v>45</v>
      </c>
      <c r="F899" t="s">
        <v>109</v>
      </c>
      <c r="G899" t="s">
        <v>40</v>
      </c>
      <c r="H899" s="5">
        <v>44559</v>
      </c>
      <c r="I899" t="s">
        <v>808</v>
      </c>
      <c r="J899" t="s">
        <v>25</v>
      </c>
      <c r="K899" t="s">
        <v>26</v>
      </c>
      <c r="L899" s="1">
        <v>44531</v>
      </c>
      <c r="M899">
        <v>2021</v>
      </c>
    </row>
    <row r="900" spans="1:13" x14ac:dyDescent="0.25">
      <c r="A900" t="s">
        <v>807</v>
      </c>
      <c r="B900">
        <v>4495</v>
      </c>
      <c r="C900">
        <v>1408</v>
      </c>
      <c r="D900">
        <v>14</v>
      </c>
      <c r="E900" t="s">
        <v>30</v>
      </c>
      <c r="F900" t="s">
        <v>31</v>
      </c>
      <c r="G900" t="s">
        <v>40</v>
      </c>
      <c r="H900" s="5">
        <v>44559</v>
      </c>
      <c r="I900" t="s">
        <v>808</v>
      </c>
      <c r="J900" t="s">
        <v>25</v>
      </c>
      <c r="K900" t="s">
        <v>26</v>
      </c>
      <c r="L900" s="1">
        <v>44531</v>
      </c>
      <c r="M900">
        <v>2021</v>
      </c>
    </row>
    <row r="901" spans="1:13" x14ac:dyDescent="0.25">
      <c r="A901" t="s">
        <v>811</v>
      </c>
      <c r="B901">
        <v>8945</v>
      </c>
      <c r="C901">
        <v>1728</v>
      </c>
      <c r="D901">
        <v>10</v>
      </c>
      <c r="E901" t="s">
        <v>45</v>
      </c>
      <c r="F901" t="s">
        <v>46</v>
      </c>
      <c r="G901" t="s">
        <v>15</v>
      </c>
      <c r="H901" s="5">
        <v>44237</v>
      </c>
      <c r="I901" t="s">
        <v>812</v>
      </c>
      <c r="J901" t="s">
        <v>21</v>
      </c>
      <c r="K901" t="s">
        <v>172</v>
      </c>
      <c r="L901" s="1">
        <v>44228</v>
      </c>
      <c r="M901">
        <v>2021</v>
      </c>
    </row>
    <row r="902" spans="1:13" x14ac:dyDescent="0.25">
      <c r="A902" t="s">
        <v>830</v>
      </c>
      <c r="B902">
        <v>3913</v>
      </c>
      <c r="C902">
        <v>961</v>
      </c>
      <c r="D902">
        <v>15</v>
      </c>
      <c r="E902" t="s">
        <v>45</v>
      </c>
      <c r="F902" t="s">
        <v>60</v>
      </c>
      <c r="G902" t="s">
        <v>15</v>
      </c>
      <c r="H902" s="5">
        <v>44233</v>
      </c>
      <c r="I902" t="s">
        <v>832</v>
      </c>
      <c r="J902" t="s">
        <v>42</v>
      </c>
      <c r="K902" t="s">
        <v>92</v>
      </c>
      <c r="L902" s="1">
        <v>44228</v>
      </c>
      <c r="M902">
        <v>2021</v>
      </c>
    </row>
    <row r="903" spans="1:13" x14ac:dyDescent="0.25">
      <c r="A903" t="s">
        <v>835</v>
      </c>
      <c r="B903">
        <v>1579</v>
      </c>
      <c r="C903">
        <v>602</v>
      </c>
      <c r="D903">
        <v>9</v>
      </c>
      <c r="E903" t="s">
        <v>13</v>
      </c>
      <c r="F903" t="s">
        <v>39</v>
      </c>
      <c r="G903" t="s">
        <v>47</v>
      </c>
      <c r="H903" s="5">
        <v>44516</v>
      </c>
      <c r="I903" t="s">
        <v>838</v>
      </c>
      <c r="J903" t="s">
        <v>98</v>
      </c>
      <c r="K903" t="s">
        <v>107</v>
      </c>
      <c r="L903" s="1">
        <v>44501</v>
      </c>
      <c r="M903">
        <v>2021</v>
      </c>
    </row>
    <row r="904" spans="1:13" x14ac:dyDescent="0.25">
      <c r="A904" t="s">
        <v>835</v>
      </c>
      <c r="B904">
        <v>3760</v>
      </c>
      <c r="C904">
        <v>1849</v>
      </c>
      <c r="D904">
        <v>19</v>
      </c>
      <c r="E904" t="s">
        <v>45</v>
      </c>
      <c r="F904" t="s">
        <v>49</v>
      </c>
      <c r="G904" t="s">
        <v>40</v>
      </c>
      <c r="H904" s="5">
        <v>44516</v>
      </c>
      <c r="I904" t="s">
        <v>838</v>
      </c>
      <c r="J904" t="s">
        <v>98</v>
      </c>
      <c r="K904" t="s">
        <v>107</v>
      </c>
      <c r="L904" s="1">
        <v>44501</v>
      </c>
      <c r="M904">
        <v>2021</v>
      </c>
    </row>
    <row r="905" spans="1:13" x14ac:dyDescent="0.25">
      <c r="A905" t="s">
        <v>860</v>
      </c>
      <c r="B905">
        <v>2663</v>
      </c>
      <c r="C905">
        <v>64</v>
      </c>
      <c r="D905">
        <v>19</v>
      </c>
      <c r="E905" t="s">
        <v>45</v>
      </c>
      <c r="F905" t="s">
        <v>60</v>
      </c>
      <c r="G905" t="s">
        <v>65</v>
      </c>
      <c r="H905" s="5">
        <v>44492</v>
      </c>
      <c r="I905" t="s">
        <v>862</v>
      </c>
      <c r="J905" t="s">
        <v>98</v>
      </c>
      <c r="K905" t="s">
        <v>117</v>
      </c>
      <c r="L905" s="1">
        <v>44470</v>
      </c>
      <c r="M905">
        <v>2021</v>
      </c>
    </row>
    <row r="906" spans="1:13" x14ac:dyDescent="0.25">
      <c r="A906" t="s">
        <v>869</v>
      </c>
      <c r="B906">
        <v>5393</v>
      </c>
      <c r="C906">
        <v>2642</v>
      </c>
      <c r="D906">
        <v>8</v>
      </c>
      <c r="E906" t="s">
        <v>45</v>
      </c>
      <c r="F906" t="s">
        <v>49</v>
      </c>
      <c r="G906" t="s">
        <v>15</v>
      </c>
      <c r="H906" s="5">
        <v>44262</v>
      </c>
      <c r="I906" t="s">
        <v>870</v>
      </c>
      <c r="J906" t="s">
        <v>98</v>
      </c>
      <c r="K906" t="s">
        <v>107</v>
      </c>
      <c r="L906" s="1">
        <v>44256</v>
      </c>
      <c r="M906">
        <v>2021</v>
      </c>
    </row>
    <row r="907" spans="1:13" x14ac:dyDescent="0.25">
      <c r="A907" t="s">
        <v>871</v>
      </c>
      <c r="B907">
        <v>2280</v>
      </c>
      <c r="C907">
        <v>509</v>
      </c>
      <c r="D907">
        <v>8</v>
      </c>
      <c r="E907" t="s">
        <v>13</v>
      </c>
      <c r="F907" t="s">
        <v>82</v>
      </c>
      <c r="G907" t="s">
        <v>47</v>
      </c>
      <c r="H907" s="5">
        <v>44199</v>
      </c>
      <c r="I907" t="s">
        <v>872</v>
      </c>
      <c r="J907" t="s">
        <v>25</v>
      </c>
      <c r="K907" t="s">
        <v>26</v>
      </c>
      <c r="L907" s="1">
        <v>44197</v>
      </c>
      <c r="M907">
        <v>2021</v>
      </c>
    </row>
    <row r="908" spans="1:13" x14ac:dyDescent="0.25">
      <c r="A908" t="s">
        <v>885</v>
      </c>
      <c r="B908">
        <v>8042</v>
      </c>
      <c r="C908">
        <v>936</v>
      </c>
      <c r="D908">
        <v>15</v>
      </c>
      <c r="E908" t="s">
        <v>30</v>
      </c>
      <c r="F908" t="s">
        <v>57</v>
      </c>
      <c r="G908" t="s">
        <v>40</v>
      </c>
      <c r="H908" s="5">
        <v>44386</v>
      </c>
      <c r="I908" t="s">
        <v>886</v>
      </c>
      <c r="J908" t="s">
        <v>21</v>
      </c>
      <c r="K908" t="s">
        <v>63</v>
      </c>
      <c r="L908" s="1">
        <v>44378</v>
      </c>
      <c r="M908">
        <v>2021</v>
      </c>
    </row>
    <row r="909" spans="1:13" x14ac:dyDescent="0.25">
      <c r="A909" t="s">
        <v>897</v>
      </c>
      <c r="B909">
        <v>6061</v>
      </c>
      <c r="C909">
        <v>2121</v>
      </c>
      <c r="D909">
        <v>19</v>
      </c>
      <c r="E909" t="s">
        <v>13</v>
      </c>
      <c r="F909" t="s">
        <v>39</v>
      </c>
      <c r="G909" t="s">
        <v>40</v>
      </c>
      <c r="H909" s="5">
        <v>44343</v>
      </c>
      <c r="I909" t="s">
        <v>898</v>
      </c>
      <c r="J909" t="s">
        <v>98</v>
      </c>
      <c r="K909" t="s">
        <v>117</v>
      </c>
      <c r="L909" s="1">
        <v>44317</v>
      </c>
      <c r="M909">
        <v>2021</v>
      </c>
    </row>
    <row r="910" spans="1:13" x14ac:dyDescent="0.25">
      <c r="A910" t="s">
        <v>902</v>
      </c>
      <c r="B910">
        <v>2792</v>
      </c>
      <c r="C910">
        <v>1008</v>
      </c>
      <c r="D910">
        <v>8</v>
      </c>
      <c r="E910" t="s">
        <v>13</v>
      </c>
      <c r="F910" t="s">
        <v>28</v>
      </c>
      <c r="G910" t="s">
        <v>65</v>
      </c>
      <c r="H910" s="5">
        <v>44241</v>
      </c>
      <c r="I910" t="s">
        <v>903</v>
      </c>
      <c r="J910" t="s">
        <v>17</v>
      </c>
      <c r="K910" t="s">
        <v>18</v>
      </c>
      <c r="L910" s="1">
        <v>44228</v>
      </c>
      <c r="M910">
        <v>2021</v>
      </c>
    </row>
    <row r="911" spans="1:13" x14ac:dyDescent="0.25">
      <c r="A911" t="s">
        <v>927</v>
      </c>
      <c r="B911">
        <v>1626</v>
      </c>
      <c r="C911">
        <v>258</v>
      </c>
      <c r="D911">
        <v>15</v>
      </c>
      <c r="E911" t="s">
        <v>30</v>
      </c>
      <c r="F911" t="s">
        <v>31</v>
      </c>
      <c r="G911" t="s">
        <v>40</v>
      </c>
      <c r="H911" s="5">
        <v>44354</v>
      </c>
      <c r="I911" t="s">
        <v>928</v>
      </c>
      <c r="J911" t="s">
        <v>17</v>
      </c>
      <c r="K911" t="s">
        <v>34</v>
      </c>
      <c r="L911" s="1">
        <v>44348</v>
      </c>
      <c r="M911">
        <v>2021</v>
      </c>
    </row>
    <row r="912" spans="1:13" x14ac:dyDescent="0.25">
      <c r="A912" t="s">
        <v>946</v>
      </c>
      <c r="B912">
        <v>1109</v>
      </c>
      <c r="C912">
        <v>418</v>
      </c>
      <c r="D912">
        <v>15</v>
      </c>
      <c r="E912" t="s">
        <v>30</v>
      </c>
      <c r="F912" t="s">
        <v>64</v>
      </c>
      <c r="G912" t="s">
        <v>15</v>
      </c>
      <c r="H912" s="5">
        <v>44427</v>
      </c>
      <c r="I912" t="s">
        <v>947</v>
      </c>
      <c r="J912" t="s">
        <v>42</v>
      </c>
      <c r="K912" t="s">
        <v>43</v>
      </c>
      <c r="L912" s="1">
        <v>44409</v>
      </c>
      <c r="M912">
        <v>2021</v>
      </c>
    </row>
    <row r="913" spans="1:13" x14ac:dyDescent="0.25">
      <c r="A913" t="s">
        <v>965</v>
      </c>
      <c r="B913">
        <v>702</v>
      </c>
      <c r="C913">
        <v>238</v>
      </c>
      <c r="D913">
        <v>9</v>
      </c>
      <c r="E913" t="s">
        <v>13</v>
      </c>
      <c r="F913" t="s">
        <v>82</v>
      </c>
      <c r="G913" t="s">
        <v>65</v>
      </c>
      <c r="H913" s="5">
        <v>44268</v>
      </c>
      <c r="I913" t="s">
        <v>966</v>
      </c>
      <c r="J913" t="s">
        <v>17</v>
      </c>
      <c r="K913" t="s">
        <v>150</v>
      </c>
      <c r="L913" s="1">
        <v>44256</v>
      </c>
      <c r="M913">
        <v>2021</v>
      </c>
    </row>
    <row r="914" spans="1:13" x14ac:dyDescent="0.25">
      <c r="A914" t="s">
        <v>973</v>
      </c>
      <c r="B914">
        <v>8762</v>
      </c>
      <c r="C914">
        <v>3502</v>
      </c>
      <c r="D914">
        <v>1</v>
      </c>
      <c r="E914" t="s">
        <v>13</v>
      </c>
      <c r="F914" t="s">
        <v>82</v>
      </c>
      <c r="G914" t="s">
        <v>32</v>
      </c>
      <c r="H914" s="5">
        <v>44425</v>
      </c>
      <c r="I914" t="s">
        <v>974</v>
      </c>
      <c r="J914" t="s">
        <v>17</v>
      </c>
      <c r="K914" t="s">
        <v>150</v>
      </c>
      <c r="L914" s="1">
        <v>44409</v>
      </c>
      <c r="M914">
        <v>2021</v>
      </c>
    </row>
    <row r="915" spans="1:13" x14ac:dyDescent="0.25">
      <c r="A915" t="s">
        <v>977</v>
      </c>
      <c r="B915">
        <v>6951</v>
      </c>
      <c r="C915">
        <v>164</v>
      </c>
      <c r="D915">
        <v>10</v>
      </c>
      <c r="E915" t="s">
        <v>45</v>
      </c>
      <c r="F915" t="s">
        <v>60</v>
      </c>
      <c r="G915" t="s">
        <v>15</v>
      </c>
      <c r="H915" s="5">
        <v>44420</v>
      </c>
      <c r="I915" t="s">
        <v>978</v>
      </c>
      <c r="J915" t="s">
        <v>25</v>
      </c>
      <c r="K915" t="s">
        <v>26</v>
      </c>
      <c r="L915" s="1">
        <v>44409</v>
      </c>
      <c r="M915">
        <v>2021</v>
      </c>
    </row>
    <row r="916" spans="1:13" x14ac:dyDescent="0.25">
      <c r="A916" t="s">
        <v>990</v>
      </c>
      <c r="B916">
        <v>9335</v>
      </c>
      <c r="C916">
        <v>557</v>
      </c>
      <c r="D916">
        <v>11</v>
      </c>
      <c r="E916" t="s">
        <v>13</v>
      </c>
      <c r="F916" t="s">
        <v>14</v>
      </c>
      <c r="G916" t="s">
        <v>65</v>
      </c>
      <c r="H916" s="5">
        <v>44313</v>
      </c>
      <c r="I916" t="s">
        <v>991</v>
      </c>
      <c r="J916" t="s">
        <v>42</v>
      </c>
      <c r="K916" t="s">
        <v>43</v>
      </c>
      <c r="L916" s="1">
        <v>44287</v>
      </c>
      <c r="M916">
        <v>2021</v>
      </c>
    </row>
    <row r="917" spans="1:13" x14ac:dyDescent="0.25">
      <c r="A917" t="s">
        <v>992</v>
      </c>
      <c r="B917">
        <v>4706</v>
      </c>
      <c r="C917">
        <v>594</v>
      </c>
      <c r="D917">
        <v>11</v>
      </c>
      <c r="E917" t="s">
        <v>30</v>
      </c>
      <c r="F917" t="s">
        <v>78</v>
      </c>
      <c r="G917" t="s">
        <v>65</v>
      </c>
      <c r="H917" s="5">
        <v>44429</v>
      </c>
      <c r="I917" t="s">
        <v>993</v>
      </c>
      <c r="J917" t="s">
        <v>98</v>
      </c>
      <c r="K917" t="s">
        <v>117</v>
      </c>
      <c r="L917" s="1">
        <v>44409</v>
      </c>
      <c r="M917">
        <v>2021</v>
      </c>
    </row>
    <row r="918" spans="1:13" x14ac:dyDescent="0.25">
      <c r="A918" t="s">
        <v>992</v>
      </c>
      <c r="B918">
        <v>4706</v>
      </c>
      <c r="C918">
        <v>594</v>
      </c>
      <c r="D918">
        <v>11</v>
      </c>
      <c r="E918" t="s">
        <v>30</v>
      </c>
      <c r="F918" t="s">
        <v>78</v>
      </c>
      <c r="G918" t="s">
        <v>65</v>
      </c>
      <c r="H918" s="5">
        <v>44332</v>
      </c>
      <c r="I918" t="s">
        <v>994</v>
      </c>
      <c r="J918" t="s">
        <v>98</v>
      </c>
      <c r="K918" t="s">
        <v>99</v>
      </c>
      <c r="L918" s="1">
        <v>44317</v>
      </c>
      <c r="M918">
        <v>2021</v>
      </c>
    </row>
    <row r="919" spans="1:13" x14ac:dyDescent="0.25">
      <c r="A919" t="s">
        <v>992</v>
      </c>
      <c r="B919">
        <v>6584</v>
      </c>
      <c r="C919">
        <v>371</v>
      </c>
      <c r="D919">
        <v>6</v>
      </c>
      <c r="E919" t="s">
        <v>30</v>
      </c>
      <c r="F919" t="s">
        <v>57</v>
      </c>
      <c r="G919" t="s">
        <v>15</v>
      </c>
      <c r="H919" s="5">
        <v>44429</v>
      </c>
      <c r="I919" t="s">
        <v>993</v>
      </c>
      <c r="J919" t="s">
        <v>98</v>
      </c>
      <c r="K919" t="s">
        <v>117</v>
      </c>
      <c r="L919" s="1">
        <v>44409</v>
      </c>
      <c r="M919">
        <v>2021</v>
      </c>
    </row>
    <row r="920" spans="1:13" x14ac:dyDescent="0.25">
      <c r="A920" t="s">
        <v>992</v>
      </c>
      <c r="B920">
        <v>6584</v>
      </c>
      <c r="C920">
        <v>371</v>
      </c>
      <c r="D920">
        <v>6</v>
      </c>
      <c r="E920" t="s">
        <v>30</v>
      </c>
      <c r="F920" t="s">
        <v>57</v>
      </c>
      <c r="G920" t="s">
        <v>15</v>
      </c>
      <c r="H920" s="5">
        <v>44332</v>
      </c>
      <c r="I920" t="s">
        <v>994</v>
      </c>
      <c r="J920" t="s">
        <v>98</v>
      </c>
      <c r="K920" t="s">
        <v>99</v>
      </c>
      <c r="L920" s="1">
        <v>44317</v>
      </c>
      <c r="M920">
        <v>2021</v>
      </c>
    </row>
    <row r="921" spans="1:13" x14ac:dyDescent="0.25">
      <c r="A921" t="s">
        <v>1008</v>
      </c>
      <c r="B921">
        <v>5196</v>
      </c>
      <c r="C921">
        <v>2477</v>
      </c>
      <c r="D921">
        <v>1</v>
      </c>
      <c r="E921" t="s">
        <v>30</v>
      </c>
      <c r="F921" t="s">
        <v>57</v>
      </c>
      <c r="G921" t="s">
        <v>15</v>
      </c>
      <c r="H921" s="5">
        <v>44531</v>
      </c>
      <c r="I921" t="s">
        <v>1009</v>
      </c>
      <c r="J921" t="s">
        <v>71</v>
      </c>
      <c r="K921" t="s">
        <v>86</v>
      </c>
      <c r="L921" s="1">
        <v>44531</v>
      </c>
      <c r="M921">
        <v>2021</v>
      </c>
    </row>
    <row r="922" spans="1:13" x14ac:dyDescent="0.25">
      <c r="A922" t="s">
        <v>1008</v>
      </c>
      <c r="B922">
        <v>6586</v>
      </c>
      <c r="C922">
        <v>1794</v>
      </c>
      <c r="D922">
        <v>19</v>
      </c>
      <c r="E922" t="s">
        <v>45</v>
      </c>
      <c r="F922" t="s">
        <v>109</v>
      </c>
      <c r="G922" t="s">
        <v>32</v>
      </c>
      <c r="H922" s="5">
        <v>44531</v>
      </c>
      <c r="I922" t="s">
        <v>1009</v>
      </c>
      <c r="J922" t="s">
        <v>71</v>
      </c>
      <c r="K922" t="s">
        <v>86</v>
      </c>
      <c r="L922" s="1">
        <v>44531</v>
      </c>
      <c r="M922">
        <v>2021</v>
      </c>
    </row>
    <row r="923" spans="1:13" x14ac:dyDescent="0.25">
      <c r="A923" t="s">
        <v>1015</v>
      </c>
      <c r="B923">
        <v>1083</v>
      </c>
      <c r="C923">
        <v>501</v>
      </c>
      <c r="D923">
        <v>6</v>
      </c>
      <c r="E923" t="s">
        <v>30</v>
      </c>
      <c r="F923" t="s">
        <v>31</v>
      </c>
      <c r="G923" t="s">
        <v>65</v>
      </c>
      <c r="H923" s="5">
        <v>44255</v>
      </c>
      <c r="I923" t="s">
        <v>1016</v>
      </c>
      <c r="J923" t="s">
        <v>71</v>
      </c>
      <c r="K923" t="s">
        <v>86</v>
      </c>
      <c r="L923" s="1">
        <v>44228</v>
      </c>
      <c r="M923">
        <v>2021</v>
      </c>
    </row>
    <row r="924" spans="1:13" x14ac:dyDescent="0.25">
      <c r="A924" t="s">
        <v>1017</v>
      </c>
      <c r="B924">
        <v>2401</v>
      </c>
      <c r="C924">
        <v>1163</v>
      </c>
      <c r="D924">
        <v>10</v>
      </c>
      <c r="E924" t="s">
        <v>45</v>
      </c>
      <c r="F924" t="s">
        <v>109</v>
      </c>
      <c r="G924" t="s">
        <v>15</v>
      </c>
      <c r="H924" s="5">
        <v>44421</v>
      </c>
      <c r="I924" t="s">
        <v>1020</v>
      </c>
      <c r="J924" t="s">
        <v>25</v>
      </c>
      <c r="K924" t="s">
        <v>68</v>
      </c>
      <c r="L924" s="1">
        <v>44409</v>
      </c>
      <c r="M924">
        <v>2021</v>
      </c>
    </row>
    <row r="925" spans="1:13" x14ac:dyDescent="0.25">
      <c r="A925" t="s">
        <v>1017</v>
      </c>
      <c r="B925">
        <v>1045</v>
      </c>
      <c r="C925">
        <v>267</v>
      </c>
      <c r="D925">
        <v>11</v>
      </c>
      <c r="E925" t="s">
        <v>13</v>
      </c>
      <c r="F925" t="s">
        <v>82</v>
      </c>
      <c r="G925" t="s">
        <v>32</v>
      </c>
      <c r="H925" s="5">
        <v>44421</v>
      </c>
      <c r="I925" t="s">
        <v>1020</v>
      </c>
      <c r="J925" t="s">
        <v>25</v>
      </c>
      <c r="K925" t="s">
        <v>68</v>
      </c>
      <c r="L925" s="1">
        <v>44409</v>
      </c>
      <c r="M925">
        <v>2021</v>
      </c>
    </row>
    <row r="926" spans="1:13" x14ac:dyDescent="0.25">
      <c r="A926" t="s">
        <v>1034</v>
      </c>
      <c r="B926">
        <v>5313</v>
      </c>
      <c r="C926">
        <v>2037</v>
      </c>
      <c r="D926">
        <v>7</v>
      </c>
      <c r="E926" t="s">
        <v>13</v>
      </c>
      <c r="F926" t="s">
        <v>28</v>
      </c>
      <c r="G926" t="s">
        <v>32</v>
      </c>
      <c r="H926" s="5">
        <v>44498</v>
      </c>
      <c r="I926" t="s">
        <v>1036</v>
      </c>
      <c r="J926" t="s">
        <v>71</v>
      </c>
      <c r="K926" t="s">
        <v>138</v>
      </c>
      <c r="L926" s="1">
        <v>44470</v>
      </c>
      <c r="M926">
        <v>2021</v>
      </c>
    </row>
    <row r="927" spans="1:13" x14ac:dyDescent="0.25">
      <c r="A927" t="s">
        <v>1050</v>
      </c>
      <c r="B927">
        <v>9002</v>
      </c>
      <c r="C927">
        <v>4197</v>
      </c>
      <c r="D927">
        <v>2</v>
      </c>
      <c r="E927" t="s">
        <v>30</v>
      </c>
      <c r="F927" t="s">
        <v>57</v>
      </c>
      <c r="G927" t="s">
        <v>40</v>
      </c>
      <c r="H927" s="5">
        <v>44283</v>
      </c>
      <c r="I927" t="s">
        <v>1052</v>
      </c>
      <c r="J927" t="s">
        <v>98</v>
      </c>
      <c r="K927" t="s">
        <v>99</v>
      </c>
      <c r="L927" s="1">
        <v>44256</v>
      </c>
      <c r="M927">
        <v>2021</v>
      </c>
    </row>
    <row r="928" spans="1:13" x14ac:dyDescent="0.25">
      <c r="A928" t="s">
        <v>1053</v>
      </c>
      <c r="B928">
        <v>7105</v>
      </c>
      <c r="C928">
        <v>2782</v>
      </c>
      <c r="D928">
        <v>19</v>
      </c>
      <c r="E928" t="s">
        <v>30</v>
      </c>
      <c r="F928" t="s">
        <v>31</v>
      </c>
      <c r="G928" t="s">
        <v>65</v>
      </c>
      <c r="H928" s="5">
        <v>44555</v>
      </c>
      <c r="I928" t="s">
        <v>1054</v>
      </c>
      <c r="J928" t="s">
        <v>98</v>
      </c>
      <c r="K928" t="s">
        <v>99</v>
      </c>
      <c r="L928" s="1">
        <v>44531</v>
      </c>
      <c r="M928">
        <v>2021</v>
      </c>
    </row>
    <row r="929" spans="1:13" x14ac:dyDescent="0.25">
      <c r="A929" t="s">
        <v>1075</v>
      </c>
      <c r="B929">
        <v>8861</v>
      </c>
      <c r="C929">
        <v>3381</v>
      </c>
      <c r="D929">
        <v>19</v>
      </c>
      <c r="E929" t="s">
        <v>30</v>
      </c>
      <c r="F929" t="s">
        <v>57</v>
      </c>
      <c r="G929" t="s">
        <v>47</v>
      </c>
      <c r="H929" s="5">
        <v>44343</v>
      </c>
      <c r="I929" t="s">
        <v>1076</v>
      </c>
      <c r="J929" t="s">
        <v>42</v>
      </c>
      <c r="K929" t="s">
        <v>75</v>
      </c>
      <c r="L929" s="1">
        <v>44317</v>
      </c>
      <c r="M929">
        <v>2021</v>
      </c>
    </row>
    <row r="930" spans="1:13" x14ac:dyDescent="0.25">
      <c r="A930" t="s">
        <v>1081</v>
      </c>
      <c r="B930">
        <v>9406</v>
      </c>
      <c r="C930">
        <v>1137</v>
      </c>
      <c r="D930">
        <v>16</v>
      </c>
      <c r="E930" t="s">
        <v>30</v>
      </c>
      <c r="F930" t="s">
        <v>57</v>
      </c>
      <c r="G930" t="s">
        <v>15</v>
      </c>
      <c r="H930" s="5">
        <v>44489</v>
      </c>
      <c r="I930" t="s">
        <v>1082</v>
      </c>
      <c r="J930" t="s">
        <v>71</v>
      </c>
      <c r="K930" t="s">
        <v>138</v>
      </c>
      <c r="L930" s="1">
        <v>44470</v>
      </c>
      <c r="M930">
        <v>2021</v>
      </c>
    </row>
    <row r="931" spans="1:13" x14ac:dyDescent="0.25">
      <c r="A931" t="s">
        <v>1081</v>
      </c>
      <c r="B931">
        <v>1156</v>
      </c>
      <c r="C931">
        <v>74</v>
      </c>
      <c r="D931">
        <v>15</v>
      </c>
      <c r="E931" t="s">
        <v>13</v>
      </c>
      <c r="F931" t="s">
        <v>28</v>
      </c>
      <c r="G931" t="s">
        <v>40</v>
      </c>
      <c r="H931" s="5">
        <v>44489</v>
      </c>
      <c r="I931" t="s">
        <v>1082</v>
      </c>
      <c r="J931" t="s">
        <v>71</v>
      </c>
      <c r="K931" t="s">
        <v>138</v>
      </c>
      <c r="L931" s="1">
        <v>44470</v>
      </c>
      <c r="M931">
        <v>2021</v>
      </c>
    </row>
    <row r="932" spans="1:13" x14ac:dyDescent="0.25">
      <c r="A932" t="s">
        <v>1083</v>
      </c>
      <c r="B932">
        <v>5354</v>
      </c>
      <c r="C932">
        <v>743</v>
      </c>
      <c r="D932">
        <v>10</v>
      </c>
      <c r="E932" t="s">
        <v>45</v>
      </c>
      <c r="F932" t="s">
        <v>109</v>
      </c>
      <c r="G932" t="s">
        <v>15</v>
      </c>
      <c r="H932" s="5">
        <v>44488</v>
      </c>
      <c r="I932" t="s">
        <v>1084</v>
      </c>
      <c r="J932" t="s">
        <v>21</v>
      </c>
      <c r="K932" t="s">
        <v>63</v>
      </c>
      <c r="L932" s="1">
        <v>44470</v>
      </c>
      <c r="M932">
        <v>2021</v>
      </c>
    </row>
    <row r="933" spans="1:13" x14ac:dyDescent="0.25">
      <c r="A933" t="s">
        <v>1096</v>
      </c>
      <c r="B933">
        <v>1786</v>
      </c>
      <c r="C933">
        <v>224</v>
      </c>
      <c r="D933">
        <v>4</v>
      </c>
      <c r="E933" t="s">
        <v>45</v>
      </c>
      <c r="F933" t="s">
        <v>46</v>
      </c>
      <c r="G933" t="s">
        <v>65</v>
      </c>
      <c r="H933" s="5">
        <v>44425</v>
      </c>
      <c r="I933" t="s">
        <v>1097</v>
      </c>
      <c r="J933" t="s">
        <v>71</v>
      </c>
      <c r="K933" t="s">
        <v>72</v>
      </c>
      <c r="L933" s="1">
        <v>44409</v>
      </c>
      <c r="M933">
        <v>2021</v>
      </c>
    </row>
    <row r="934" spans="1:13" x14ac:dyDescent="0.25">
      <c r="A934" t="s">
        <v>1110</v>
      </c>
      <c r="B934">
        <v>8572</v>
      </c>
      <c r="C934">
        <v>2041</v>
      </c>
      <c r="D934">
        <v>8</v>
      </c>
      <c r="E934" t="s">
        <v>45</v>
      </c>
      <c r="F934" t="s">
        <v>46</v>
      </c>
      <c r="G934" t="s">
        <v>40</v>
      </c>
      <c r="H934" s="5">
        <v>44343</v>
      </c>
      <c r="I934" t="s">
        <v>1111</v>
      </c>
      <c r="J934" t="s">
        <v>21</v>
      </c>
      <c r="K934" t="s">
        <v>63</v>
      </c>
      <c r="L934" s="1">
        <v>44317</v>
      </c>
      <c r="M934">
        <v>2021</v>
      </c>
    </row>
    <row r="935" spans="1:13" x14ac:dyDescent="0.25">
      <c r="A935" t="s">
        <v>1110</v>
      </c>
      <c r="B935">
        <v>8059</v>
      </c>
      <c r="C935">
        <v>1834</v>
      </c>
      <c r="D935">
        <v>10</v>
      </c>
      <c r="E935" t="s">
        <v>13</v>
      </c>
      <c r="F935" t="s">
        <v>28</v>
      </c>
      <c r="G935" t="s">
        <v>47</v>
      </c>
      <c r="H935" s="5">
        <v>44343</v>
      </c>
      <c r="I935" t="s">
        <v>1111</v>
      </c>
      <c r="J935" t="s">
        <v>21</v>
      </c>
      <c r="K935" t="s">
        <v>63</v>
      </c>
      <c r="L935" s="1">
        <v>44317</v>
      </c>
      <c r="M935">
        <v>2021</v>
      </c>
    </row>
    <row r="936" spans="1:13" x14ac:dyDescent="0.25">
      <c r="A936" t="s">
        <v>1116</v>
      </c>
      <c r="B936">
        <v>2451</v>
      </c>
      <c r="C936">
        <v>342</v>
      </c>
      <c r="D936">
        <v>8</v>
      </c>
      <c r="E936" t="s">
        <v>30</v>
      </c>
      <c r="F936" t="s">
        <v>64</v>
      </c>
      <c r="G936" t="s">
        <v>40</v>
      </c>
      <c r="H936" s="5">
        <v>44445</v>
      </c>
      <c r="I936" t="s">
        <v>1117</v>
      </c>
      <c r="J936" t="s">
        <v>42</v>
      </c>
      <c r="K936" t="s">
        <v>43</v>
      </c>
      <c r="L936" s="1">
        <v>44440</v>
      </c>
      <c r="M936">
        <v>2021</v>
      </c>
    </row>
    <row r="937" spans="1:13" x14ac:dyDescent="0.25">
      <c r="A937" t="s">
        <v>1116</v>
      </c>
      <c r="B937">
        <v>2451</v>
      </c>
      <c r="C937">
        <v>342</v>
      </c>
      <c r="D937">
        <v>8</v>
      </c>
      <c r="E937" t="s">
        <v>30</v>
      </c>
      <c r="F937" t="s">
        <v>64</v>
      </c>
      <c r="G937" t="s">
        <v>40</v>
      </c>
      <c r="H937" s="5">
        <v>44512</v>
      </c>
      <c r="I937" t="s">
        <v>1118</v>
      </c>
      <c r="J937" t="s">
        <v>98</v>
      </c>
      <c r="K937" t="s">
        <v>107</v>
      </c>
      <c r="L937" s="1">
        <v>44501</v>
      </c>
      <c r="M937">
        <v>2021</v>
      </c>
    </row>
    <row r="938" spans="1:13" x14ac:dyDescent="0.25">
      <c r="A938" t="s">
        <v>1131</v>
      </c>
      <c r="B938">
        <v>2737</v>
      </c>
      <c r="C938">
        <v>1253</v>
      </c>
      <c r="D938">
        <v>3</v>
      </c>
      <c r="E938" t="s">
        <v>13</v>
      </c>
      <c r="F938" t="s">
        <v>28</v>
      </c>
      <c r="G938" t="s">
        <v>40</v>
      </c>
      <c r="H938" s="5">
        <v>44305</v>
      </c>
      <c r="I938" t="s">
        <v>1132</v>
      </c>
      <c r="J938" t="s">
        <v>25</v>
      </c>
      <c r="K938" t="s">
        <v>51</v>
      </c>
      <c r="L938" s="1">
        <v>44287</v>
      </c>
      <c r="M938">
        <v>2021</v>
      </c>
    </row>
    <row r="939" spans="1:13" x14ac:dyDescent="0.25">
      <c r="A939" t="s">
        <v>1133</v>
      </c>
      <c r="B939">
        <v>8194</v>
      </c>
      <c r="C939">
        <v>2881</v>
      </c>
      <c r="D939">
        <v>6</v>
      </c>
      <c r="E939" t="s">
        <v>30</v>
      </c>
      <c r="F939" t="s">
        <v>64</v>
      </c>
      <c r="G939" t="s">
        <v>32</v>
      </c>
      <c r="H939" s="5">
        <v>44395</v>
      </c>
      <c r="I939" t="s">
        <v>1134</v>
      </c>
      <c r="J939" t="s">
        <v>71</v>
      </c>
      <c r="K939" t="s">
        <v>138</v>
      </c>
      <c r="L939" s="1">
        <v>44378</v>
      </c>
      <c r="M939">
        <v>2021</v>
      </c>
    </row>
    <row r="940" spans="1:13" x14ac:dyDescent="0.25">
      <c r="A940" t="s">
        <v>1143</v>
      </c>
      <c r="B940">
        <v>9921</v>
      </c>
      <c r="C940">
        <v>1451</v>
      </c>
      <c r="D940">
        <v>15</v>
      </c>
      <c r="E940" t="s">
        <v>45</v>
      </c>
      <c r="F940" t="s">
        <v>60</v>
      </c>
      <c r="G940" t="s">
        <v>40</v>
      </c>
      <c r="H940" s="5">
        <v>44298</v>
      </c>
      <c r="I940" t="s">
        <v>1144</v>
      </c>
      <c r="J940" t="s">
        <v>21</v>
      </c>
      <c r="K940" t="s">
        <v>22</v>
      </c>
      <c r="L940" s="1">
        <v>44287</v>
      </c>
      <c r="M940">
        <v>2021</v>
      </c>
    </row>
    <row r="941" spans="1:13" x14ac:dyDescent="0.25">
      <c r="A941" t="s">
        <v>1157</v>
      </c>
      <c r="B941">
        <v>3747</v>
      </c>
      <c r="C941">
        <v>410</v>
      </c>
      <c r="D941">
        <v>5</v>
      </c>
      <c r="E941" t="s">
        <v>30</v>
      </c>
      <c r="F941" t="s">
        <v>57</v>
      </c>
      <c r="G941" t="s">
        <v>47</v>
      </c>
      <c r="H941" s="5">
        <v>44398</v>
      </c>
      <c r="I941" t="s">
        <v>1162</v>
      </c>
      <c r="J941" t="s">
        <v>42</v>
      </c>
      <c r="K941" t="s">
        <v>43</v>
      </c>
      <c r="L941" s="1">
        <v>44378</v>
      </c>
      <c r="M941">
        <v>2021</v>
      </c>
    </row>
    <row r="942" spans="1:13" x14ac:dyDescent="0.25">
      <c r="A942" t="s">
        <v>1157</v>
      </c>
      <c r="B942">
        <v>3194</v>
      </c>
      <c r="C942">
        <v>534</v>
      </c>
      <c r="D942">
        <v>4</v>
      </c>
      <c r="E942" t="s">
        <v>30</v>
      </c>
      <c r="F942" t="s">
        <v>78</v>
      </c>
      <c r="G942" t="s">
        <v>15</v>
      </c>
      <c r="H942" s="5">
        <v>44398</v>
      </c>
      <c r="I942" t="s">
        <v>1162</v>
      </c>
      <c r="J942" t="s">
        <v>42</v>
      </c>
      <c r="K942" t="s">
        <v>43</v>
      </c>
      <c r="L942" s="1">
        <v>44378</v>
      </c>
      <c r="M942">
        <v>2021</v>
      </c>
    </row>
    <row r="943" spans="1:13" x14ac:dyDescent="0.25">
      <c r="A943" t="s">
        <v>1169</v>
      </c>
      <c r="B943">
        <v>5193</v>
      </c>
      <c r="C943">
        <v>2530</v>
      </c>
      <c r="D943">
        <v>5</v>
      </c>
      <c r="E943" t="s">
        <v>45</v>
      </c>
      <c r="F943" t="s">
        <v>60</v>
      </c>
      <c r="G943" t="s">
        <v>32</v>
      </c>
      <c r="H943" s="5">
        <v>44498</v>
      </c>
      <c r="I943" t="s">
        <v>1170</v>
      </c>
      <c r="J943" t="s">
        <v>42</v>
      </c>
      <c r="K943" t="s">
        <v>75</v>
      </c>
      <c r="L943" s="1">
        <v>44470</v>
      </c>
      <c r="M943">
        <v>2021</v>
      </c>
    </row>
    <row r="944" spans="1:13" x14ac:dyDescent="0.25">
      <c r="A944" t="s">
        <v>1180</v>
      </c>
      <c r="B944">
        <v>1894</v>
      </c>
      <c r="C944">
        <v>275</v>
      </c>
      <c r="D944">
        <v>5</v>
      </c>
      <c r="E944" t="s">
        <v>45</v>
      </c>
      <c r="F944" t="s">
        <v>49</v>
      </c>
      <c r="G944" t="s">
        <v>47</v>
      </c>
      <c r="H944" s="5">
        <v>44527</v>
      </c>
      <c r="I944" t="s">
        <v>1181</v>
      </c>
      <c r="J944" t="s">
        <v>17</v>
      </c>
      <c r="K944" t="s">
        <v>18</v>
      </c>
      <c r="L944" s="1">
        <v>44501</v>
      </c>
      <c r="M944">
        <v>2021</v>
      </c>
    </row>
    <row r="945" spans="1:13" x14ac:dyDescent="0.25">
      <c r="A945" t="s">
        <v>1180</v>
      </c>
      <c r="B945">
        <v>7144</v>
      </c>
      <c r="C945">
        <v>192</v>
      </c>
      <c r="D945">
        <v>13</v>
      </c>
      <c r="E945" t="s">
        <v>13</v>
      </c>
      <c r="F945" t="s">
        <v>14</v>
      </c>
      <c r="G945" t="s">
        <v>47</v>
      </c>
      <c r="H945" s="5">
        <v>44527</v>
      </c>
      <c r="I945" t="s">
        <v>1181</v>
      </c>
      <c r="J945" t="s">
        <v>17</v>
      </c>
      <c r="K945" t="s">
        <v>18</v>
      </c>
      <c r="L945" s="1">
        <v>44501</v>
      </c>
      <c r="M945">
        <v>2021</v>
      </c>
    </row>
    <row r="946" spans="1:13" x14ac:dyDescent="0.25">
      <c r="A946" t="s">
        <v>1184</v>
      </c>
      <c r="B946">
        <v>4172</v>
      </c>
      <c r="C946">
        <v>235</v>
      </c>
      <c r="D946">
        <v>5</v>
      </c>
      <c r="E946" t="s">
        <v>30</v>
      </c>
      <c r="F946" t="s">
        <v>64</v>
      </c>
      <c r="G946" t="s">
        <v>40</v>
      </c>
      <c r="H946" s="5">
        <v>44349</v>
      </c>
      <c r="I946" t="s">
        <v>1185</v>
      </c>
      <c r="J946" t="s">
        <v>98</v>
      </c>
      <c r="K946" t="s">
        <v>117</v>
      </c>
      <c r="L946" s="1">
        <v>44348</v>
      </c>
      <c r="M946">
        <v>2021</v>
      </c>
    </row>
    <row r="947" spans="1:13" x14ac:dyDescent="0.25">
      <c r="A947" t="s">
        <v>1188</v>
      </c>
      <c r="B947">
        <v>6265</v>
      </c>
      <c r="C947">
        <v>155</v>
      </c>
      <c r="D947">
        <v>8</v>
      </c>
      <c r="E947" t="s">
        <v>45</v>
      </c>
      <c r="F947" t="s">
        <v>60</v>
      </c>
      <c r="G947" t="s">
        <v>65</v>
      </c>
      <c r="H947" s="5">
        <v>44267</v>
      </c>
      <c r="I947" t="s">
        <v>1190</v>
      </c>
      <c r="J947" t="s">
        <v>98</v>
      </c>
      <c r="K947" t="s">
        <v>117</v>
      </c>
      <c r="L947" s="1">
        <v>44256</v>
      </c>
      <c r="M947">
        <v>2021</v>
      </c>
    </row>
    <row r="948" spans="1:13" x14ac:dyDescent="0.25">
      <c r="A948" t="s">
        <v>1196</v>
      </c>
      <c r="B948">
        <v>9215</v>
      </c>
      <c r="C948">
        <v>767</v>
      </c>
      <c r="D948">
        <v>13</v>
      </c>
      <c r="E948" t="s">
        <v>13</v>
      </c>
      <c r="F948" t="s">
        <v>28</v>
      </c>
      <c r="G948" t="s">
        <v>65</v>
      </c>
      <c r="H948" s="5">
        <v>44501</v>
      </c>
      <c r="I948" t="s">
        <v>1198</v>
      </c>
      <c r="J948" t="s">
        <v>42</v>
      </c>
      <c r="K948" t="s">
        <v>92</v>
      </c>
      <c r="L948" s="1">
        <v>44501</v>
      </c>
      <c r="M948">
        <v>2021</v>
      </c>
    </row>
    <row r="949" spans="1:13" x14ac:dyDescent="0.25">
      <c r="A949" t="s">
        <v>1202</v>
      </c>
      <c r="B949">
        <v>5338</v>
      </c>
      <c r="C949">
        <v>1354</v>
      </c>
      <c r="D949">
        <v>16</v>
      </c>
      <c r="E949" t="s">
        <v>30</v>
      </c>
      <c r="F949" t="s">
        <v>57</v>
      </c>
      <c r="G949" t="s">
        <v>15</v>
      </c>
      <c r="H949" s="5">
        <v>44200</v>
      </c>
      <c r="I949" t="s">
        <v>1206</v>
      </c>
      <c r="J949" t="s">
        <v>25</v>
      </c>
      <c r="K949" t="s">
        <v>26</v>
      </c>
      <c r="L949" s="1">
        <v>44197</v>
      </c>
      <c r="M949">
        <v>2021</v>
      </c>
    </row>
    <row r="950" spans="1:13" x14ac:dyDescent="0.25">
      <c r="A950" t="s">
        <v>1234</v>
      </c>
      <c r="B950">
        <v>9090</v>
      </c>
      <c r="C950">
        <v>3098</v>
      </c>
      <c r="D950">
        <v>16</v>
      </c>
      <c r="E950" t="s">
        <v>13</v>
      </c>
      <c r="F950" t="s">
        <v>82</v>
      </c>
      <c r="G950" t="s">
        <v>47</v>
      </c>
      <c r="H950" s="5">
        <v>44287</v>
      </c>
      <c r="I950" t="s">
        <v>1235</v>
      </c>
      <c r="J950" t="s">
        <v>71</v>
      </c>
      <c r="K950" t="s">
        <v>72</v>
      </c>
      <c r="L950" s="1">
        <v>44287</v>
      </c>
      <c r="M950">
        <v>2021</v>
      </c>
    </row>
    <row r="951" spans="1:13" x14ac:dyDescent="0.25">
      <c r="A951" t="s">
        <v>1234</v>
      </c>
      <c r="B951">
        <v>851</v>
      </c>
      <c r="C951">
        <v>356</v>
      </c>
      <c r="D951">
        <v>11</v>
      </c>
      <c r="E951" t="s">
        <v>13</v>
      </c>
      <c r="F951" t="s">
        <v>14</v>
      </c>
      <c r="G951" t="s">
        <v>47</v>
      </c>
      <c r="H951" s="5">
        <v>44287</v>
      </c>
      <c r="I951" t="s">
        <v>1235</v>
      </c>
      <c r="J951" t="s">
        <v>71</v>
      </c>
      <c r="K951" t="s">
        <v>72</v>
      </c>
      <c r="L951" s="1">
        <v>44287</v>
      </c>
      <c r="M951">
        <v>2021</v>
      </c>
    </row>
    <row r="952" spans="1:13" x14ac:dyDescent="0.25">
      <c r="A952" t="s">
        <v>1239</v>
      </c>
      <c r="B952">
        <v>2695</v>
      </c>
      <c r="C952">
        <v>914</v>
      </c>
      <c r="D952">
        <v>15</v>
      </c>
      <c r="E952" t="s">
        <v>45</v>
      </c>
      <c r="F952" t="s">
        <v>109</v>
      </c>
      <c r="G952" t="s">
        <v>32</v>
      </c>
      <c r="H952" s="5">
        <v>44364</v>
      </c>
      <c r="I952" t="s">
        <v>1241</v>
      </c>
      <c r="J952" t="s">
        <v>42</v>
      </c>
      <c r="K952" t="s">
        <v>43</v>
      </c>
      <c r="L952" s="1">
        <v>44348</v>
      </c>
      <c r="M952">
        <v>2021</v>
      </c>
    </row>
    <row r="953" spans="1:13" x14ac:dyDescent="0.25">
      <c r="A953" t="s">
        <v>1244</v>
      </c>
      <c r="B953">
        <v>2284</v>
      </c>
      <c r="C953">
        <v>149</v>
      </c>
      <c r="D953">
        <v>20</v>
      </c>
      <c r="E953" t="s">
        <v>30</v>
      </c>
      <c r="F953" t="s">
        <v>31</v>
      </c>
      <c r="G953" t="s">
        <v>32</v>
      </c>
      <c r="H953" s="5">
        <v>44414</v>
      </c>
      <c r="I953" t="s">
        <v>1245</v>
      </c>
      <c r="J953" t="s">
        <v>25</v>
      </c>
      <c r="K953" t="s">
        <v>68</v>
      </c>
      <c r="L953" s="1">
        <v>44409</v>
      </c>
      <c r="M953">
        <v>2021</v>
      </c>
    </row>
    <row r="954" spans="1:13" x14ac:dyDescent="0.25">
      <c r="A954" t="s">
        <v>1254</v>
      </c>
      <c r="B954">
        <v>4163</v>
      </c>
      <c r="C954">
        <v>897</v>
      </c>
      <c r="D954">
        <v>14</v>
      </c>
      <c r="E954" t="s">
        <v>13</v>
      </c>
      <c r="F954" t="s">
        <v>14</v>
      </c>
      <c r="G954" t="s">
        <v>65</v>
      </c>
      <c r="H954" s="5">
        <v>44352</v>
      </c>
      <c r="I954" t="s">
        <v>1257</v>
      </c>
      <c r="J954" t="s">
        <v>17</v>
      </c>
      <c r="K954" t="s">
        <v>34</v>
      </c>
      <c r="L954" s="1">
        <v>44348</v>
      </c>
      <c r="M954">
        <v>2021</v>
      </c>
    </row>
    <row r="955" spans="1:13" x14ac:dyDescent="0.25">
      <c r="A955" t="s">
        <v>1275</v>
      </c>
      <c r="B955">
        <v>5954</v>
      </c>
      <c r="C955">
        <v>2640</v>
      </c>
      <c r="D955">
        <v>14</v>
      </c>
      <c r="E955" t="s">
        <v>13</v>
      </c>
      <c r="F955" t="s">
        <v>39</v>
      </c>
      <c r="G955" t="s">
        <v>47</v>
      </c>
      <c r="H955" s="5">
        <v>44432</v>
      </c>
      <c r="I955" t="s">
        <v>1276</v>
      </c>
      <c r="J955" t="s">
        <v>25</v>
      </c>
      <c r="K955" t="s">
        <v>51</v>
      </c>
      <c r="L955" s="1">
        <v>44409</v>
      </c>
      <c r="M955">
        <v>2021</v>
      </c>
    </row>
    <row r="956" spans="1:13" x14ac:dyDescent="0.25">
      <c r="A956" t="s">
        <v>1285</v>
      </c>
      <c r="B956">
        <v>6724</v>
      </c>
      <c r="C956">
        <v>1539</v>
      </c>
      <c r="D956">
        <v>19</v>
      </c>
      <c r="E956" t="s">
        <v>45</v>
      </c>
      <c r="F956" t="s">
        <v>109</v>
      </c>
      <c r="G956" t="s">
        <v>65</v>
      </c>
      <c r="H956" s="5">
        <v>44543</v>
      </c>
      <c r="I956" t="s">
        <v>1286</v>
      </c>
      <c r="J956" t="s">
        <v>42</v>
      </c>
      <c r="K956" t="s">
        <v>92</v>
      </c>
      <c r="L956" s="1">
        <v>44531</v>
      </c>
      <c r="M956">
        <v>2021</v>
      </c>
    </row>
    <row r="957" spans="1:13" x14ac:dyDescent="0.25">
      <c r="A957" t="s">
        <v>1285</v>
      </c>
      <c r="B957">
        <v>6724</v>
      </c>
      <c r="C957">
        <v>1539</v>
      </c>
      <c r="D957">
        <v>19</v>
      </c>
      <c r="E957" t="s">
        <v>45</v>
      </c>
      <c r="F957" t="s">
        <v>109</v>
      </c>
      <c r="G957" t="s">
        <v>65</v>
      </c>
      <c r="H957" s="5">
        <v>44350</v>
      </c>
      <c r="I957" t="s">
        <v>1287</v>
      </c>
      <c r="J957" t="s">
        <v>71</v>
      </c>
      <c r="K957" t="s">
        <v>72</v>
      </c>
      <c r="L957" s="1">
        <v>44348</v>
      </c>
      <c r="M957">
        <v>2021</v>
      </c>
    </row>
    <row r="958" spans="1:13" x14ac:dyDescent="0.25">
      <c r="A958" t="s">
        <v>1292</v>
      </c>
      <c r="B958">
        <v>3189</v>
      </c>
      <c r="C958">
        <v>1180</v>
      </c>
      <c r="D958">
        <v>19</v>
      </c>
      <c r="E958" t="s">
        <v>30</v>
      </c>
      <c r="F958" t="s">
        <v>64</v>
      </c>
      <c r="G958" t="s">
        <v>47</v>
      </c>
      <c r="H958" s="5">
        <v>44561</v>
      </c>
      <c r="I958" t="s">
        <v>1293</v>
      </c>
      <c r="J958" t="s">
        <v>25</v>
      </c>
      <c r="K958" t="s">
        <v>51</v>
      </c>
      <c r="L958" s="1">
        <v>44531</v>
      </c>
      <c r="M958">
        <v>2021</v>
      </c>
    </row>
    <row r="959" spans="1:13" x14ac:dyDescent="0.25">
      <c r="A959" t="s">
        <v>1307</v>
      </c>
      <c r="B959">
        <v>8104</v>
      </c>
      <c r="C959">
        <v>1039</v>
      </c>
      <c r="D959">
        <v>6</v>
      </c>
      <c r="E959" t="s">
        <v>30</v>
      </c>
      <c r="F959" t="s">
        <v>57</v>
      </c>
      <c r="G959" t="s">
        <v>65</v>
      </c>
      <c r="H959" s="5">
        <v>44524</v>
      </c>
      <c r="I959" t="s">
        <v>1308</v>
      </c>
      <c r="J959" t="s">
        <v>17</v>
      </c>
      <c r="K959" t="s">
        <v>34</v>
      </c>
      <c r="L959" s="1">
        <v>44501</v>
      </c>
      <c r="M959">
        <v>2021</v>
      </c>
    </row>
    <row r="960" spans="1:13" x14ac:dyDescent="0.25">
      <c r="A960" t="s">
        <v>1307</v>
      </c>
      <c r="B960">
        <v>8104</v>
      </c>
      <c r="C960">
        <v>1039</v>
      </c>
      <c r="D960">
        <v>6</v>
      </c>
      <c r="E960" t="s">
        <v>30</v>
      </c>
      <c r="F960" t="s">
        <v>57</v>
      </c>
      <c r="G960" t="s">
        <v>65</v>
      </c>
      <c r="H960" s="5">
        <v>44475</v>
      </c>
      <c r="I960" t="s">
        <v>1309</v>
      </c>
      <c r="J960" t="s">
        <v>17</v>
      </c>
      <c r="K960" t="s">
        <v>18</v>
      </c>
      <c r="L960" s="1">
        <v>44470</v>
      </c>
      <c r="M960">
        <v>2021</v>
      </c>
    </row>
    <row r="961" spans="1:13" x14ac:dyDescent="0.25">
      <c r="A961" t="s">
        <v>1315</v>
      </c>
      <c r="B961">
        <v>3129</v>
      </c>
      <c r="C961">
        <v>55</v>
      </c>
      <c r="D961">
        <v>9</v>
      </c>
      <c r="E961" t="s">
        <v>45</v>
      </c>
      <c r="F961" t="s">
        <v>109</v>
      </c>
      <c r="G961" t="s">
        <v>32</v>
      </c>
      <c r="H961" s="5">
        <v>44445</v>
      </c>
      <c r="I961" t="s">
        <v>1316</v>
      </c>
      <c r="J961" t="s">
        <v>21</v>
      </c>
      <c r="K961" t="s">
        <v>172</v>
      </c>
      <c r="L961" s="1">
        <v>44440</v>
      </c>
      <c r="M961">
        <v>2021</v>
      </c>
    </row>
    <row r="962" spans="1:13" x14ac:dyDescent="0.25">
      <c r="A962" t="s">
        <v>1315</v>
      </c>
      <c r="B962">
        <v>7821</v>
      </c>
      <c r="C962">
        <v>3821</v>
      </c>
      <c r="D962">
        <v>13</v>
      </c>
      <c r="E962" t="s">
        <v>13</v>
      </c>
      <c r="F962" t="s">
        <v>39</v>
      </c>
      <c r="G962" t="s">
        <v>40</v>
      </c>
      <c r="H962" s="5">
        <v>44445</v>
      </c>
      <c r="I962" t="s">
        <v>1316</v>
      </c>
      <c r="J962" t="s">
        <v>21</v>
      </c>
      <c r="K962" t="s">
        <v>172</v>
      </c>
      <c r="L962" s="1">
        <v>44440</v>
      </c>
      <c r="M962">
        <v>2021</v>
      </c>
    </row>
    <row r="963" spans="1:13" x14ac:dyDescent="0.25">
      <c r="A963" t="s">
        <v>1317</v>
      </c>
      <c r="B963">
        <v>9498</v>
      </c>
      <c r="C963">
        <v>256</v>
      </c>
      <c r="D963">
        <v>12</v>
      </c>
      <c r="E963" t="s">
        <v>13</v>
      </c>
      <c r="F963" t="s">
        <v>82</v>
      </c>
      <c r="G963" t="s">
        <v>65</v>
      </c>
      <c r="H963" s="5">
        <v>44249</v>
      </c>
      <c r="I963" t="s">
        <v>1318</v>
      </c>
      <c r="J963" t="s">
        <v>21</v>
      </c>
      <c r="K963" t="s">
        <v>172</v>
      </c>
      <c r="L963" s="1">
        <v>44228</v>
      </c>
      <c r="M963">
        <v>2021</v>
      </c>
    </row>
    <row r="964" spans="1:13" x14ac:dyDescent="0.25">
      <c r="A964" t="s">
        <v>1317</v>
      </c>
      <c r="B964">
        <v>9498</v>
      </c>
      <c r="C964">
        <v>256</v>
      </c>
      <c r="D964">
        <v>12</v>
      </c>
      <c r="E964" t="s">
        <v>13</v>
      </c>
      <c r="F964" t="s">
        <v>82</v>
      </c>
      <c r="G964" t="s">
        <v>65</v>
      </c>
      <c r="H964" s="5">
        <v>44475</v>
      </c>
      <c r="I964" t="s">
        <v>1319</v>
      </c>
      <c r="J964" t="s">
        <v>25</v>
      </c>
      <c r="K964" t="s">
        <v>51</v>
      </c>
      <c r="L964" s="1">
        <v>44470</v>
      </c>
      <c r="M964">
        <v>2021</v>
      </c>
    </row>
    <row r="965" spans="1:13" x14ac:dyDescent="0.25">
      <c r="A965" t="s">
        <v>1328</v>
      </c>
      <c r="B965">
        <v>9909</v>
      </c>
      <c r="C965">
        <v>2999</v>
      </c>
      <c r="D965">
        <v>18</v>
      </c>
      <c r="E965" t="s">
        <v>30</v>
      </c>
      <c r="F965" t="s">
        <v>57</v>
      </c>
      <c r="G965" t="s">
        <v>65</v>
      </c>
      <c r="H965" s="5">
        <v>44331</v>
      </c>
      <c r="I965" t="s">
        <v>1329</v>
      </c>
      <c r="J965" t="s">
        <v>98</v>
      </c>
      <c r="K965" t="s">
        <v>117</v>
      </c>
      <c r="L965" s="1">
        <v>44317</v>
      </c>
      <c r="M965">
        <v>2021</v>
      </c>
    </row>
    <row r="966" spans="1:13" x14ac:dyDescent="0.25">
      <c r="A966" t="s">
        <v>1346</v>
      </c>
      <c r="B966">
        <v>1314</v>
      </c>
      <c r="C966">
        <v>457</v>
      </c>
      <c r="D966">
        <v>8</v>
      </c>
      <c r="E966" t="s">
        <v>45</v>
      </c>
      <c r="F966" t="s">
        <v>60</v>
      </c>
      <c r="G966" t="s">
        <v>40</v>
      </c>
      <c r="H966" s="5">
        <v>44358</v>
      </c>
      <c r="I966" t="s">
        <v>1347</v>
      </c>
      <c r="J966" t="s">
        <v>42</v>
      </c>
      <c r="K966" t="s">
        <v>75</v>
      </c>
      <c r="L966" s="1">
        <v>44348</v>
      </c>
      <c r="M966">
        <v>2021</v>
      </c>
    </row>
    <row r="967" spans="1:13" x14ac:dyDescent="0.25">
      <c r="A967" t="s">
        <v>1353</v>
      </c>
      <c r="B967">
        <v>5557</v>
      </c>
      <c r="C967">
        <v>2114</v>
      </c>
      <c r="D967">
        <v>17</v>
      </c>
      <c r="E967" t="s">
        <v>13</v>
      </c>
      <c r="F967" t="s">
        <v>39</v>
      </c>
      <c r="G967" t="s">
        <v>40</v>
      </c>
      <c r="H967" s="5">
        <v>44344</v>
      </c>
      <c r="I967" t="s">
        <v>1354</v>
      </c>
      <c r="J967" t="s">
        <v>98</v>
      </c>
      <c r="K967" t="s">
        <v>117</v>
      </c>
      <c r="L967" s="1">
        <v>44317</v>
      </c>
      <c r="M967">
        <v>2021</v>
      </c>
    </row>
    <row r="968" spans="1:13" x14ac:dyDescent="0.25">
      <c r="A968" t="s">
        <v>1355</v>
      </c>
      <c r="B968">
        <v>3436</v>
      </c>
      <c r="C968">
        <v>933</v>
      </c>
      <c r="D968">
        <v>3</v>
      </c>
      <c r="E968" t="s">
        <v>13</v>
      </c>
      <c r="F968" t="s">
        <v>14</v>
      </c>
      <c r="G968" t="s">
        <v>47</v>
      </c>
      <c r="H968" s="5">
        <v>44360</v>
      </c>
      <c r="I968" t="s">
        <v>1356</v>
      </c>
      <c r="J968" t="s">
        <v>71</v>
      </c>
      <c r="K968" t="s">
        <v>72</v>
      </c>
      <c r="L968" s="1">
        <v>44348</v>
      </c>
      <c r="M968">
        <v>2021</v>
      </c>
    </row>
    <row r="969" spans="1:13" x14ac:dyDescent="0.25">
      <c r="A969" t="s">
        <v>1359</v>
      </c>
      <c r="B969">
        <v>7620</v>
      </c>
      <c r="C969">
        <v>125</v>
      </c>
      <c r="D969">
        <v>4</v>
      </c>
      <c r="E969" t="s">
        <v>30</v>
      </c>
      <c r="F969" t="s">
        <v>64</v>
      </c>
      <c r="G969" t="s">
        <v>40</v>
      </c>
      <c r="H969" s="5">
        <v>44382</v>
      </c>
      <c r="I969" t="s">
        <v>1360</v>
      </c>
      <c r="J969" t="s">
        <v>42</v>
      </c>
      <c r="K969" t="s">
        <v>92</v>
      </c>
      <c r="L969" s="1">
        <v>44378</v>
      </c>
      <c r="M969">
        <v>2021</v>
      </c>
    </row>
    <row r="970" spans="1:13" x14ac:dyDescent="0.25">
      <c r="A970" t="s">
        <v>1362</v>
      </c>
      <c r="B970">
        <v>4314</v>
      </c>
      <c r="C970">
        <v>1591</v>
      </c>
      <c r="D970">
        <v>5</v>
      </c>
      <c r="E970" t="s">
        <v>45</v>
      </c>
      <c r="F970" t="s">
        <v>46</v>
      </c>
      <c r="G970" t="s">
        <v>32</v>
      </c>
      <c r="H970" s="5">
        <v>44473</v>
      </c>
      <c r="I970" t="s">
        <v>1363</v>
      </c>
      <c r="J970" t="s">
        <v>25</v>
      </c>
      <c r="K970" t="s">
        <v>26</v>
      </c>
      <c r="L970" s="1">
        <v>44470</v>
      </c>
      <c r="M970">
        <v>2021</v>
      </c>
    </row>
    <row r="971" spans="1:13" x14ac:dyDescent="0.25">
      <c r="A971" t="s">
        <v>1366</v>
      </c>
      <c r="B971">
        <v>544</v>
      </c>
      <c r="C971">
        <v>272</v>
      </c>
      <c r="D971">
        <v>2</v>
      </c>
      <c r="E971" t="s">
        <v>13</v>
      </c>
      <c r="F971" t="s">
        <v>39</v>
      </c>
      <c r="G971" t="s">
        <v>32</v>
      </c>
      <c r="H971" s="5">
        <v>44260</v>
      </c>
      <c r="I971" t="s">
        <v>1367</v>
      </c>
      <c r="J971" t="s">
        <v>71</v>
      </c>
      <c r="K971" t="s">
        <v>138</v>
      </c>
      <c r="L971" s="1">
        <v>44256</v>
      </c>
      <c r="M971">
        <v>2021</v>
      </c>
    </row>
    <row r="972" spans="1:13" x14ac:dyDescent="0.25">
      <c r="A972" t="s">
        <v>1369</v>
      </c>
      <c r="B972">
        <v>537</v>
      </c>
      <c r="C972">
        <v>142</v>
      </c>
      <c r="D972">
        <v>20</v>
      </c>
      <c r="E972" t="s">
        <v>30</v>
      </c>
      <c r="F972" t="s">
        <v>57</v>
      </c>
      <c r="G972" t="s">
        <v>40</v>
      </c>
      <c r="H972" s="5">
        <v>44410</v>
      </c>
      <c r="I972" t="s">
        <v>1370</v>
      </c>
      <c r="J972" t="s">
        <v>21</v>
      </c>
      <c r="K972" t="s">
        <v>172</v>
      </c>
      <c r="L972" s="1">
        <v>44409</v>
      </c>
      <c r="M972">
        <v>2021</v>
      </c>
    </row>
    <row r="973" spans="1:13" x14ac:dyDescent="0.25">
      <c r="A973" t="s">
        <v>1401</v>
      </c>
      <c r="B973">
        <v>4897</v>
      </c>
      <c r="C973">
        <v>1001</v>
      </c>
      <c r="D973">
        <v>14</v>
      </c>
      <c r="E973" t="s">
        <v>45</v>
      </c>
      <c r="F973" t="s">
        <v>60</v>
      </c>
      <c r="G973" t="s">
        <v>32</v>
      </c>
      <c r="H973" s="5">
        <v>44537</v>
      </c>
      <c r="I973" t="s">
        <v>1402</v>
      </c>
      <c r="J973" t="s">
        <v>71</v>
      </c>
      <c r="K973" t="s">
        <v>138</v>
      </c>
      <c r="L973" s="1">
        <v>44531</v>
      </c>
      <c r="M973">
        <v>2021</v>
      </c>
    </row>
    <row r="974" spans="1:13" x14ac:dyDescent="0.25">
      <c r="A974" t="s">
        <v>1410</v>
      </c>
      <c r="B974">
        <v>7870</v>
      </c>
      <c r="C974">
        <v>1057</v>
      </c>
      <c r="D974">
        <v>15</v>
      </c>
      <c r="E974" t="s">
        <v>30</v>
      </c>
      <c r="F974" t="s">
        <v>31</v>
      </c>
      <c r="G974" t="s">
        <v>47</v>
      </c>
      <c r="H974" s="5">
        <v>44276</v>
      </c>
      <c r="I974" t="s">
        <v>1412</v>
      </c>
      <c r="J974" t="s">
        <v>98</v>
      </c>
      <c r="K974" t="s">
        <v>117</v>
      </c>
      <c r="L974" s="1">
        <v>44256</v>
      </c>
      <c r="M974">
        <v>2021</v>
      </c>
    </row>
    <row r="975" spans="1:13" x14ac:dyDescent="0.25">
      <c r="A975" t="s">
        <v>1417</v>
      </c>
      <c r="B975">
        <v>6499</v>
      </c>
      <c r="C975">
        <v>2189</v>
      </c>
      <c r="D975">
        <v>18</v>
      </c>
      <c r="E975" t="s">
        <v>13</v>
      </c>
      <c r="F975" t="s">
        <v>14</v>
      </c>
      <c r="G975" t="s">
        <v>40</v>
      </c>
      <c r="H975" s="5">
        <v>44289</v>
      </c>
      <c r="I975" t="s">
        <v>1419</v>
      </c>
      <c r="J975" t="s">
        <v>17</v>
      </c>
      <c r="K975" t="s">
        <v>34</v>
      </c>
      <c r="L975" s="1">
        <v>44287</v>
      </c>
      <c r="M975">
        <v>2021</v>
      </c>
    </row>
    <row r="976" spans="1:13" x14ac:dyDescent="0.25">
      <c r="A976" t="s">
        <v>1425</v>
      </c>
      <c r="B976">
        <v>7417</v>
      </c>
      <c r="C976">
        <v>1334</v>
      </c>
      <c r="D976">
        <v>16</v>
      </c>
      <c r="E976" t="s">
        <v>45</v>
      </c>
      <c r="F976" t="s">
        <v>109</v>
      </c>
      <c r="G976" t="s">
        <v>65</v>
      </c>
      <c r="H976" s="5">
        <v>44474</v>
      </c>
      <c r="I976" t="s">
        <v>1426</v>
      </c>
      <c r="J976" t="s">
        <v>17</v>
      </c>
      <c r="K976" t="s">
        <v>150</v>
      </c>
      <c r="L976" s="1">
        <v>44470</v>
      </c>
      <c r="M976">
        <v>2021</v>
      </c>
    </row>
    <row r="977" spans="1:13" x14ac:dyDescent="0.25">
      <c r="A977" t="s">
        <v>1441</v>
      </c>
      <c r="B977">
        <v>815</v>
      </c>
      <c r="C977">
        <v>54</v>
      </c>
      <c r="D977">
        <v>14</v>
      </c>
      <c r="E977" t="s">
        <v>45</v>
      </c>
      <c r="F977" t="s">
        <v>46</v>
      </c>
      <c r="G977" t="s">
        <v>32</v>
      </c>
      <c r="H977" s="5">
        <v>44341</v>
      </c>
      <c r="I977" t="s">
        <v>1442</v>
      </c>
      <c r="J977" t="s">
        <v>42</v>
      </c>
      <c r="K977" t="s">
        <v>92</v>
      </c>
      <c r="L977" s="1">
        <v>44317</v>
      </c>
      <c r="M977">
        <v>2021</v>
      </c>
    </row>
    <row r="978" spans="1:13" x14ac:dyDescent="0.25">
      <c r="A978" t="s">
        <v>1446</v>
      </c>
      <c r="B978">
        <v>8962</v>
      </c>
      <c r="C978">
        <v>2444</v>
      </c>
      <c r="D978">
        <v>18</v>
      </c>
      <c r="E978" t="s">
        <v>13</v>
      </c>
      <c r="F978" t="s">
        <v>14</v>
      </c>
      <c r="G978" t="s">
        <v>32</v>
      </c>
      <c r="H978" s="5">
        <v>44389</v>
      </c>
      <c r="I978" t="s">
        <v>1447</v>
      </c>
      <c r="J978" t="s">
        <v>98</v>
      </c>
      <c r="K978" t="s">
        <v>117</v>
      </c>
      <c r="L978" s="1">
        <v>44378</v>
      </c>
      <c r="M978">
        <v>2021</v>
      </c>
    </row>
    <row r="979" spans="1:13" x14ac:dyDescent="0.25">
      <c r="A979" t="s">
        <v>1453</v>
      </c>
      <c r="B979">
        <v>6093</v>
      </c>
      <c r="C979">
        <v>3042</v>
      </c>
      <c r="D979">
        <v>9</v>
      </c>
      <c r="E979" t="s">
        <v>45</v>
      </c>
      <c r="F979" t="s">
        <v>109</v>
      </c>
      <c r="G979" t="s">
        <v>32</v>
      </c>
      <c r="H979" s="5">
        <v>44361</v>
      </c>
      <c r="I979" t="s">
        <v>1454</v>
      </c>
      <c r="J979" t="s">
        <v>42</v>
      </c>
      <c r="K979" t="s">
        <v>92</v>
      </c>
      <c r="L979" s="1">
        <v>44348</v>
      </c>
      <c r="M979">
        <v>2021</v>
      </c>
    </row>
    <row r="980" spans="1:13" x14ac:dyDescent="0.25">
      <c r="A980" t="s">
        <v>1453</v>
      </c>
      <c r="B980">
        <v>6093</v>
      </c>
      <c r="C980">
        <v>3042</v>
      </c>
      <c r="D980">
        <v>9</v>
      </c>
      <c r="E980" t="s">
        <v>45</v>
      </c>
      <c r="F980" t="s">
        <v>109</v>
      </c>
      <c r="G980" t="s">
        <v>32</v>
      </c>
      <c r="H980" s="5">
        <v>44256</v>
      </c>
      <c r="I980" t="s">
        <v>1455</v>
      </c>
      <c r="J980" t="s">
        <v>42</v>
      </c>
      <c r="K980" t="s">
        <v>75</v>
      </c>
      <c r="L980" s="1">
        <v>44256</v>
      </c>
      <c r="M980">
        <v>2021</v>
      </c>
    </row>
    <row r="981" spans="1:13" x14ac:dyDescent="0.25">
      <c r="A981" t="s">
        <v>53</v>
      </c>
      <c r="B981">
        <v>2975</v>
      </c>
      <c r="C981">
        <v>462</v>
      </c>
      <c r="D981">
        <v>14</v>
      </c>
      <c r="E981" t="s">
        <v>30</v>
      </c>
      <c r="F981" t="s">
        <v>31</v>
      </c>
      <c r="G981" t="s">
        <v>47</v>
      </c>
      <c r="H981" s="5">
        <v>43913</v>
      </c>
      <c r="I981" t="s">
        <v>54</v>
      </c>
      <c r="J981" t="s">
        <v>25</v>
      </c>
      <c r="K981" t="s">
        <v>51</v>
      </c>
      <c r="L981" s="1">
        <v>43891</v>
      </c>
      <c r="M981">
        <v>2020</v>
      </c>
    </row>
    <row r="982" spans="1:13" x14ac:dyDescent="0.25">
      <c r="A982" t="s">
        <v>56</v>
      </c>
      <c r="B982">
        <v>6851</v>
      </c>
      <c r="C982">
        <v>2812</v>
      </c>
      <c r="D982">
        <v>1</v>
      </c>
      <c r="E982" t="s">
        <v>30</v>
      </c>
      <c r="F982" t="s">
        <v>57</v>
      </c>
      <c r="G982" t="s">
        <v>32</v>
      </c>
      <c r="H982" s="5">
        <v>43955</v>
      </c>
      <c r="I982" t="s">
        <v>58</v>
      </c>
      <c r="J982" t="s">
        <v>17</v>
      </c>
      <c r="K982" t="s">
        <v>34</v>
      </c>
      <c r="L982" s="1">
        <v>43952</v>
      </c>
      <c r="M982">
        <v>2020</v>
      </c>
    </row>
    <row r="983" spans="1:13" x14ac:dyDescent="0.25">
      <c r="A983" t="s">
        <v>56</v>
      </c>
      <c r="B983">
        <v>7626</v>
      </c>
      <c r="C983">
        <v>1046</v>
      </c>
      <c r="D983">
        <v>15</v>
      </c>
      <c r="E983" t="s">
        <v>45</v>
      </c>
      <c r="F983" t="s">
        <v>60</v>
      </c>
      <c r="G983" t="s">
        <v>47</v>
      </c>
      <c r="H983" s="5">
        <v>43955</v>
      </c>
      <c r="I983" t="s">
        <v>58</v>
      </c>
      <c r="J983" t="s">
        <v>17</v>
      </c>
      <c r="K983" t="s">
        <v>34</v>
      </c>
      <c r="L983" s="1">
        <v>43952</v>
      </c>
      <c r="M983">
        <v>2020</v>
      </c>
    </row>
    <row r="984" spans="1:13" x14ac:dyDescent="0.25">
      <c r="A984" t="s">
        <v>56</v>
      </c>
      <c r="B984">
        <v>1023</v>
      </c>
      <c r="C984">
        <v>78</v>
      </c>
      <c r="D984">
        <v>9</v>
      </c>
      <c r="E984" t="s">
        <v>45</v>
      </c>
      <c r="F984" t="s">
        <v>46</v>
      </c>
      <c r="G984" t="s">
        <v>15</v>
      </c>
      <c r="H984" s="5">
        <v>43955</v>
      </c>
      <c r="I984" t="s">
        <v>58</v>
      </c>
      <c r="J984" t="s">
        <v>17</v>
      </c>
      <c r="K984" t="s">
        <v>34</v>
      </c>
      <c r="L984" s="1">
        <v>43952</v>
      </c>
      <c r="M984">
        <v>2020</v>
      </c>
    </row>
    <row r="985" spans="1:13" x14ac:dyDescent="0.25">
      <c r="A985" t="s">
        <v>77</v>
      </c>
      <c r="B985">
        <v>8971</v>
      </c>
      <c r="C985">
        <v>2971</v>
      </c>
      <c r="D985">
        <v>19</v>
      </c>
      <c r="E985" t="s">
        <v>30</v>
      </c>
      <c r="F985" t="s">
        <v>78</v>
      </c>
      <c r="G985" t="s">
        <v>32</v>
      </c>
      <c r="H985" s="5">
        <v>44163</v>
      </c>
      <c r="I985" t="s">
        <v>79</v>
      </c>
      <c r="J985" t="s">
        <v>42</v>
      </c>
      <c r="K985" t="s">
        <v>75</v>
      </c>
      <c r="L985" s="1">
        <v>44136</v>
      </c>
      <c r="M985">
        <v>2020</v>
      </c>
    </row>
    <row r="986" spans="1:13" x14ac:dyDescent="0.25">
      <c r="A986" t="s">
        <v>77</v>
      </c>
      <c r="B986">
        <v>2939</v>
      </c>
      <c r="C986">
        <v>894</v>
      </c>
      <c r="D986">
        <v>20</v>
      </c>
      <c r="E986" t="s">
        <v>30</v>
      </c>
      <c r="F986" t="s">
        <v>78</v>
      </c>
      <c r="G986" t="s">
        <v>65</v>
      </c>
      <c r="H986" s="5">
        <v>44163</v>
      </c>
      <c r="I986" t="s">
        <v>79</v>
      </c>
      <c r="J986" t="s">
        <v>42</v>
      </c>
      <c r="K986" t="s">
        <v>75</v>
      </c>
      <c r="L986" s="1">
        <v>44136</v>
      </c>
      <c r="M986">
        <v>2020</v>
      </c>
    </row>
    <row r="987" spans="1:13" x14ac:dyDescent="0.25">
      <c r="A987" t="s">
        <v>115</v>
      </c>
      <c r="B987">
        <v>8293</v>
      </c>
      <c r="C987">
        <v>2632</v>
      </c>
      <c r="D987">
        <v>8</v>
      </c>
      <c r="E987" t="s">
        <v>30</v>
      </c>
      <c r="F987" t="s">
        <v>78</v>
      </c>
      <c r="G987" t="s">
        <v>65</v>
      </c>
      <c r="H987" s="5">
        <v>44121</v>
      </c>
      <c r="I987" t="s">
        <v>118</v>
      </c>
      <c r="J987" t="s">
        <v>25</v>
      </c>
      <c r="K987" t="s">
        <v>68</v>
      </c>
      <c r="L987" s="1">
        <v>44105</v>
      </c>
      <c r="M987">
        <v>2020</v>
      </c>
    </row>
    <row r="988" spans="1:13" x14ac:dyDescent="0.25">
      <c r="A988" t="s">
        <v>115</v>
      </c>
      <c r="B988">
        <v>2863</v>
      </c>
      <c r="C988">
        <v>205</v>
      </c>
      <c r="D988">
        <v>17</v>
      </c>
      <c r="E988" t="s">
        <v>13</v>
      </c>
      <c r="F988" t="s">
        <v>82</v>
      </c>
      <c r="G988" t="s">
        <v>15</v>
      </c>
      <c r="H988" s="5">
        <v>44121</v>
      </c>
      <c r="I988" t="s">
        <v>118</v>
      </c>
      <c r="J988" t="s">
        <v>25</v>
      </c>
      <c r="K988" t="s">
        <v>68</v>
      </c>
      <c r="L988" s="1">
        <v>44105</v>
      </c>
      <c r="M988">
        <v>2020</v>
      </c>
    </row>
    <row r="989" spans="1:13" x14ac:dyDescent="0.25">
      <c r="A989" t="s">
        <v>140</v>
      </c>
      <c r="B989">
        <v>1016</v>
      </c>
      <c r="C989">
        <v>172</v>
      </c>
      <c r="D989">
        <v>20</v>
      </c>
      <c r="E989" t="s">
        <v>45</v>
      </c>
      <c r="F989" t="s">
        <v>46</v>
      </c>
      <c r="G989" t="s">
        <v>32</v>
      </c>
      <c r="H989" s="5">
        <v>44151</v>
      </c>
      <c r="I989" t="s">
        <v>141</v>
      </c>
      <c r="J989" t="s">
        <v>25</v>
      </c>
      <c r="K989" t="s">
        <v>26</v>
      </c>
      <c r="L989" s="1">
        <v>44136</v>
      </c>
      <c r="M989">
        <v>2020</v>
      </c>
    </row>
    <row r="990" spans="1:13" x14ac:dyDescent="0.25">
      <c r="A990" t="s">
        <v>140</v>
      </c>
      <c r="B990">
        <v>5768</v>
      </c>
      <c r="C990">
        <v>2059</v>
      </c>
      <c r="D990">
        <v>14</v>
      </c>
      <c r="E990" t="s">
        <v>45</v>
      </c>
      <c r="F990" t="s">
        <v>46</v>
      </c>
      <c r="G990" t="s">
        <v>15</v>
      </c>
      <c r="H990" s="5">
        <v>44151</v>
      </c>
      <c r="I990" t="s">
        <v>141</v>
      </c>
      <c r="J990" t="s">
        <v>25</v>
      </c>
      <c r="K990" t="s">
        <v>26</v>
      </c>
      <c r="L990" s="1">
        <v>44136</v>
      </c>
      <c r="M990">
        <v>2020</v>
      </c>
    </row>
    <row r="991" spans="1:13" x14ac:dyDescent="0.25">
      <c r="A991" t="s">
        <v>140</v>
      </c>
      <c r="B991">
        <v>1217</v>
      </c>
      <c r="C991">
        <v>151</v>
      </c>
      <c r="D991">
        <v>3</v>
      </c>
      <c r="E991" t="s">
        <v>45</v>
      </c>
      <c r="F991" t="s">
        <v>46</v>
      </c>
      <c r="G991" t="s">
        <v>47</v>
      </c>
      <c r="H991" s="5">
        <v>44151</v>
      </c>
      <c r="I991" t="s">
        <v>141</v>
      </c>
      <c r="J991" t="s">
        <v>25</v>
      </c>
      <c r="K991" t="s">
        <v>26</v>
      </c>
      <c r="L991" s="1">
        <v>44136</v>
      </c>
      <c r="M991">
        <v>2020</v>
      </c>
    </row>
    <row r="992" spans="1:13" x14ac:dyDescent="0.25">
      <c r="A992" t="s">
        <v>160</v>
      </c>
      <c r="B992">
        <v>3808</v>
      </c>
      <c r="C992">
        <v>1192</v>
      </c>
      <c r="D992">
        <v>4</v>
      </c>
      <c r="E992" t="s">
        <v>30</v>
      </c>
      <c r="F992" t="s">
        <v>57</v>
      </c>
      <c r="G992" t="s">
        <v>15</v>
      </c>
      <c r="H992" s="5">
        <v>43934</v>
      </c>
      <c r="I992" t="s">
        <v>161</v>
      </c>
      <c r="J992" t="s">
        <v>25</v>
      </c>
      <c r="K992" t="s">
        <v>51</v>
      </c>
      <c r="L992" s="1">
        <v>43922</v>
      </c>
      <c r="M992">
        <v>2020</v>
      </c>
    </row>
    <row r="993" spans="1:13" x14ac:dyDescent="0.25">
      <c r="A993" t="s">
        <v>160</v>
      </c>
      <c r="B993">
        <v>2588</v>
      </c>
      <c r="C993">
        <v>705</v>
      </c>
      <c r="D993">
        <v>16</v>
      </c>
      <c r="E993" t="s">
        <v>30</v>
      </c>
      <c r="F993" t="s">
        <v>31</v>
      </c>
      <c r="G993" t="s">
        <v>47</v>
      </c>
      <c r="H993" s="5">
        <v>43934</v>
      </c>
      <c r="I993" t="s">
        <v>161</v>
      </c>
      <c r="J993" t="s">
        <v>25</v>
      </c>
      <c r="K993" t="s">
        <v>51</v>
      </c>
      <c r="L993" s="1">
        <v>43922</v>
      </c>
      <c r="M993">
        <v>2020</v>
      </c>
    </row>
    <row r="994" spans="1:13" x14ac:dyDescent="0.25">
      <c r="A994" t="s">
        <v>183</v>
      </c>
      <c r="B994">
        <v>7595</v>
      </c>
      <c r="C994">
        <v>2873</v>
      </c>
      <c r="D994">
        <v>4</v>
      </c>
      <c r="E994" t="s">
        <v>45</v>
      </c>
      <c r="F994" t="s">
        <v>49</v>
      </c>
      <c r="G994" t="s">
        <v>32</v>
      </c>
      <c r="H994" s="5">
        <v>44061</v>
      </c>
      <c r="I994" t="s">
        <v>184</v>
      </c>
      <c r="J994" t="s">
        <v>42</v>
      </c>
      <c r="K994" t="s">
        <v>43</v>
      </c>
      <c r="L994" s="1">
        <v>44044</v>
      </c>
      <c r="M994">
        <v>2020</v>
      </c>
    </row>
    <row r="995" spans="1:13" x14ac:dyDescent="0.25">
      <c r="A995" t="s">
        <v>195</v>
      </c>
      <c r="B995">
        <v>9109</v>
      </c>
      <c r="C995">
        <v>586</v>
      </c>
      <c r="D995">
        <v>17</v>
      </c>
      <c r="E995" t="s">
        <v>45</v>
      </c>
      <c r="F995" t="s">
        <v>60</v>
      </c>
      <c r="G995" t="s">
        <v>40</v>
      </c>
      <c r="H995" s="5">
        <v>43968</v>
      </c>
      <c r="I995" t="s">
        <v>196</v>
      </c>
      <c r="J995" t="s">
        <v>17</v>
      </c>
      <c r="K995" t="s">
        <v>18</v>
      </c>
      <c r="L995" s="1">
        <v>43952</v>
      </c>
      <c r="M995">
        <v>2020</v>
      </c>
    </row>
    <row r="996" spans="1:13" x14ac:dyDescent="0.25">
      <c r="A996" t="s">
        <v>248</v>
      </c>
      <c r="B996">
        <v>6517</v>
      </c>
      <c r="C996">
        <v>1581</v>
      </c>
      <c r="D996">
        <v>10</v>
      </c>
      <c r="E996" t="s">
        <v>30</v>
      </c>
      <c r="F996" t="s">
        <v>64</v>
      </c>
      <c r="G996" t="s">
        <v>32</v>
      </c>
      <c r="H996" s="5">
        <v>43965</v>
      </c>
      <c r="I996" t="s">
        <v>250</v>
      </c>
      <c r="J996" t="s">
        <v>17</v>
      </c>
      <c r="K996" t="s">
        <v>150</v>
      </c>
      <c r="L996" s="1">
        <v>43952</v>
      </c>
      <c r="M996">
        <v>2020</v>
      </c>
    </row>
    <row r="997" spans="1:13" x14ac:dyDescent="0.25">
      <c r="A997" t="s">
        <v>248</v>
      </c>
      <c r="B997">
        <v>1166</v>
      </c>
      <c r="C997">
        <v>349</v>
      </c>
      <c r="D997">
        <v>11</v>
      </c>
      <c r="E997" t="s">
        <v>45</v>
      </c>
      <c r="F997" t="s">
        <v>46</v>
      </c>
      <c r="G997" t="s">
        <v>47</v>
      </c>
      <c r="H997" s="5">
        <v>43965</v>
      </c>
      <c r="I997" t="s">
        <v>250</v>
      </c>
      <c r="J997" t="s">
        <v>17</v>
      </c>
      <c r="K997" t="s">
        <v>150</v>
      </c>
      <c r="L997" s="1">
        <v>43952</v>
      </c>
      <c r="M997">
        <v>2020</v>
      </c>
    </row>
    <row r="998" spans="1:13" x14ac:dyDescent="0.25">
      <c r="A998" t="s">
        <v>265</v>
      </c>
      <c r="B998">
        <v>9883</v>
      </c>
      <c r="C998">
        <v>4812</v>
      </c>
      <c r="D998">
        <v>16</v>
      </c>
      <c r="E998" t="s">
        <v>30</v>
      </c>
      <c r="F998" t="s">
        <v>64</v>
      </c>
      <c r="G998" t="s">
        <v>15</v>
      </c>
      <c r="H998" s="5">
        <v>44124</v>
      </c>
      <c r="I998" t="s">
        <v>266</v>
      </c>
      <c r="J998" t="s">
        <v>25</v>
      </c>
      <c r="K998" t="s">
        <v>26</v>
      </c>
      <c r="L998" s="1">
        <v>44105</v>
      </c>
      <c r="M998">
        <v>2020</v>
      </c>
    </row>
    <row r="999" spans="1:13" x14ac:dyDescent="0.25">
      <c r="A999" t="s">
        <v>265</v>
      </c>
      <c r="B999">
        <v>5210</v>
      </c>
      <c r="C999">
        <v>1185</v>
      </c>
      <c r="D999">
        <v>7</v>
      </c>
      <c r="E999" t="s">
        <v>30</v>
      </c>
      <c r="F999" t="s">
        <v>64</v>
      </c>
      <c r="G999" t="s">
        <v>15</v>
      </c>
      <c r="H999" s="5">
        <v>44124</v>
      </c>
      <c r="I999" t="s">
        <v>266</v>
      </c>
      <c r="J999" t="s">
        <v>25</v>
      </c>
      <c r="K999" t="s">
        <v>26</v>
      </c>
      <c r="L999" s="1">
        <v>44105</v>
      </c>
      <c r="M999">
        <v>2020</v>
      </c>
    </row>
    <row r="1000" spans="1:13" x14ac:dyDescent="0.25">
      <c r="A1000" t="s">
        <v>277</v>
      </c>
      <c r="B1000">
        <v>8346</v>
      </c>
      <c r="C1000">
        <v>1176</v>
      </c>
      <c r="D1000">
        <v>1</v>
      </c>
      <c r="E1000" t="s">
        <v>13</v>
      </c>
      <c r="F1000" t="s">
        <v>82</v>
      </c>
      <c r="G1000" t="s">
        <v>65</v>
      </c>
      <c r="H1000" s="5">
        <v>44064</v>
      </c>
      <c r="I1000" t="s">
        <v>278</v>
      </c>
      <c r="J1000" t="s">
        <v>71</v>
      </c>
      <c r="K1000" t="s">
        <v>138</v>
      </c>
      <c r="L1000" s="1">
        <v>44044</v>
      </c>
      <c r="M1000">
        <v>2020</v>
      </c>
    </row>
    <row r="1001" spans="1:13" x14ac:dyDescent="0.25">
      <c r="A1001" t="s">
        <v>277</v>
      </c>
      <c r="B1001">
        <v>6218</v>
      </c>
      <c r="C1001">
        <v>1125</v>
      </c>
      <c r="D1001">
        <v>5</v>
      </c>
      <c r="E1001" t="s">
        <v>45</v>
      </c>
      <c r="F1001" t="s">
        <v>46</v>
      </c>
      <c r="G1001" t="s">
        <v>32</v>
      </c>
      <c r="H1001" s="5">
        <v>44064</v>
      </c>
      <c r="I1001" t="s">
        <v>278</v>
      </c>
      <c r="J1001" t="s">
        <v>71</v>
      </c>
      <c r="K1001" t="s">
        <v>138</v>
      </c>
      <c r="L1001" s="1">
        <v>44044</v>
      </c>
      <c r="M1001">
        <v>2020</v>
      </c>
    </row>
    <row r="1002" spans="1:13" x14ac:dyDescent="0.25">
      <c r="A1002" t="s">
        <v>277</v>
      </c>
      <c r="B1002">
        <v>5167</v>
      </c>
      <c r="C1002">
        <v>253</v>
      </c>
      <c r="D1002">
        <v>14</v>
      </c>
      <c r="E1002" t="s">
        <v>13</v>
      </c>
      <c r="F1002" t="s">
        <v>28</v>
      </c>
      <c r="G1002" t="s">
        <v>47</v>
      </c>
      <c r="H1002" s="5">
        <v>44064</v>
      </c>
      <c r="I1002" t="s">
        <v>278</v>
      </c>
      <c r="J1002" t="s">
        <v>71</v>
      </c>
      <c r="K1002" t="s">
        <v>138</v>
      </c>
      <c r="L1002" s="1">
        <v>44044</v>
      </c>
      <c r="M1002">
        <v>2020</v>
      </c>
    </row>
    <row r="1003" spans="1:13" x14ac:dyDescent="0.25">
      <c r="A1003" t="s">
        <v>277</v>
      </c>
      <c r="B1003">
        <v>2799</v>
      </c>
      <c r="C1003">
        <v>1239</v>
      </c>
      <c r="D1003">
        <v>5</v>
      </c>
      <c r="E1003" t="s">
        <v>45</v>
      </c>
      <c r="F1003" t="s">
        <v>60</v>
      </c>
      <c r="G1003" t="s">
        <v>32</v>
      </c>
      <c r="H1003" s="5">
        <v>44064</v>
      </c>
      <c r="I1003" t="s">
        <v>278</v>
      </c>
      <c r="J1003" t="s">
        <v>71</v>
      </c>
      <c r="K1003" t="s">
        <v>138</v>
      </c>
      <c r="L1003" s="1">
        <v>44044</v>
      </c>
      <c r="M1003">
        <v>2020</v>
      </c>
    </row>
    <row r="1004" spans="1:13" x14ac:dyDescent="0.25">
      <c r="A1004" t="s">
        <v>285</v>
      </c>
      <c r="B1004">
        <v>8586</v>
      </c>
      <c r="C1004">
        <v>3826</v>
      </c>
      <c r="D1004">
        <v>7</v>
      </c>
      <c r="E1004" t="s">
        <v>45</v>
      </c>
      <c r="F1004" t="s">
        <v>109</v>
      </c>
      <c r="G1004" t="s">
        <v>15</v>
      </c>
      <c r="H1004" s="5">
        <v>44186</v>
      </c>
      <c r="I1004" t="s">
        <v>286</v>
      </c>
      <c r="J1004" t="s">
        <v>17</v>
      </c>
      <c r="K1004" t="s">
        <v>18</v>
      </c>
      <c r="L1004" s="1">
        <v>44166</v>
      </c>
      <c r="M1004">
        <v>2020</v>
      </c>
    </row>
    <row r="1005" spans="1:13" x14ac:dyDescent="0.25">
      <c r="A1005" t="s">
        <v>311</v>
      </c>
      <c r="B1005">
        <v>9965</v>
      </c>
      <c r="C1005">
        <v>3033</v>
      </c>
      <c r="D1005">
        <v>16</v>
      </c>
      <c r="E1005" t="s">
        <v>30</v>
      </c>
      <c r="F1005" t="s">
        <v>57</v>
      </c>
      <c r="G1005" t="s">
        <v>65</v>
      </c>
      <c r="H1005" s="5">
        <v>43999</v>
      </c>
      <c r="I1005" t="s">
        <v>312</v>
      </c>
      <c r="J1005" t="s">
        <v>42</v>
      </c>
      <c r="K1005" t="s">
        <v>92</v>
      </c>
      <c r="L1005" s="1">
        <v>43983</v>
      </c>
      <c r="M1005">
        <v>2020</v>
      </c>
    </row>
    <row r="1006" spans="1:13" x14ac:dyDescent="0.25">
      <c r="A1006" t="s">
        <v>342</v>
      </c>
      <c r="B1006">
        <v>738</v>
      </c>
      <c r="C1006">
        <v>342</v>
      </c>
      <c r="D1006">
        <v>2</v>
      </c>
      <c r="E1006" t="s">
        <v>45</v>
      </c>
      <c r="F1006" t="s">
        <v>49</v>
      </c>
      <c r="G1006" t="s">
        <v>32</v>
      </c>
      <c r="H1006" s="5">
        <v>44170</v>
      </c>
      <c r="I1006" t="s">
        <v>344</v>
      </c>
      <c r="J1006" t="s">
        <v>25</v>
      </c>
      <c r="K1006" t="s">
        <v>26</v>
      </c>
      <c r="L1006" s="1">
        <v>44166</v>
      </c>
      <c r="M1006">
        <v>2020</v>
      </c>
    </row>
    <row r="1007" spans="1:13" x14ac:dyDescent="0.25">
      <c r="A1007" t="s">
        <v>356</v>
      </c>
      <c r="B1007">
        <v>2465</v>
      </c>
      <c r="C1007">
        <v>699</v>
      </c>
      <c r="D1007">
        <v>18</v>
      </c>
      <c r="E1007" t="s">
        <v>30</v>
      </c>
      <c r="F1007" t="s">
        <v>57</v>
      </c>
      <c r="G1007" t="s">
        <v>32</v>
      </c>
      <c r="H1007" s="5">
        <v>43973</v>
      </c>
      <c r="I1007" t="s">
        <v>357</v>
      </c>
      <c r="J1007" t="s">
        <v>42</v>
      </c>
      <c r="K1007" t="s">
        <v>92</v>
      </c>
      <c r="L1007" s="1">
        <v>43952</v>
      </c>
      <c r="M1007">
        <v>2020</v>
      </c>
    </row>
    <row r="1008" spans="1:13" x14ac:dyDescent="0.25">
      <c r="A1008" t="s">
        <v>365</v>
      </c>
      <c r="B1008">
        <v>9536</v>
      </c>
      <c r="C1008">
        <v>1437</v>
      </c>
      <c r="D1008">
        <v>9</v>
      </c>
      <c r="E1008" t="s">
        <v>13</v>
      </c>
      <c r="F1008" t="s">
        <v>82</v>
      </c>
      <c r="G1008" t="s">
        <v>15</v>
      </c>
      <c r="H1008" s="5">
        <v>43923</v>
      </c>
      <c r="I1008" t="s">
        <v>366</v>
      </c>
      <c r="J1008" t="s">
        <v>17</v>
      </c>
      <c r="K1008" t="s">
        <v>34</v>
      </c>
      <c r="L1008" s="1">
        <v>43922</v>
      </c>
      <c r="M1008">
        <v>2020</v>
      </c>
    </row>
    <row r="1009" spans="1:13" x14ac:dyDescent="0.25">
      <c r="A1009" t="s">
        <v>365</v>
      </c>
      <c r="B1009">
        <v>2225</v>
      </c>
      <c r="C1009">
        <v>589</v>
      </c>
      <c r="D1009">
        <v>7</v>
      </c>
      <c r="E1009" t="s">
        <v>45</v>
      </c>
      <c r="F1009" t="s">
        <v>60</v>
      </c>
      <c r="G1009" t="s">
        <v>47</v>
      </c>
      <c r="H1009" s="5">
        <v>43923</v>
      </c>
      <c r="I1009" t="s">
        <v>366</v>
      </c>
      <c r="J1009" t="s">
        <v>17</v>
      </c>
      <c r="K1009" t="s">
        <v>34</v>
      </c>
      <c r="L1009" s="1">
        <v>43922</v>
      </c>
      <c r="M1009">
        <v>2020</v>
      </c>
    </row>
    <row r="1010" spans="1:13" x14ac:dyDescent="0.25">
      <c r="A1010" t="s">
        <v>377</v>
      </c>
      <c r="B1010">
        <v>869</v>
      </c>
      <c r="C1010">
        <v>373</v>
      </c>
      <c r="D1010">
        <v>14</v>
      </c>
      <c r="E1010" t="s">
        <v>30</v>
      </c>
      <c r="F1010" t="s">
        <v>64</v>
      </c>
      <c r="G1010" t="s">
        <v>47</v>
      </c>
      <c r="H1010" s="5">
        <v>43929</v>
      </c>
      <c r="I1010" t="s">
        <v>379</v>
      </c>
      <c r="J1010" t="s">
        <v>98</v>
      </c>
      <c r="K1010" t="s">
        <v>117</v>
      </c>
      <c r="L1010" s="1">
        <v>43922</v>
      </c>
      <c r="M1010">
        <v>2020</v>
      </c>
    </row>
    <row r="1011" spans="1:13" x14ac:dyDescent="0.25">
      <c r="A1011" t="s">
        <v>377</v>
      </c>
      <c r="B1011">
        <v>1486</v>
      </c>
      <c r="C1011">
        <v>114</v>
      </c>
      <c r="D1011">
        <v>7</v>
      </c>
      <c r="E1011" t="s">
        <v>45</v>
      </c>
      <c r="F1011" t="s">
        <v>109</v>
      </c>
      <c r="G1011" t="s">
        <v>15</v>
      </c>
      <c r="H1011" s="5">
        <v>43929</v>
      </c>
      <c r="I1011" t="s">
        <v>379</v>
      </c>
      <c r="J1011" t="s">
        <v>98</v>
      </c>
      <c r="K1011" t="s">
        <v>117</v>
      </c>
      <c r="L1011" s="1">
        <v>43922</v>
      </c>
      <c r="M1011">
        <v>2020</v>
      </c>
    </row>
    <row r="1012" spans="1:13" x14ac:dyDescent="0.25">
      <c r="A1012" t="s">
        <v>385</v>
      </c>
      <c r="B1012">
        <v>1033</v>
      </c>
      <c r="C1012">
        <v>254</v>
      </c>
      <c r="D1012">
        <v>5</v>
      </c>
      <c r="E1012" t="s">
        <v>45</v>
      </c>
      <c r="F1012" t="s">
        <v>109</v>
      </c>
      <c r="G1012" t="s">
        <v>65</v>
      </c>
      <c r="H1012" s="5">
        <v>44071</v>
      </c>
      <c r="I1012" t="s">
        <v>386</v>
      </c>
      <c r="J1012" t="s">
        <v>25</v>
      </c>
      <c r="K1012" t="s">
        <v>68</v>
      </c>
      <c r="L1012" s="1">
        <v>44044</v>
      </c>
      <c r="M1012">
        <v>2020</v>
      </c>
    </row>
    <row r="1013" spans="1:13" x14ac:dyDescent="0.25">
      <c r="A1013" t="s">
        <v>387</v>
      </c>
      <c r="B1013">
        <v>1518</v>
      </c>
      <c r="C1013">
        <v>159</v>
      </c>
      <c r="D1013">
        <v>19</v>
      </c>
      <c r="E1013" t="s">
        <v>13</v>
      </c>
      <c r="F1013" t="s">
        <v>28</v>
      </c>
      <c r="G1013" t="s">
        <v>15</v>
      </c>
      <c r="H1013" s="5">
        <v>44100</v>
      </c>
      <c r="I1013" t="s">
        <v>388</v>
      </c>
      <c r="J1013" t="s">
        <v>42</v>
      </c>
      <c r="K1013" t="s">
        <v>75</v>
      </c>
      <c r="L1013" s="1">
        <v>44075</v>
      </c>
      <c r="M1013">
        <v>2020</v>
      </c>
    </row>
    <row r="1014" spans="1:13" x14ac:dyDescent="0.25">
      <c r="A1014" t="s">
        <v>390</v>
      </c>
      <c r="B1014">
        <v>8581</v>
      </c>
      <c r="C1014">
        <v>2444</v>
      </c>
      <c r="D1014">
        <v>2</v>
      </c>
      <c r="E1014" t="s">
        <v>30</v>
      </c>
      <c r="F1014" t="s">
        <v>64</v>
      </c>
      <c r="G1014" t="s">
        <v>32</v>
      </c>
      <c r="H1014" s="5">
        <v>44178</v>
      </c>
      <c r="I1014" t="s">
        <v>391</v>
      </c>
      <c r="J1014" t="s">
        <v>21</v>
      </c>
      <c r="K1014" t="s">
        <v>172</v>
      </c>
      <c r="L1014" s="1">
        <v>44166</v>
      </c>
      <c r="M1014">
        <v>2020</v>
      </c>
    </row>
    <row r="1015" spans="1:13" x14ac:dyDescent="0.25">
      <c r="A1015" t="s">
        <v>390</v>
      </c>
      <c r="B1015">
        <v>8581</v>
      </c>
      <c r="C1015">
        <v>2444</v>
      </c>
      <c r="D1015">
        <v>2</v>
      </c>
      <c r="E1015" t="s">
        <v>30</v>
      </c>
      <c r="F1015" t="s">
        <v>64</v>
      </c>
      <c r="G1015" t="s">
        <v>32</v>
      </c>
      <c r="H1015" s="5">
        <v>44154</v>
      </c>
      <c r="I1015" t="s">
        <v>392</v>
      </c>
      <c r="J1015" t="s">
        <v>17</v>
      </c>
      <c r="K1015" t="s">
        <v>34</v>
      </c>
      <c r="L1015" s="1">
        <v>44136</v>
      </c>
      <c r="M1015">
        <v>2020</v>
      </c>
    </row>
    <row r="1016" spans="1:13" x14ac:dyDescent="0.25">
      <c r="A1016" t="s">
        <v>395</v>
      </c>
      <c r="B1016">
        <v>8204</v>
      </c>
      <c r="C1016">
        <v>2382</v>
      </c>
      <c r="D1016">
        <v>6</v>
      </c>
      <c r="E1016" t="s">
        <v>30</v>
      </c>
      <c r="F1016" t="s">
        <v>31</v>
      </c>
      <c r="G1016" t="s">
        <v>15</v>
      </c>
      <c r="H1016" s="5">
        <v>43921</v>
      </c>
      <c r="I1016" t="s">
        <v>396</v>
      </c>
      <c r="J1016" t="s">
        <v>21</v>
      </c>
      <c r="K1016" t="s">
        <v>22</v>
      </c>
      <c r="L1016" s="1">
        <v>43891</v>
      </c>
      <c r="M1016">
        <v>2020</v>
      </c>
    </row>
    <row r="1017" spans="1:13" x14ac:dyDescent="0.25">
      <c r="A1017" t="s">
        <v>395</v>
      </c>
      <c r="B1017">
        <v>8204</v>
      </c>
      <c r="C1017">
        <v>2382</v>
      </c>
      <c r="D1017">
        <v>6</v>
      </c>
      <c r="E1017" t="s">
        <v>30</v>
      </c>
      <c r="F1017" t="s">
        <v>31</v>
      </c>
      <c r="G1017" t="s">
        <v>15</v>
      </c>
      <c r="H1017" s="5">
        <v>44124</v>
      </c>
      <c r="I1017" t="s">
        <v>397</v>
      </c>
      <c r="J1017" t="s">
        <v>25</v>
      </c>
      <c r="K1017" t="s">
        <v>26</v>
      </c>
      <c r="L1017" s="1">
        <v>44105</v>
      </c>
      <c r="M1017">
        <v>2020</v>
      </c>
    </row>
    <row r="1018" spans="1:13" x14ac:dyDescent="0.25">
      <c r="A1018" t="s">
        <v>395</v>
      </c>
      <c r="B1018">
        <v>2850</v>
      </c>
      <c r="C1018">
        <v>904</v>
      </c>
      <c r="D1018">
        <v>6</v>
      </c>
      <c r="E1018" t="s">
        <v>13</v>
      </c>
      <c r="F1018" t="s">
        <v>82</v>
      </c>
      <c r="G1018" t="s">
        <v>40</v>
      </c>
      <c r="H1018" s="5">
        <v>43921</v>
      </c>
      <c r="I1018" t="s">
        <v>396</v>
      </c>
      <c r="J1018" t="s">
        <v>21</v>
      </c>
      <c r="K1018" t="s">
        <v>22</v>
      </c>
      <c r="L1018" s="1">
        <v>43891</v>
      </c>
      <c r="M1018">
        <v>2020</v>
      </c>
    </row>
    <row r="1019" spans="1:13" x14ac:dyDescent="0.25">
      <c r="A1019" t="s">
        <v>395</v>
      </c>
      <c r="B1019">
        <v>2850</v>
      </c>
      <c r="C1019">
        <v>904</v>
      </c>
      <c r="D1019">
        <v>6</v>
      </c>
      <c r="E1019" t="s">
        <v>13</v>
      </c>
      <c r="F1019" t="s">
        <v>82</v>
      </c>
      <c r="G1019" t="s">
        <v>40</v>
      </c>
      <c r="H1019" s="5">
        <v>44124</v>
      </c>
      <c r="I1019" t="s">
        <v>397</v>
      </c>
      <c r="J1019" t="s">
        <v>25</v>
      </c>
      <c r="K1019" t="s">
        <v>26</v>
      </c>
      <c r="L1019" s="1">
        <v>44105</v>
      </c>
      <c r="M1019">
        <v>2020</v>
      </c>
    </row>
    <row r="1020" spans="1:13" x14ac:dyDescent="0.25">
      <c r="A1020" t="s">
        <v>404</v>
      </c>
      <c r="B1020">
        <v>2119</v>
      </c>
      <c r="C1020">
        <v>196</v>
      </c>
      <c r="D1020">
        <v>1</v>
      </c>
      <c r="E1020" t="s">
        <v>45</v>
      </c>
      <c r="F1020" t="s">
        <v>60</v>
      </c>
      <c r="G1020" t="s">
        <v>65</v>
      </c>
      <c r="H1020" s="5">
        <v>44059</v>
      </c>
      <c r="I1020" t="s">
        <v>405</v>
      </c>
      <c r="J1020" t="s">
        <v>42</v>
      </c>
      <c r="K1020" t="s">
        <v>43</v>
      </c>
      <c r="L1020" s="1">
        <v>44044</v>
      </c>
      <c r="M1020">
        <v>2020</v>
      </c>
    </row>
    <row r="1021" spans="1:13" x14ac:dyDescent="0.25">
      <c r="A1021" t="s">
        <v>425</v>
      </c>
      <c r="B1021">
        <v>1574</v>
      </c>
      <c r="C1021">
        <v>258</v>
      </c>
      <c r="D1021">
        <v>17</v>
      </c>
      <c r="E1021" t="s">
        <v>30</v>
      </c>
      <c r="F1021" t="s">
        <v>31</v>
      </c>
      <c r="G1021" t="s">
        <v>40</v>
      </c>
      <c r="H1021" s="5">
        <v>44089</v>
      </c>
      <c r="I1021" t="s">
        <v>426</v>
      </c>
      <c r="J1021" t="s">
        <v>42</v>
      </c>
      <c r="K1021" t="s">
        <v>75</v>
      </c>
      <c r="L1021" s="1">
        <v>44075</v>
      </c>
      <c r="M1021">
        <v>2020</v>
      </c>
    </row>
    <row r="1022" spans="1:13" x14ac:dyDescent="0.25">
      <c r="A1022" t="s">
        <v>425</v>
      </c>
      <c r="B1022">
        <v>5635</v>
      </c>
      <c r="C1022">
        <v>318</v>
      </c>
      <c r="D1022">
        <v>17</v>
      </c>
      <c r="E1022" t="s">
        <v>30</v>
      </c>
      <c r="F1022" t="s">
        <v>78</v>
      </c>
      <c r="G1022" t="s">
        <v>15</v>
      </c>
      <c r="H1022" s="5">
        <v>44089</v>
      </c>
      <c r="I1022" t="s">
        <v>426</v>
      </c>
      <c r="J1022" t="s">
        <v>42</v>
      </c>
      <c r="K1022" t="s">
        <v>75</v>
      </c>
      <c r="L1022" s="1">
        <v>44075</v>
      </c>
      <c r="M1022">
        <v>2020</v>
      </c>
    </row>
    <row r="1023" spans="1:13" x14ac:dyDescent="0.25">
      <c r="A1023" t="s">
        <v>425</v>
      </c>
      <c r="B1023">
        <v>6515</v>
      </c>
      <c r="C1023">
        <v>961</v>
      </c>
      <c r="D1023">
        <v>11</v>
      </c>
      <c r="E1023" t="s">
        <v>45</v>
      </c>
      <c r="F1023" t="s">
        <v>60</v>
      </c>
      <c r="G1023" t="s">
        <v>32</v>
      </c>
      <c r="H1023" s="5">
        <v>44089</v>
      </c>
      <c r="I1023" t="s">
        <v>426</v>
      </c>
      <c r="J1023" t="s">
        <v>42</v>
      </c>
      <c r="K1023" t="s">
        <v>75</v>
      </c>
      <c r="L1023" s="1">
        <v>44075</v>
      </c>
      <c r="M1023">
        <v>2020</v>
      </c>
    </row>
    <row r="1024" spans="1:13" x14ac:dyDescent="0.25">
      <c r="A1024" t="s">
        <v>427</v>
      </c>
      <c r="B1024">
        <v>1231</v>
      </c>
      <c r="C1024">
        <v>214</v>
      </c>
      <c r="D1024">
        <v>20</v>
      </c>
      <c r="E1024" t="s">
        <v>13</v>
      </c>
      <c r="F1024" t="s">
        <v>39</v>
      </c>
      <c r="G1024" t="s">
        <v>32</v>
      </c>
      <c r="H1024" s="5">
        <v>43998</v>
      </c>
      <c r="I1024" t="s">
        <v>429</v>
      </c>
      <c r="J1024" t="s">
        <v>25</v>
      </c>
      <c r="K1024" t="s">
        <v>68</v>
      </c>
      <c r="L1024" s="1">
        <v>43983</v>
      </c>
      <c r="M1024">
        <v>2020</v>
      </c>
    </row>
    <row r="1025" spans="1:13" x14ac:dyDescent="0.25">
      <c r="A1025" t="s">
        <v>447</v>
      </c>
      <c r="B1025">
        <v>8769</v>
      </c>
      <c r="C1025">
        <v>1989</v>
      </c>
      <c r="D1025">
        <v>20</v>
      </c>
      <c r="E1025" t="s">
        <v>30</v>
      </c>
      <c r="F1025" t="s">
        <v>64</v>
      </c>
      <c r="G1025" t="s">
        <v>15</v>
      </c>
      <c r="H1025" s="5">
        <v>44138</v>
      </c>
      <c r="I1025" t="s">
        <v>448</v>
      </c>
      <c r="J1025" t="s">
        <v>21</v>
      </c>
      <c r="K1025" t="s">
        <v>22</v>
      </c>
      <c r="L1025" s="1">
        <v>44136</v>
      </c>
      <c r="M1025">
        <v>2020</v>
      </c>
    </row>
    <row r="1026" spans="1:13" x14ac:dyDescent="0.25">
      <c r="A1026" t="s">
        <v>460</v>
      </c>
      <c r="B1026">
        <v>3423</v>
      </c>
      <c r="C1026">
        <v>804</v>
      </c>
      <c r="D1026">
        <v>4</v>
      </c>
      <c r="E1026" t="s">
        <v>13</v>
      </c>
      <c r="F1026" t="s">
        <v>28</v>
      </c>
      <c r="G1026" t="s">
        <v>47</v>
      </c>
      <c r="H1026" s="5">
        <v>44021</v>
      </c>
      <c r="I1026" t="s">
        <v>461</v>
      </c>
      <c r="J1026" t="s">
        <v>21</v>
      </c>
      <c r="K1026" t="s">
        <v>172</v>
      </c>
      <c r="L1026" s="1">
        <v>44013</v>
      </c>
      <c r="M1026">
        <v>2020</v>
      </c>
    </row>
    <row r="1027" spans="1:13" x14ac:dyDescent="0.25">
      <c r="A1027" t="s">
        <v>460</v>
      </c>
      <c r="B1027">
        <v>3423</v>
      </c>
      <c r="C1027">
        <v>804</v>
      </c>
      <c r="D1027">
        <v>4</v>
      </c>
      <c r="E1027" t="s">
        <v>13</v>
      </c>
      <c r="F1027" t="s">
        <v>28</v>
      </c>
      <c r="G1027" t="s">
        <v>47</v>
      </c>
      <c r="H1027" s="5">
        <v>44037</v>
      </c>
      <c r="I1027" t="s">
        <v>463</v>
      </c>
      <c r="J1027" t="s">
        <v>71</v>
      </c>
      <c r="K1027" t="s">
        <v>72</v>
      </c>
      <c r="L1027" s="1">
        <v>44013</v>
      </c>
      <c r="M1027">
        <v>2020</v>
      </c>
    </row>
    <row r="1028" spans="1:13" x14ac:dyDescent="0.25">
      <c r="A1028" t="s">
        <v>460</v>
      </c>
      <c r="B1028">
        <v>3423</v>
      </c>
      <c r="C1028">
        <v>804</v>
      </c>
      <c r="D1028">
        <v>4</v>
      </c>
      <c r="E1028" t="s">
        <v>13</v>
      </c>
      <c r="F1028" t="s">
        <v>28</v>
      </c>
      <c r="G1028" t="s">
        <v>47</v>
      </c>
      <c r="H1028" s="5">
        <v>43955</v>
      </c>
      <c r="I1028" t="s">
        <v>465</v>
      </c>
      <c r="J1028" t="s">
        <v>71</v>
      </c>
      <c r="K1028" t="s">
        <v>72</v>
      </c>
      <c r="L1028" s="1">
        <v>43952</v>
      </c>
      <c r="M1028">
        <v>2020</v>
      </c>
    </row>
    <row r="1029" spans="1:13" x14ac:dyDescent="0.25">
      <c r="A1029" t="s">
        <v>475</v>
      </c>
      <c r="B1029">
        <v>6016</v>
      </c>
      <c r="C1029">
        <v>431</v>
      </c>
      <c r="D1029">
        <v>20</v>
      </c>
      <c r="E1029" t="s">
        <v>30</v>
      </c>
      <c r="F1029" t="s">
        <v>31</v>
      </c>
      <c r="G1029" t="s">
        <v>15</v>
      </c>
      <c r="H1029" s="5">
        <v>44132</v>
      </c>
      <c r="I1029" t="s">
        <v>476</v>
      </c>
      <c r="J1029" t="s">
        <v>21</v>
      </c>
      <c r="K1029" t="s">
        <v>22</v>
      </c>
      <c r="L1029" s="1">
        <v>44105</v>
      </c>
      <c r="M1029">
        <v>2020</v>
      </c>
    </row>
    <row r="1030" spans="1:13" x14ac:dyDescent="0.25">
      <c r="A1030" t="s">
        <v>480</v>
      </c>
      <c r="B1030">
        <v>4569</v>
      </c>
      <c r="C1030">
        <v>1693</v>
      </c>
      <c r="D1030">
        <v>10</v>
      </c>
      <c r="E1030" t="s">
        <v>13</v>
      </c>
      <c r="F1030" t="s">
        <v>28</v>
      </c>
      <c r="G1030" t="s">
        <v>15</v>
      </c>
      <c r="H1030" s="5">
        <v>44078</v>
      </c>
      <c r="I1030" t="s">
        <v>481</v>
      </c>
      <c r="J1030" t="s">
        <v>21</v>
      </c>
      <c r="K1030" t="s">
        <v>63</v>
      </c>
      <c r="L1030" s="1">
        <v>44075</v>
      </c>
      <c r="M1030">
        <v>2020</v>
      </c>
    </row>
    <row r="1031" spans="1:13" x14ac:dyDescent="0.25">
      <c r="A1031" t="s">
        <v>491</v>
      </c>
      <c r="B1031">
        <v>4027</v>
      </c>
      <c r="C1031">
        <v>1386</v>
      </c>
      <c r="D1031">
        <v>3</v>
      </c>
      <c r="E1031" t="s">
        <v>45</v>
      </c>
      <c r="F1031" t="s">
        <v>109</v>
      </c>
      <c r="G1031" t="s">
        <v>40</v>
      </c>
      <c r="H1031" s="5">
        <v>44070</v>
      </c>
      <c r="I1031" t="s">
        <v>492</v>
      </c>
      <c r="J1031" t="s">
        <v>17</v>
      </c>
      <c r="K1031" t="s">
        <v>150</v>
      </c>
      <c r="L1031" s="1">
        <v>44044</v>
      </c>
      <c r="M1031">
        <v>2020</v>
      </c>
    </row>
    <row r="1032" spans="1:13" x14ac:dyDescent="0.25">
      <c r="A1032" t="s">
        <v>495</v>
      </c>
      <c r="B1032">
        <v>7684</v>
      </c>
      <c r="C1032">
        <v>1157</v>
      </c>
      <c r="D1032">
        <v>12</v>
      </c>
      <c r="E1032" t="s">
        <v>45</v>
      </c>
      <c r="F1032" t="s">
        <v>60</v>
      </c>
      <c r="G1032" t="s">
        <v>65</v>
      </c>
      <c r="H1032" s="5">
        <v>44106</v>
      </c>
      <c r="I1032" t="s">
        <v>496</v>
      </c>
      <c r="J1032" t="s">
        <v>21</v>
      </c>
      <c r="K1032" t="s">
        <v>22</v>
      </c>
      <c r="L1032" s="1">
        <v>44105</v>
      </c>
      <c r="M1032">
        <v>2020</v>
      </c>
    </row>
    <row r="1033" spans="1:13" x14ac:dyDescent="0.25">
      <c r="A1033" t="s">
        <v>495</v>
      </c>
      <c r="B1033">
        <v>7684</v>
      </c>
      <c r="C1033">
        <v>1157</v>
      </c>
      <c r="D1033">
        <v>12</v>
      </c>
      <c r="E1033" t="s">
        <v>45</v>
      </c>
      <c r="F1033" t="s">
        <v>60</v>
      </c>
      <c r="G1033" t="s">
        <v>65</v>
      </c>
      <c r="H1033" s="5">
        <v>44005</v>
      </c>
      <c r="I1033" t="s">
        <v>497</v>
      </c>
      <c r="J1033" t="s">
        <v>25</v>
      </c>
      <c r="K1033" t="s">
        <v>26</v>
      </c>
      <c r="L1033" s="1">
        <v>43983</v>
      </c>
      <c r="M1033">
        <v>2020</v>
      </c>
    </row>
    <row r="1034" spans="1:13" x14ac:dyDescent="0.25">
      <c r="A1034" t="s">
        <v>503</v>
      </c>
      <c r="B1034">
        <v>6932</v>
      </c>
      <c r="C1034">
        <v>3218</v>
      </c>
      <c r="D1034">
        <v>20</v>
      </c>
      <c r="E1034" t="s">
        <v>30</v>
      </c>
      <c r="F1034" t="s">
        <v>31</v>
      </c>
      <c r="G1034" t="s">
        <v>65</v>
      </c>
      <c r="H1034" s="5">
        <v>44028</v>
      </c>
      <c r="I1034" t="s">
        <v>504</v>
      </c>
      <c r="J1034" t="s">
        <v>17</v>
      </c>
      <c r="K1034" t="s">
        <v>34</v>
      </c>
      <c r="L1034" s="1">
        <v>44013</v>
      </c>
      <c r="M1034">
        <v>2020</v>
      </c>
    </row>
    <row r="1035" spans="1:13" x14ac:dyDescent="0.25">
      <c r="A1035" t="s">
        <v>505</v>
      </c>
      <c r="B1035">
        <v>7748</v>
      </c>
      <c r="C1035">
        <v>1706</v>
      </c>
      <c r="D1035">
        <v>16</v>
      </c>
      <c r="E1035" t="s">
        <v>13</v>
      </c>
      <c r="F1035" t="s">
        <v>14</v>
      </c>
      <c r="G1035" t="s">
        <v>40</v>
      </c>
      <c r="H1035" s="5">
        <v>43953</v>
      </c>
      <c r="I1035" t="s">
        <v>506</v>
      </c>
      <c r="J1035" t="s">
        <v>98</v>
      </c>
      <c r="K1035" t="s">
        <v>107</v>
      </c>
      <c r="L1035" s="1">
        <v>43952</v>
      </c>
      <c r="M1035">
        <v>2020</v>
      </c>
    </row>
    <row r="1036" spans="1:13" x14ac:dyDescent="0.25">
      <c r="A1036" t="s">
        <v>505</v>
      </c>
      <c r="B1036">
        <v>6381</v>
      </c>
      <c r="C1036">
        <v>2763</v>
      </c>
      <c r="D1036">
        <v>20</v>
      </c>
      <c r="E1036" t="s">
        <v>30</v>
      </c>
      <c r="F1036" t="s">
        <v>57</v>
      </c>
      <c r="G1036" t="s">
        <v>15</v>
      </c>
      <c r="H1036" s="5">
        <v>43953</v>
      </c>
      <c r="I1036" t="s">
        <v>506</v>
      </c>
      <c r="J1036" t="s">
        <v>98</v>
      </c>
      <c r="K1036" t="s">
        <v>107</v>
      </c>
      <c r="L1036" s="1">
        <v>43952</v>
      </c>
      <c r="M1036">
        <v>2020</v>
      </c>
    </row>
    <row r="1037" spans="1:13" x14ac:dyDescent="0.25">
      <c r="A1037" t="s">
        <v>505</v>
      </c>
      <c r="B1037">
        <v>992</v>
      </c>
      <c r="C1037">
        <v>64</v>
      </c>
      <c r="D1037">
        <v>6</v>
      </c>
      <c r="E1037" t="s">
        <v>13</v>
      </c>
      <c r="F1037" t="s">
        <v>82</v>
      </c>
      <c r="G1037" t="s">
        <v>47</v>
      </c>
      <c r="H1037" s="5">
        <v>43953</v>
      </c>
      <c r="I1037" t="s">
        <v>506</v>
      </c>
      <c r="J1037" t="s">
        <v>98</v>
      </c>
      <c r="K1037" t="s">
        <v>107</v>
      </c>
      <c r="L1037" s="1">
        <v>43952</v>
      </c>
      <c r="M1037">
        <v>2020</v>
      </c>
    </row>
    <row r="1038" spans="1:13" x14ac:dyDescent="0.25">
      <c r="A1038" t="s">
        <v>507</v>
      </c>
      <c r="B1038">
        <v>8649</v>
      </c>
      <c r="C1038">
        <v>2631</v>
      </c>
      <c r="D1038">
        <v>13</v>
      </c>
      <c r="E1038" t="s">
        <v>13</v>
      </c>
      <c r="F1038" t="s">
        <v>39</v>
      </c>
      <c r="G1038" t="s">
        <v>40</v>
      </c>
      <c r="H1038" s="5">
        <v>44104</v>
      </c>
      <c r="I1038" t="s">
        <v>509</v>
      </c>
      <c r="J1038" t="s">
        <v>25</v>
      </c>
      <c r="K1038" t="s">
        <v>68</v>
      </c>
      <c r="L1038" s="1">
        <v>44075</v>
      </c>
      <c r="M1038">
        <v>2020</v>
      </c>
    </row>
    <row r="1039" spans="1:13" x14ac:dyDescent="0.25">
      <c r="A1039" t="s">
        <v>551</v>
      </c>
      <c r="B1039">
        <v>5035</v>
      </c>
      <c r="C1039">
        <v>2008</v>
      </c>
      <c r="D1039">
        <v>2</v>
      </c>
      <c r="E1039" t="s">
        <v>45</v>
      </c>
      <c r="F1039" t="s">
        <v>49</v>
      </c>
      <c r="G1039" t="s">
        <v>65</v>
      </c>
      <c r="H1039" s="5">
        <v>43925</v>
      </c>
      <c r="I1039" t="s">
        <v>552</v>
      </c>
      <c r="J1039" t="s">
        <v>17</v>
      </c>
      <c r="K1039" t="s">
        <v>18</v>
      </c>
      <c r="L1039" s="1">
        <v>43922</v>
      </c>
      <c r="M1039">
        <v>2020</v>
      </c>
    </row>
    <row r="1040" spans="1:13" x14ac:dyDescent="0.25">
      <c r="A1040" t="s">
        <v>551</v>
      </c>
      <c r="B1040">
        <v>7702</v>
      </c>
      <c r="C1040">
        <v>60</v>
      </c>
      <c r="D1040">
        <v>19</v>
      </c>
      <c r="E1040" t="s">
        <v>13</v>
      </c>
      <c r="F1040" t="s">
        <v>28</v>
      </c>
      <c r="G1040" t="s">
        <v>15</v>
      </c>
      <c r="H1040" s="5">
        <v>43925</v>
      </c>
      <c r="I1040" t="s">
        <v>552</v>
      </c>
      <c r="J1040" t="s">
        <v>17</v>
      </c>
      <c r="K1040" t="s">
        <v>18</v>
      </c>
      <c r="L1040" s="1">
        <v>43922</v>
      </c>
      <c r="M1040">
        <v>2020</v>
      </c>
    </row>
    <row r="1041" spans="1:13" x14ac:dyDescent="0.25">
      <c r="A1041" t="s">
        <v>551</v>
      </c>
      <c r="B1041">
        <v>9884</v>
      </c>
      <c r="C1041">
        <v>4446</v>
      </c>
      <c r="D1041">
        <v>7</v>
      </c>
      <c r="E1041" t="s">
        <v>13</v>
      </c>
      <c r="F1041" t="s">
        <v>28</v>
      </c>
      <c r="G1041" t="s">
        <v>40</v>
      </c>
      <c r="H1041" s="5">
        <v>43925</v>
      </c>
      <c r="I1041" t="s">
        <v>552</v>
      </c>
      <c r="J1041" t="s">
        <v>17</v>
      </c>
      <c r="K1041" t="s">
        <v>18</v>
      </c>
      <c r="L1041" s="1">
        <v>43922</v>
      </c>
      <c r="M1041">
        <v>2020</v>
      </c>
    </row>
    <row r="1042" spans="1:13" x14ac:dyDescent="0.25">
      <c r="A1042" t="s">
        <v>557</v>
      </c>
      <c r="B1042">
        <v>6488</v>
      </c>
      <c r="C1042">
        <v>1591</v>
      </c>
      <c r="D1042">
        <v>18</v>
      </c>
      <c r="E1042" t="s">
        <v>13</v>
      </c>
      <c r="F1042" t="s">
        <v>28</v>
      </c>
      <c r="G1042" t="s">
        <v>40</v>
      </c>
      <c r="H1042" s="5">
        <v>44164</v>
      </c>
      <c r="I1042" t="s">
        <v>559</v>
      </c>
      <c r="J1042" t="s">
        <v>71</v>
      </c>
      <c r="K1042" t="s">
        <v>138</v>
      </c>
      <c r="L1042" s="1">
        <v>44136</v>
      </c>
      <c r="M1042">
        <v>2020</v>
      </c>
    </row>
    <row r="1043" spans="1:13" x14ac:dyDescent="0.25">
      <c r="A1043" t="s">
        <v>562</v>
      </c>
      <c r="B1043">
        <v>9386</v>
      </c>
      <c r="C1043">
        <v>2555</v>
      </c>
      <c r="D1043">
        <v>20</v>
      </c>
      <c r="E1043" t="s">
        <v>30</v>
      </c>
      <c r="F1043" t="s">
        <v>57</v>
      </c>
      <c r="G1043" t="s">
        <v>47</v>
      </c>
      <c r="H1043" s="5">
        <v>44062</v>
      </c>
      <c r="I1043" t="s">
        <v>563</v>
      </c>
      <c r="J1043" t="s">
        <v>42</v>
      </c>
      <c r="K1043" t="s">
        <v>75</v>
      </c>
      <c r="L1043" s="1">
        <v>44044</v>
      </c>
      <c r="M1043">
        <v>2020</v>
      </c>
    </row>
    <row r="1044" spans="1:13" x14ac:dyDescent="0.25">
      <c r="A1044" t="s">
        <v>578</v>
      </c>
      <c r="B1044">
        <v>1379</v>
      </c>
      <c r="C1044">
        <v>250</v>
      </c>
      <c r="D1044">
        <v>3</v>
      </c>
      <c r="E1044" t="s">
        <v>30</v>
      </c>
      <c r="F1044" t="s">
        <v>31</v>
      </c>
      <c r="G1044" t="s">
        <v>47</v>
      </c>
      <c r="H1044" s="5">
        <v>44112</v>
      </c>
      <c r="I1044" t="s">
        <v>579</v>
      </c>
      <c r="J1044" t="s">
        <v>25</v>
      </c>
      <c r="K1044" t="s">
        <v>26</v>
      </c>
      <c r="L1044" s="1">
        <v>44105</v>
      </c>
      <c r="M1044">
        <v>2020</v>
      </c>
    </row>
    <row r="1045" spans="1:13" x14ac:dyDescent="0.25">
      <c r="A1045" t="s">
        <v>578</v>
      </c>
      <c r="B1045">
        <v>4244</v>
      </c>
      <c r="C1045">
        <v>340</v>
      </c>
      <c r="D1045">
        <v>10</v>
      </c>
      <c r="E1045" t="s">
        <v>13</v>
      </c>
      <c r="F1045" t="s">
        <v>39</v>
      </c>
      <c r="G1045" t="s">
        <v>32</v>
      </c>
      <c r="H1045" s="5">
        <v>44112</v>
      </c>
      <c r="I1045" t="s">
        <v>579</v>
      </c>
      <c r="J1045" t="s">
        <v>25</v>
      </c>
      <c r="K1045" t="s">
        <v>26</v>
      </c>
      <c r="L1045" s="1">
        <v>44105</v>
      </c>
      <c r="M1045">
        <v>2020</v>
      </c>
    </row>
    <row r="1046" spans="1:13" x14ac:dyDescent="0.25">
      <c r="A1046" t="s">
        <v>583</v>
      </c>
      <c r="B1046">
        <v>2140</v>
      </c>
      <c r="C1046">
        <v>970</v>
      </c>
      <c r="D1046">
        <v>4</v>
      </c>
      <c r="E1046" t="s">
        <v>30</v>
      </c>
      <c r="F1046" t="s">
        <v>64</v>
      </c>
      <c r="G1046" t="s">
        <v>47</v>
      </c>
      <c r="H1046" s="5">
        <v>44104</v>
      </c>
      <c r="I1046" t="s">
        <v>584</v>
      </c>
      <c r="J1046" t="s">
        <v>42</v>
      </c>
      <c r="K1046" t="s">
        <v>75</v>
      </c>
      <c r="L1046" s="1">
        <v>44075</v>
      </c>
      <c r="M1046">
        <v>2020</v>
      </c>
    </row>
    <row r="1047" spans="1:13" x14ac:dyDescent="0.25">
      <c r="A1047" t="s">
        <v>583</v>
      </c>
      <c r="B1047">
        <v>2670</v>
      </c>
      <c r="C1047">
        <v>1026</v>
      </c>
      <c r="D1047">
        <v>1</v>
      </c>
      <c r="E1047" t="s">
        <v>13</v>
      </c>
      <c r="F1047" t="s">
        <v>39</v>
      </c>
      <c r="G1047" t="s">
        <v>32</v>
      </c>
      <c r="H1047" s="5">
        <v>44104</v>
      </c>
      <c r="I1047" t="s">
        <v>584</v>
      </c>
      <c r="J1047" t="s">
        <v>42</v>
      </c>
      <c r="K1047" t="s">
        <v>75</v>
      </c>
      <c r="L1047" s="1">
        <v>44075</v>
      </c>
      <c r="M1047">
        <v>2020</v>
      </c>
    </row>
    <row r="1048" spans="1:13" x14ac:dyDescent="0.25">
      <c r="A1048" t="s">
        <v>589</v>
      </c>
      <c r="B1048">
        <v>7564</v>
      </c>
      <c r="C1048">
        <v>3463</v>
      </c>
      <c r="D1048">
        <v>5</v>
      </c>
      <c r="E1048" t="s">
        <v>30</v>
      </c>
      <c r="F1048" t="s">
        <v>64</v>
      </c>
      <c r="G1048" t="s">
        <v>47</v>
      </c>
      <c r="H1048" s="5">
        <v>44156</v>
      </c>
      <c r="I1048" t="s">
        <v>591</v>
      </c>
      <c r="J1048" t="s">
        <v>21</v>
      </c>
      <c r="K1048" t="s">
        <v>172</v>
      </c>
      <c r="L1048" s="1">
        <v>44136</v>
      </c>
      <c r="M1048">
        <v>2020</v>
      </c>
    </row>
    <row r="1049" spans="1:13" x14ac:dyDescent="0.25">
      <c r="A1049" t="s">
        <v>589</v>
      </c>
      <c r="B1049">
        <v>3409</v>
      </c>
      <c r="C1049">
        <v>1605</v>
      </c>
      <c r="D1049">
        <v>20</v>
      </c>
      <c r="E1049" t="s">
        <v>13</v>
      </c>
      <c r="F1049" t="s">
        <v>14</v>
      </c>
      <c r="G1049" t="s">
        <v>15</v>
      </c>
      <c r="H1049" s="5">
        <v>44156</v>
      </c>
      <c r="I1049" t="s">
        <v>591</v>
      </c>
      <c r="J1049" t="s">
        <v>21</v>
      </c>
      <c r="K1049" t="s">
        <v>172</v>
      </c>
      <c r="L1049" s="1">
        <v>44136</v>
      </c>
      <c r="M1049">
        <v>2020</v>
      </c>
    </row>
    <row r="1050" spans="1:13" x14ac:dyDescent="0.25">
      <c r="A1050" t="s">
        <v>594</v>
      </c>
      <c r="B1050">
        <v>9751</v>
      </c>
      <c r="C1050">
        <v>2459</v>
      </c>
      <c r="D1050">
        <v>13</v>
      </c>
      <c r="E1050" t="s">
        <v>30</v>
      </c>
      <c r="F1050" t="s">
        <v>31</v>
      </c>
      <c r="G1050" t="s">
        <v>65</v>
      </c>
      <c r="H1050" s="5">
        <v>44158</v>
      </c>
      <c r="I1050" t="s">
        <v>595</v>
      </c>
      <c r="J1050" t="s">
        <v>25</v>
      </c>
      <c r="K1050" t="s">
        <v>26</v>
      </c>
      <c r="L1050" s="1">
        <v>44136</v>
      </c>
      <c r="M1050">
        <v>2020</v>
      </c>
    </row>
    <row r="1051" spans="1:13" x14ac:dyDescent="0.25">
      <c r="A1051" t="s">
        <v>618</v>
      </c>
      <c r="B1051">
        <v>2895</v>
      </c>
      <c r="C1051">
        <v>104</v>
      </c>
      <c r="D1051">
        <v>6</v>
      </c>
      <c r="E1051" t="s">
        <v>45</v>
      </c>
      <c r="F1051" t="s">
        <v>49</v>
      </c>
      <c r="G1051" t="s">
        <v>65</v>
      </c>
      <c r="H1051" s="5">
        <v>43948</v>
      </c>
      <c r="I1051" t="s">
        <v>619</v>
      </c>
      <c r="J1051" t="s">
        <v>25</v>
      </c>
      <c r="K1051" t="s">
        <v>26</v>
      </c>
      <c r="L1051" s="1">
        <v>43922</v>
      </c>
      <c r="M1051">
        <v>2020</v>
      </c>
    </row>
    <row r="1052" spans="1:13" x14ac:dyDescent="0.25">
      <c r="A1052" t="s">
        <v>618</v>
      </c>
      <c r="B1052">
        <v>697</v>
      </c>
      <c r="C1052">
        <v>116</v>
      </c>
      <c r="D1052">
        <v>1</v>
      </c>
      <c r="E1052" t="s">
        <v>45</v>
      </c>
      <c r="F1052" t="s">
        <v>49</v>
      </c>
      <c r="G1052" t="s">
        <v>15</v>
      </c>
      <c r="H1052" s="5">
        <v>43948</v>
      </c>
      <c r="I1052" t="s">
        <v>619</v>
      </c>
      <c r="J1052" t="s">
        <v>25</v>
      </c>
      <c r="K1052" t="s">
        <v>26</v>
      </c>
      <c r="L1052" s="1">
        <v>43922</v>
      </c>
      <c r="M1052">
        <v>2020</v>
      </c>
    </row>
    <row r="1053" spans="1:13" x14ac:dyDescent="0.25">
      <c r="A1053" t="s">
        <v>621</v>
      </c>
      <c r="B1053">
        <v>6145</v>
      </c>
      <c r="C1053">
        <v>1414</v>
      </c>
      <c r="D1053">
        <v>4</v>
      </c>
      <c r="E1053" t="s">
        <v>45</v>
      </c>
      <c r="F1053" t="s">
        <v>49</v>
      </c>
      <c r="G1053" t="s">
        <v>65</v>
      </c>
      <c r="H1053" s="5">
        <v>44127</v>
      </c>
      <c r="I1053" t="s">
        <v>622</v>
      </c>
      <c r="J1053" t="s">
        <v>42</v>
      </c>
      <c r="K1053" t="s">
        <v>43</v>
      </c>
      <c r="L1053" s="1">
        <v>44105</v>
      </c>
      <c r="M1053">
        <v>2020</v>
      </c>
    </row>
    <row r="1054" spans="1:13" x14ac:dyDescent="0.25">
      <c r="A1054" t="s">
        <v>621</v>
      </c>
      <c r="B1054">
        <v>2504</v>
      </c>
      <c r="C1054">
        <v>440</v>
      </c>
      <c r="D1054">
        <v>18</v>
      </c>
      <c r="E1054" t="s">
        <v>13</v>
      </c>
      <c r="F1054" t="s">
        <v>28</v>
      </c>
      <c r="G1054" t="s">
        <v>15</v>
      </c>
      <c r="H1054" s="5">
        <v>44127</v>
      </c>
      <c r="I1054" t="s">
        <v>622</v>
      </c>
      <c r="J1054" t="s">
        <v>42</v>
      </c>
      <c r="K1054" t="s">
        <v>43</v>
      </c>
      <c r="L1054" s="1">
        <v>44105</v>
      </c>
      <c r="M1054">
        <v>2020</v>
      </c>
    </row>
    <row r="1055" spans="1:13" x14ac:dyDescent="0.25">
      <c r="A1055" t="s">
        <v>621</v>
      </c>
      <c r="B1055">
        <v>3124</v>
      </c>
      <c r="C1055">
        <v>138</v>
      </c>
      <c r="D1055">
        <v>16</v>
      </c>
      <c r="E1055" t="s">
        <v>13</v>
      </c>
      <c r="F1055" t="s">
        <v>82</v>
      </c>
      <c r="G1055" t="s">
        <v>32</v>
      </c>
      <c r="H1055" s="5">
        <v>44127</v>
      </c>
      <c r="I1055" t="s">
        <v>622</v>
      </c>
      <c r="J1055" t="s">
        <v>42</v>
      </c>
      <c r="K1055" t="s">
        <v>43</v>
      </c>
      <c r="L1055" s="1">
        <v>44105</v>
      </c>
      <c r="M1055">
        <v>2020</v>
      </c>
    </row>
    <row r="1056" spans="1:13" x14ac:dyDescent="0.25">
      <c r="A1056" t="s">
        <v>633</v>
      </c>
      <c r="B1056">
        <v>9827</v>
      </c>
      <c r="C1056">
        <v>4208</v>
      </c>
      <c r="D1056">
        <v>13</v>
      </c>
      <c r="E1056" t="s">
        <v>45</v>
      </c>
      <c r="F1056" t="s">
        <v>49</v>
      </c>
      <c r="G1056" t="s">
        <v>32</v>
      </c>
      <c r="H1056" s="5">
        <v>44086</v>
      </c>
      <c r="I1056" t="s">
        <v>634</v>
      </c>
      <c r="J1056" t="s">
        <v>25</v>
      </c>
      <c r="K1056" t="s">
        <v>51</v>
      </c>
      <c r="L1056" s="1">
        <v>44075</v>
      </c>
      <c r="M1056">
        <v>2020</v>
      </c>
    </row>
    <row r="1057" spans="1:13" x14ac:dyDescent="0.25">
      <c r="A1057" t="s">
        <v>633</v>
      </c>
      <c r="B1057">
        <v>8077</v>
      </c>
      <c r="C1057">
        <v>240</v>
      </c>
      <c r="D1057">
        <v>15</v>
      </c>
      <c r="E1057" t="s">
        <v>45</v>
      </c>
      <c r="F1057" t="s">
        <v>60</v>
      </c>
      <c r="G1057" t="s">
        <v>47</v>
      </c>
      <c r="H1057" s="5">
        <v>44086</v>
      </c>
      <c r="I1057" t="s">
        <v>634</v>
      </c>
      <c r="J1057" t="s">
        <v>25</v>
      </c>
      <c r="K1057" t="s">
        <v>51</v>
      </c>
      <c r="L1057" s="1">
        <v>44075</v>
      </c>
      <c r="M1057">
        <v>2020</v>
      </c>
    </row>
    <row r="1058" spans="1:13" x14ac:dyDescent="0.25">
      <c r="A1058" t="s">
        <v>635</v>
      </c>
      <c r="B1058">
        <v>5152</v>
      </c>
      <c r="C1058">
        <v>2045</v>
      </c>
      <c r="D1058">
        <v>14</v>
      </c>
      <c r="E1058" t="s">
        <v>13</v>
      </c>
      <c r="F1058" t="s">
        <v>82</v>
      </c>
      <c r="G1058" t="s">
        <v>15</v>
      </c>
      <c r="H1058" s="5">
        <v>44162</v>
      </c>
      <c r="I1058" t="s">
        <v>636</v>
      </c>
      <c r="J1058" t="s">
        <v>21</v>
      </c>
      <c r="K1058" t="s">
        <v>63</v>
      </c>
      <c r="L1058" s="1">
        <v>44136</v>
      </c>
      <c r="M1058">
        <v>2020</v>
      </c>
    </row>
    <row r="1059" spans="1:13" x14ac:dyDescent="0.25">
      <c r="A1059" t="s">
        <v>642</v>
      </c>
      <c r="B1059">
        <v>8102</v>
      </c>
      <c r="C1059">
        <v>1800</v>
      </c>
      <c r="D1059">
        <v>5</v>
      </c>
      <c r="E1059" t="s">
        <v>30</v>
      </c>
      <c r="F1059" t="s">
        <v>57</v>
      </c>
      <c r="G1059" t="s">
        <v>15</v>
      </c>
      <c r="H1059" s="5">
        <v>43950</v>
      </c>
      <c r="I1059" t="s">
        <v>644</v>
      </c>
      <c r="J1059" t="s">
        <v>25</v>
      </c>
      <c r="K1059" t="s">
        <v>26</v>
      </c>
      <c r="L1059" s="1">
        <v>43922</v>
      </c>
      <c r="M1059">
        <v>2020</v>
      </c>
    </row>
    <row r="1060" spans="1:13" x14ac:dyDescent="0.25">
      <c r="A1060" t="s">
        <v>642</v>
      </c>
      <c r="B1060">
        <v>8102</v>
      </c>
      <c r="C1060">
        <v>1800</v>
      </c>
      <c r="D1060">
        <v>5</v>
      </c>
      <c r="E1060" t="s">
        <v>30</v>
      </c>
      <c r="F1060" t="s">
        <v>57</v>
      </c>
      <c r="G1060" t="s">
        <v>15</v>
      </c>
      <c r="H1060" s="5">
        <v>44180</v>
      </c>
      <c r="I1060" t="s">
        <v>645</v>
      </c>
      <c r="J1060" t="s">
        <v>98</v>
      </c>
      <c r="K1060" t="s">
        <v>117</v>
      </c>
      <c r="L1060" s="1">
        <v>44166</v>
      </c>
      <c r="M1060">
        <v>2020</v>
      </c>
    </row>
    <row r="1061" spans="1:13" x14ac:dyDescent="0.25">
      <c r="A1061" t="s">
        <v>642</v>
      </c>
      <c r="B1061">
        <v>3234</v>
      </c>
      <c r="C1061">
        <v>1274</v>
      </c>
      <c r="D1061">
        <v>10</v>
      </c>
      <c r="E1061" t="s">
        <v>45</v>
      </c>
      <c r="F1061" t="s">
        <v>46</v>
      </c>
      <c r="G1061" t="s">
        <v>40</v>
      </c>
      <c r="H1061" s="5">
        <v>43950</v>
      </c>
      <c r="I1061" t="s">
        <v>644</v>
      </c>
      <c r="J1061" t="s">
        <v>25</v>
      </c>
      <c r="K1061" t="s">
        <v>26</v>
      </c>
      <c r="L1061" s="1">
        <v>43922</v>
      </c>
      <c r="M1061">
        <v>2020</v>
      </c>
    </row>
    <row r="1062" spans="1:13" x14ac:dyDescent="0.25">
      <c r="A1062" t="s">
        <v>642</v>
      </c>
      <c r="B1062">
        <v>3234</v>
      </c>
      <c r="C1062">
        <v>1274</v>
      </c>
      <c r="D1062">
        <v>10</v>
      </c>
      <c r="E1062" t="s">
        <v>45</v>
      </c>
      <c r="F1062" t="s">
        <v>46</v>
      </c>
      <c r="G1062" t="s">
        <v>40</v>
      </c>
      <c r="H1062" s="5">
        <v>44180</v>
      </c>
      <c r="I1062" t="s">
        <v>645</v>
      </c>
      <c r="J1062" t="s">
        <v>98</v>
      </c>
      <c r="K1062" t="s">
        <v>117</v>
      </c>
      <c r="L1062" s="1">
        <v>44166</v>
      </c>
      <c r="M1062">
        <v>2020</v>
      </c>
    </row>
    <row r="1063" spans="1:13" x14ac:dyDescent="0.25">
      <c r="A1063" t="s">
        <v>651</v>
      </c>
      <c r="B1063">
        <v>916</v>
      </c>
      <c r="C1063">
        <v>362</v>
      </c>
      <c r="D1063">
        <v>7</v>
      </c>
      <c r="E1063" t="s">
        <v>30</v>
      </c>
      <c r="F1063" t="s">
        <v>31</v>
      </c>
      <c r="G1063" t="s">
        <v>15</v>
      </c>
      <c r="H1063" s="5">
        <v>44125</v>
      </c>
      <c r="I1063" t="s">
        <v>653</v>
      </c>
      <c r="J1063" t="s">
        <v>42</v>
      </c>
      <c r="K1063" t="s">
        <v>92</v>
      </c>
      <c r="L1063" s="1">
        <v>44105</v>
      </c>
      <c r="M1063">
        <v>2020</v>
      </c>
    </row>
    <row r="1064" spans="1:13" x14ac:dyDescent="0.25">
      <c r="A1064" t="s">
        <v>651</v>
      </c>
      <c r="B1064">
        <v>1165</v>
      </c>
      <c r="C1064">
        <v>302</v>
      </c>
      <c r="D1064">
        <v>20</v>
      </c>
      <c r="E1064" t="s">
        <v>45</v>
      </c>
      <c r="F1064" t="s">
        <v>60</v>
      </c>
      <c r="G1064" t="s">
        <v>15</v>
      </c>
      <c r="H1064" s="5">
        <v>44125</v>
      </c>
      <c r="I1064" t="s">
        <v>653</v>
      </c>
      <c r="J1064" t="s">
        <v>42</v>
      </c>
      <c r="K1064" t="s">
        <v>92</v>
      </c>
      <c r="L1064" s="1">
        <v>44105</v>
      </c>
      <c r="M1064">
        <v>2020</v>
      </c>
    </row>
    <row r="1065" spans="1:13" x14ac:dyDescent="0.25">
      <c r="A1065" t="s">
        <v>651</v>
      </c>
      <c r="B1065">
        <v>7846</v>
      </c>
      <c r="C1065">
        <v>677</v>
      </c>
      <c r="D1065">
        <v>12</v>
      </c>
      <c r="E1065" t="s">
        <v>45</v>
      </c>
      <c r="F1065" t="s">
        <v>49</v>
      </c>
      <c r="G1065" t="s">
        <v>15</v>
      </c>
      <c r="H1065" s="5">
        <v>44125</v>
      </c>
      <c r="I1065" t="s">
        <v>653</v>
      </c>
      <c r="J1065" t="s">
        <v>42</v>
      </c>
      <c r="K1065" t="s">
        <v>92</v>
      </c>
      <c r="L1065" s="1">
        <v>44105</v>
      </c>
      <c r="M1065">
        <v>2020</v>
      </c>
    </row>
    <row r="1066" spans="1:13" x14ac:dyDescent="0.25">
      <c r="A1066" t="s">
        <v>688</v>
      </c>
      <c r="B1066">
        <v>8994</v>
      </c>
      <c r="C1066">
        <v>1481</v>
      </c>
      <c r="D1066">
        <v>15</v>
      </c>
      <c r="E1066" t="s">
        <v>13</v>
      </c>
      <c r="F1066" t="s">
        <v>82</v>
      </c>
      <c r="G1066" t="s">
        <v>47</v>
      </c>
      <c r="H1066" s="5">
        <v>44003</v>
      </c>
      <c r="I1066" t="s">
        <v>689</v>
      </c>
      <c r="J1066" t="s">
        <v>42</v>
      </c>
      <c r="K1066" t="s">
        <v>75</v>
      </c>
      <c r="L1066" s="1">
        <v>43983</v>
      </c>
      <c r="M1066">
        <v>2020</v>
      </c>
    </row>
    <row r="1067" spans="1:13" x14ac:dyDescent="0.25">
      <c r="A1067" t="s">
        <v>690</v>
      </c>
      <c r="B1067">
        <v>1089</v>
      </c>
      <c r="C1067">
        <v>176</v>
      </c>
      <c r="D1067">
        <v>16</v>
      </c>
      <c r="E1067" t="s">
        <v>30</v>
      </c>
      <c r="F1067" t="s">
        <v>57</v>
      </c>
      <c r="G1067" t="s">
        <v>40</v>
      </c>
      <c r="H1067" s="5">
        <v>44130</v>
      </c>
      <c r="I1067" t="s">
        <v>691</v>
      </c>
      <c r="J1067" t="s">
        <v>71</v>
      </c>
      <c r="K1067" t="s">
        <v>72</v>
      </c>
      <c r="L1067" s="1">
        <v>44105</v>
      </c>
      <c r="M1067">
        <v>2020</v>
      </c>
    </row>
    <row r="1068" spans="1:13" x14ac:dyDescent="0.25">
      <c r="A1068" t="s">
        <v>744</v>
      </c>
      <c r="B1068">
        <v>4115</v>
      </c>
      <c r="C1068">
        <v>1285</v>
      </c>
      <c r="D1068">
        <v>1</v>
      </c>
      <c r="E1068" t="s">
        <v>45</v>
      </c>
      <c r="F1068" t="s">
        <v>60</v>
      </c>
      <c r="G1068" t="s">
        <v>15</v>
      </c>
      <c r="H1068" s="5">
        <v>43929</v>
      </c>
      <c r="I1068" t="s">
        <v>745</v>
      </c>
      <c r="J1068" t="s">
        <v>17</v>
      </c>
      <c r="K1068" t="s">
        <v>34</v>
      </c>
      <c r="L1068" s="1">
        <v>43922</v>
      </c>
      <c r="M1068">
        <v>2020</v>
      </c>
    </row>
    <row r="1069" spans="1:13" x14ac:dyDescent="0.25">
      <c r="A1069" t="s">
        <v>744</v>
      </c>
      <c r="B1069">
        <v>4761</v>
      </c>
      <c r="C1069">
        <v>2231</v>
      </c>
      <c r="D1069">
        <v>12</v>
      </c>
      <c r="E1069" t="s">
        <v>45</v>
      </c>
      <c r="F1069" t="s">
        <v>46</v>
      </c>
      <c r="G1069" t="s">
        <v>15</v>
      </c>
      <c r="H1069" s="5">
        <v>43929</v>
      </c>
      <c r="I1069" t="s">
        <v>745</v>
      </c>
      <c r="J1069" t="s">
        <v>17</v>
      </c>
      <c r="K1069" t="s">
        <v>34</v>
      </c>
      <c r="L1069" s="1">
        <v>43922</v>
      </c>
      <c r="M1069">
        <v>2020</v>
      </c>
    </row>
    <row r="1070" spans="1:13" x14ac:dyDescent="0.25">
      <c r="A1070" t="s">
        <v>760</v>
      </c>
      <c r="B1070">
        <v>2804</v>
      </c>
      <c r="C1070">
        <v>936</v>
      </c>
      <c r="D1070">
        <v>10</v>
      </c>
      <c r="E1070" t="s">
        <v>13</v>
      </c>
      <c r="F1070" t="s">
        <v>14</v>
      </c>
      <c r="G1070" t="s">
        <v>47</v>
      </c>
      <c r="H1070" s="5">
        <v>44144</v>
      </c>
      <c r="I1070" t="s">
        <v>762</v>
      </c>
      <c r="J1070" t="s">
        <v>17</v>
      </c>
      <c r="K1070" t="s">
        <v>150</v>
      </c>
      <c r="L1070" s="1">
        <v>44136</v>
      </c>
      <c r="M1070">
        <v>2020</v>
      </c>
    </row>
    <row r="1071" spans="1:13" x14ac:dyDescent="0.25">
      <c r="A1071" t="s">
        <v>768</v>
      </c>
      <c r="B1071">
        <v>7441</v>
      </c>
      <c r="C1071">
        <v>867</v>
      </c>
      <c r="D1071">
        <v>12</v>
      </c>
      <c r="E1071" t="s">
        <v>45</v>
      </c>
      <c r="F1071" t="s">
        <v>60</v>
      </c>
      <c r="G1071" t="s">
        <v>65</v>
      </c>
      <c r="H1071" s="5">
        <v>43964</v>
      </c>
      <c r="I1071" t="s">
        <v>770</v>
      </c>
      <c r="J1071" t="s">
        <v>71</v>
      </c>
      <c r="K1071" t="s">
        <v>86</v>
      </c>
      <c r="L1071" s="1">
        <v>43952</v>
      </c>
      <c r="M1071">
        <v>2020</v>
      </c>
    </row>
    <row r="1072" spans="1:13" x14ac:dyDescent="0.25">
      <c r="A1072" t="s">
        <v>804</v>
      </c>
      <c r="B1072">
        <v>9279</v>
      </c>
      <c r="C1072">
        <v>552</v>
      </c>
      <c r="D1072">
        <v>14</v>
      </c>
      <c r="E1072" t="s">
        <v>45</v>
      </c>
      <c r="F1072" t="s">
        <v>49</v>
      </c>
      <c r="G1072" t="s">
        <v>40</v>
      </c>
      <c r="H1072" s="5">
        <v>44165</v>
      </c>
      <c r="I1072" t="s">
        <v>806</v>
      </c>
      <c r="J1072" t="s">
        <v>42</v>
      </c>
      <c r="K1072" t="s">
        <v>92</v>
      </c>
      <c r="L1072" s="1">
        <v>44136</v>
      </c>
      <c r="M1072">
        <v>2020</v>
      </c>
    </row>
    <row r="1073" spans="1:13" x14ac:dyDescent="0.25">
      <c r="A1073" t="s">
        <v>804</v>
      </c>
      <c r="B1073">
        <v>2596</v>
      </c>
      <c r="C1073">
        <v>1003</v>
      </c>
      <c r="D1073">
        <v>19</v>
      </c>
      <c r="E1073" t="s">
        <v>30</v>
      </c>
      <c r="F1073" t="s">
        <v>64</v>
      </c>
      <c r="G1073" t="s">
        <v>47</v>
      </c>
      <c r="H1073" s="5">
        <v>44165</v>
      </c>
      <c r="I1073" t="s">
        <v>806</v>
      </c>
      <c r="J1073" t="s">
        <v>42</v>
      </c>
      <c r="K1073" t="s">
        <v>92</v>
      </c>
      <c r="L1073" s="1">
        <v>44136</v>
      </c>
      <c r="M1073">
        <v>2020</v>
      </c>
    </row>
    <row r="1074" spans="1:13" x14ac:dyDescent="0.25">
      <c r="A1074" t="s">
        <v>813</v>
      </c>
      <c r="B1074">
        <v>4007</v>
      </c>
      <c r="C1074">
        <v>201</v>
      </c>
      <c r="D1074">
        <v>13</v>
      </c>
      <c r="E1074" t="s">
        <v>45</v>
      </c>
      <c r="F1074" t="s">
        <v>109</v>
      </c>
      <c r="G1074" t="s">
        <v>65</v>
      </c>
      <c r="H1074" s="5">
        <v>44125</v>
      </c>
      <c r="I1074" t="s">
        <v>814</v>
      </c>
      <c r="J1074" t="s">
        <v>98</v>
      </c>
      <c r="K1074" t="s">
        <v>99</v>
      </c>
      <c r="L1074" s="1">
        <v>44105</v>
      </c>
      <c r="M1074">
        <v>2020</v>
      </c>
    </row>
    <row r="1075" spans="1:13" x14ac:dyDescent="0.25">
      <c r="A1075" t="s">
        <v>816</v>
      </c>
      <c r="B1075">
        <v>810</v>
      </c>
      <c r="C1075">
        <v>231</v>
      </c>
      <c r="D1075">
        <v>18</v>
      </c>
      <c r="E1075" t="s">
        <v>45</v>
      </c>
      <c r="F1075" t="s">
        <v>109</v>
      </c>
      <c r="G1075" t="s">
        <v>40</v>
      </c>
      <c r="H1075" s="5">
        <v>44125</v>
      </c>
      <c r="I1075" t="s">
        <v>817</v>
      </c>
      <c r="J1075" t="s">
        <v>17</v>
      </c>
      <c r="K1075" t="s">
        <v>150</v>
      </c>
      <c r="L1075" s="1">
        <v>44105</v>
      </c>
      <c r="M1075">
        <v>2020</v>
      </c>
    </row>
    <row r="1076" spans="1:13" x14ac:dyDescent="0.25">
      <c r="A1076" t="s">
        <v>828</v>
      </c>
      <c r="B1076">
        <v>2137</v>
      </c>
      <c r="C1076">
        <v>638</v>
      </c>
      <c r="D1076">
        <v>12</v>
      </c>
      <c r="E1076" t="s">
        <v>45</v>
      </c>
      <c r="F1076" t="s">
        <v>109</v>
      </c>
      <c r="G1076" t="s">
        <v>32</v>
      </c>
      <c r="H1076" s="5">
        <v>44106</v>
      </c>
      <c r="I1076" t="s">
        <v>829</v>
      </c>
      <c r="J1076" t="s">
        <v>25</v>
      </c>
      <c r="K1076" t="s">
        <v>51</v>
      </c>
      <c r="L1076" s="1">
        <v>44105</v>
      </c>
      <c r="M1076">
        <v>2020</v>
      </c>
    </row>
    <row r="1077" spans="1:13" x14ac:dyDescent="0.25">
      <c r="A1077" t="s">
        <v>828</v>
      </c>
      <c r="B1077">
        <v>2831</v>
      </c>
      <c r="C1077">
        <v>1289</v>
      </c>
      <c r="D1077">
        <v>12</v>
      </c>
      <c r="E1077" t="s">
        <v>45</v>
      </c>
      <c r="F1077" t="s">
        <v>49</v>
      </c>
      <c r="G1077" t="s">
        <v>32</v>
      </c>
      <c r="H1077" s="5">
        <v>44106</v>
      </c>
      <c r="I1077" t="s">
        <v>829</v>
      </c>
      <c r="J1077" t="s">
        <v>25</v>
      </c>
      <c r="K1077" t="s">
        <v>51</v>
      </c>
      <c r="L1077" s="1">
        <v>44105</v>
      </c>
      <c r="M1077">
        <v>2020</v>
      </c>
    </row>
    <row r="1078" spans="1:13" x14ac:dyDescent="0.25">
      <c r="A1078" t="s">
        <v>835</v>
      </c>
      <c r="B1078">
        <v>1579</v>
      </c>
      <c r="C1078">
        <v>602</v>
      </c>
      <c r="D1078">
        <v>9</v>
      </c>
      <c r="E1078" t="s">
        <v>13</v>
      </c>
      <c r="F1078" t="s">
        <v>39</v>
      </c>
      <c r="G1078" t="s">
        <v>47</v>
      </c>
      <c r="H1078" s="5">
        <v>43975</v>
      </c>
      <c r="I1078" t="s">
        <v>836</v>
      </c>
      <c r="J1078" t="s">
        <v>98</v>
      </c>
      <c r="K1078" t="s">
        <v>107</v>
      </c>
      <c r="L1078" s="1">
        <v>43952</v>
      </c>
      <c r="M1078">
        <v>2020</v>
      </c>
    </row>
    <row r="1079" spans="1:13" x14ac:dyDescent="0.25">
      <c r="A1079" t="s">
        <v>835</v>
      </c>
      <c r="B1079">
        <v>3760</v>
      </c>
      <c r="C1079">
        <v>1849</v>
      </c>
      <c r="D1079">
        <v>19</v>
      </c>
      <c r="E1079" t="s">
        <v>45</v>
      </c>
      <c r="F1079" t="s">
        <v>49</v>
      </c>
      <c r="G1079" t="s">
        <v>40</v>
      </c>
      <c r="H1079" s="5">
        <v>43975</v>
      </c>
      <c r="I1079" t="s">
        <v>836</v>
      </c>
      <c r="J1079" t="s">
        <v>98</v>
      </c>
      <c r="K1079" t="s">
        <v>107</v>
      </c>
      <c r="L1079" s="1">
        <v>43952</v>
      </c>
      <c r="M1079">
        <v>2020</v>
      </c>
    </row>
    <row r="1080" spans="1:13" x14ac:dyDescent="0.25">
      <c r="A1080" t="s">
        <v>846</v>
      </c>
      <c r="B1080">
        <v>8706</v>
      </c>
      <c r="C1080">
        <v>1724</v>
      </c>
      <c r="D1080">
        <v>3</v>
      </c>
      <c r="E1080" t="s">
        <v>13</v>
      </c>
      <c r="F1080" t="s">
        <v>14</v>
      </c>
      <c r="G1080" t="s">
        <v>32</v>
      </c>
      <c r="H1080" s="5">
        <v>43946</v>
      </c>
      <c r="I1080" t="s">
        <v>847</v>
      </c>
      <c r="J1080" t="s">
        <v>17</v>
      </c>
      <c r="K1080" t="s">
        <v>34</v>
      </c>
      <c r="L1080" s="1">
        <v>43922</v>
      </c>
      <c r="M1080">
        <v>2020</v>
      </c>
    </row>
    <row r="1081" spans="1:13" x14ac:dyDescent="0.25">
      <c r="A1081" t="s">
        <v>850</v>
      </c>
      <c r="B1081">
        <v>717</v>
      </c>
      <c r="C1081">
        <v>158</v>
      </c>
      <c r="D1081">
        <v>16</v>
      </c>
      <c r="E1081" t="s">
        <v>45</v>
      </c>
      <c r="F1081" t="s">
        <v>46</v>
      </c>
      <c r="G1081" t="s">
        <v>47</v>
      </c>
      <c r="H1081" s="5">
        <v>44006</v>
      </c>
      <c r="I1081" t="s">
        <v>852</v>
      </c>
      <c r="J1081" t="s">
        <v>17</v>
      </c>
      <c r="K1081" t="s">
        <v>18</v>
      </c>
      <c r="L1081" s="1">
        <v>43983</v>
      </c>
      <c r="M1081">
        <v>2020</v>
      </c>
    </row>
    <row r="1082" spans="1:13" x14ac:dyDescent="0.25">
      <c r="A1082" t="s">
        <v>850</v>
      </c>
      <c r="B1082">
        <v>717</v>
      </c>
      <c r="C1082">
        <v>158</v>
      </c>
      <c r="D1082">
        <v>16</v>
      </c>
      <c r="E1082" t="s">
        <v>45</v>
      </c>
      <c r="F1082" t="s">
        <v>46</v>
      </c>
      <c r="G1082" t="s">
        <v>47</v>
      </c>
      <c r="H1082" s="5">
        <v>44141</v>
      </c>
      <c r="I1082" t="s">
        <v>855</v>
      </c>
      <c r="J1082" t="s">
        <v>17</v>
      </c>
      <c r="K1082" t="s">
        <v>34</v>
      </c>
      <c r="L1082" s="1">
        <v>44136</v>
      </c>
      <c r="M1082">
        <v>2020</v>
      </c>
    </row>
    <row r="1083" spans="1:13" x14ac:dyDescent="0.25">
      <c r="A1083" t="s">
        <v>850</v>
      </c>
      <c r="B1083">
        <v>508</v>
      </c>
      <c r="C1083">
        <v>177</v>
      </c>
      <c r="D1083">
        <v>17</v>
      </c>
      <c r="E1083" t="s">
        <v>45</v>
      </c>
      <c r="F1083" t="s">
        <v>60</v>
      </c>
      <c r="G1083" t="s">
        <v>15</v>
      </c>
      <c r="H1083" s="5">
        <v>44006</v>
      </c>
      <c r="I1083" t="s">
        <v>852</v>
      </c>
      <c r="J1083" t="s">
        <v>17</v>
      </c>
      <c r="K1083" t="s">
        <v>18</v>
      </c>
      <c r="L1083" s="1">
        <v>43983</v>
      </c>
      <c r="M1083">
        <v>2020</v>
      </c>
    </row>
    <row r="1084" spans="1:13" x14ac:dyDescent="0.25">
      <c r="A1084" t="s">
        <v>850</v>
      </c>
      <c r="B1084">
        <v>508</v>
      </c>
      <c r="C1084">
        <v>177</v>
      </c>
      <c r="D1084">
        <v>17</v>
      </c>
      <c r="E1084" t="s">
        <v>45</v>
      </c>
      <c r="F1084" t="s">
        <v>60</v>
      </c>
      <c r="G1084" t="s">
        <v>15</v>
      </c>
      <c r="H1084" s="5">
        <v>44141</v>
      </c>
      <c r="I1084" t="s">
        <v>855</v>
      </c>
      <c r="J1084" t="s">
        <v>17</v>
      </c>
      <c r="K1084" t="s">
        <v>34</v>
      </c>
      <c r="L1084" s="1">
        <v>44136</v>
      </c>
      <c r="M1084">
        <v>2020</v>
      </c>
    </row>
    <row r="1085" spans="1:13" x14ac:dyDescent="0.25">
      <c r="A1085" t="s">
        <v>907</v>
      </c>
      <c r="B1085">
        <v>4220</v>
      </c>
      <c r="C1085">
        <v>945</v>
      </c>
      <c r="D1085">
        <v>13</v>
      </c>
      <c r="E1085" t="s">
        <v>30</v>
      </c>
      <c r="F1085" t="s">
        <v>57</v>
      </c>
      <c r="G1085" t="s">
        <v>40</v>
      </c>
      <c r="H1085" s="5">
        <v>44180</v>
      </c>
      <c r="I1085" t="s">
        <v>909</v>
      </c>
      <c r="J1085" t="s">
        <v>21</v>
      </c>
      <c r="K1085" t="s">
        <v>172</v>
      </c>
      <c r="L1085" s="1">
        <v>44166</v>
      </c>
      <c r="M1085">
        <v>2020</v>
      </c>
    </row>
    <row r="1086" spans="1:13" x14ac:dyDescent="0.25">
      <c r="A1086" t="s">
        <v>929</v>
      </c>
      <c r="B1086">
        <v>8851</v>
      </c>
      <c r="C1086">
        <v>3962</v>
      </c>
      <c r="D1086">
        <v>7</v>
      </c>
      <c r="E1086" t="s">
        <v>45</v>
      </c>
      <c r="F1086" t="s">
        <v>46</v>
      </c>
      <c r="G1086" t="s">
        <v>40</v>
      </c>
      <c r="H1086" s="5">
        <v>44100</v>
      </c>
      <c r="I1086" t="s">
        <v>930</v>
      </c>
      <c r="J1086" t="s">
        <v>17</v>
      </c>
      <c r="K1086" t="s">
        <v>18</v>
      </c>
      <c r="L1086" s="1">
        <v>44075</v>
      </c>
      <c r="M1086">
        <v>2020</v>
      </c>
    </row>
    <row r="1087" spans="1:13" x14ac:dyDescent="0.25">
      <c r="A1087" t="s">
        <v>943</v>
      </c>
      <c r="B1087">
        <v>4116</v>
      </c>
      <c r="C1087">
        <v>921</v>
      </c>
      <c r="D1087">
        <v>20</v>
      </c>
      <c r="E1087" t="s">
        <v>30</v>
      </c>
      <c r="F1087" t="s">
        <v>64</v>
      </c>
      <c r="G1087" t="s">
        <v>15</v>
      </c>
      <c r="H1087" s="5">
        <v>44082</v>
      </c>
      <c r="I1087" t="s">
        <v>945</v>
      </c>
      <c r="J1087" t="s">
        <v>21</v>
      </c>
      <c r="K1087" t="s">
        <v>63</v>
      </c>
      <c r="L1087" s="1">
        <v>44075</v>
      </c>
      <c r="M1087">
        <v>2020</v>
      </c>
    </row>
    <row r="1088" spans="1:13" x14ac:dyDescent="0.25">
      <c r="A1088" t="s">
        <v>948</v>
      </c>
      <c r="B1088">
        <v>3573</v>
      </c>
      <c r="C1088">
        <v>562</v>
      </c>
      <c r="D1088">
        <v>7</v>
      </c>
      <c r="E1088" t="s">
        <v>30</v>
      </c>
      <c r="F1088" t="s">
        <v>31</v>
      </c>
      <c r="G1088" t="s">
        <v>40</v>
      </c>
      <c r="H1088" s="5">
        <v>43974</v>
      </c>
      <c r="I1088" t="s">
        <v>949</v>
      </c>
      <c r="J1088" t="s">
        <v>42</v>
      </c>
      <c r="K1088" t="s">
        <v>75</v>
      </c>
      <c r="L1088" s="1">
        <v>43952</v>
      </c>
      <c r="M1088">
        <v>2020</v>
      </c>
    </row>
    <row r="1089" spans="1:13" x14ac:dyDescent="0.25">
      <c r="A1089" t="s">
        <v>948</v>
      </c>
      <c r="B1089">
        <v>3573</v>
      </c>
      <c r="C1089">
        <v>562</v>
      </c>
      <c r="D1089">
        <v>7</v>
      </c>
      <c r="E1089" t="s">
        <v>30</v>
      </c>
      <c r="F1089" t="s">
        <v>31</v>
      </c>
      <c r="G1089" t="s">
        <v>40</v>
      </c>
      <c r="H1089" s="5">
        <v>43939</v>
      </c>
      <c r="I1089" t="s">
        <v>950</v>
      </c>
      <c r="J1089" t="s">
        <v>17</v>
      </c>
      <c r="K1089" t="s">
        <v>150</v>
      </c>
      <c r="L1089" s="1">
        <v>43922</v>
      </c>
      <c r="M1089">
        <v>2020</v>
      </c>
    </row>
    <row r="1090" spans="1:13" x14ac:dyDescent="0.25">
      <c r="A1090" t="s">
        <v>948</v>
      </c>
      <c r="B1090">
        <v>8055</v>
      </c>
      <c r="C1090">
        <v>661</v>
      </c>
      <c r="D1090">
        <v>10</v>
      </c>
      <c r="E1090" t="s">
        <v>13</v>
      </c>
      <c r="F1090" t="s">
        <v>82</v>
      </c>
      <c r="G1090" t="s">
        <v>40</v>
      </c>
      <c r="H1090" s="5">
        <v>43974</v>
      </c>
      <c r="I1090" t="s">
        <v>949</v>
      </c>
      <c r="J1090" t="s">
        <v>42</v>
      </c>
      <c r="K1090" t="s">
        <v>75</v>
      </c>
      <c r="L1090" s="1">
        <v>43952</v>
      </c>
      <c r="M1090">
        <v>2020</v>
      </c>
    </row>
    <row r="1091" spans="1:13" x14ac:dyDescent="0.25">
      <c r="A1091" t="s">
        <v>948</v>
      </c>
      <c r="B1091">
        <v>8055</v>
      </c>
      <c r="C1091">
        <v>661</v>
      </c>
      <c r="D1091">
        <v>10</v>
      </c>
      <c r="E1091" t="s">
        <v>13</v>
      </c>
      <c r="F1091" t="s">
        <v>82</v>
      </c>
      <c r="G1091" t="s">
        <v>40</v>
      </c>
      <c r="H1091" s="5">
        <v>43939</v>
      </c>
      <c r="I1091" t="s">
        <v>950</v>
      </c>
      <c r="J1091" t="s">
        <v>17</v>
      </c>
      <c r="K1091" t="s">
        <v>150</v>
      </c>
      <c r="L1091" s="1">
        <v>43922</v>
      </c>
      <c r="M1091">
        <v>2020</v>
      </c>
    </row>
    <row r="1092" spans="1:13" x14ac:dyDescent="0.25">
      <c r="A1092" t="s">
        <v>957</v>
      </c>
      <c r="B1092">
        <v>7952</v>
      </c>
      <c r="C1092">
        <v>3865</v>
      </c>
      <c r="D1092">
        <v>8</v>
      </c>
      <c r="E1092" t="s">
        <v>45</v>
      </c>
      <c r="F1092" t="s">
        <v>60</v>
      </c>
      <c r="G1092" t="s">
        <v>32</v>
      </c>
      <c r="H1092" s="5">
        <v>44053</v>
      </c>
      <c r="I1092" t="s">
        <v>958</v>
      </c>
      <c r="J1092" t="s">
        <v>21</v>
      </c>
      <c r="K1092" t="s">
        <v>172</v>
      </c>
      <c r="L1092" s="1">
        <v>44044</v>
      </c>
      <c r="M1092">
        <v>2020</v>
      </c>
    </row>
    <row r="1093" spans="1:13" x14ac:dyDescent="0.25">
      <c r="A1093" t="s">
        <v>961</v>
      </c>
      <c r="B1093">
        <v>4183</v>
      </c>
      <c r="C1093">
        <v>1159</v>
      </c>
      <c r="D1093">
        <v>4</v>
      </c>
      <c r="E1093" t="s">
        <v>30</v>
      </c>
      <c r="F1093" t="s">
        <v>31</v>
      </c>
      <c r="G1093" t="s">
        <v>32</v>
      </c>
      <c r="H1093" s="5">
        <v>44025</v>
      </c>
      <c r="I1093" t="s">
        <v>962</v>
      </c>
      <c r="J1093" t="s">
        <v>21</v>
      </c>
      <c r="K1093" t="s">
        <v>63</v>
      </c>
      <c r="L1093" s="1">
        <v>44013</v>
      </c>
      <c r="M1093">
        <v>2020</v>
      </c>
    </row>
    <row r="1094" spans="1:13" x14ac:dyDescent="0.25">
      <c r="A1094" t="s">
        <v>969</v>
      </c>
      <c r="B1094">
        <v>5014</v>
      </c>
      <c r="C1094">
        <v>2332</v>
      </c>
      <c r="D1094">
        <v>2</v>
      </c>
      <c r="E1094" t="s">
        <v>45</v>
      </c>
      <c r="F1094" t="s">
        <v>49</v>
      </c>
      <c r="G1094" t="s">
        <v>65</v>
      </c>
      <c r="H1094" s="5">
        <v>44145</v>
      </c>
      <c r="I1094" t="s">
        <v>970</v>
      </c>
      <c r="J1094" t="s">
        <v>21</v>
      </c>
      <c r="K1094" t="s">
        <v>22</v>
      </c>
      <c r="L1094" s="1">
        <v>44136</v>
      </c>
      <c r="M1094">
        <v>2020</v>
      </c>
    </row>
    <row r="1095" spans="1:13" x14ac:dyDescent="0.25">
      <c r="A1095" t="s">
        <v>975</v>
      </c>
      <c r="B1095">
        <v>8490</v>
      </c>
      <c r="C1095">
        <v>800</v>
      </c>
      <c r="D1095">
        <v>1</v>
      </c>
      <c r="E1095" t="s">
        <v>30</v>
      </c>
      <c r="F1095" t="s">
        <v>31</v>
      </c>
      <c r="G1095" t="s">
        <v>40</v>
      </c>
      <c r="H1095" s="5">
        <v>43975</v>
      </c>
      <c r="I1095" t="s">
        <v>976</v>
      </c>
      <c r="J1095" t="s">
        <v>25</v>
      </c>
      <c r="K1095" t="s">
        <v>51</v>
      </c>
      <c r="L1095" s="1">
        <v>43952</v>
      </c>
      <c r="M1095">
        <v>2020</v>
      </c>
    </row>
    <row r="1096" spans="1:13" x14ac:dyDescent="0.25">
      <c r="A1096" t="s">
        <v>979</v>
      </c>
      <c r="B1096">
        <v>1078</v>
      </c>
      <c r="C1096">
        <v>309</v>
      </c>
      <c r="D1096">
        <v>3</v>
      </c>
      <c r="E1096" t="s">
        <v>13</v>
      </c>
      <c r="F1096" t="s">
        <v>82</v>
      </c>
      <c r="G1096" t="s">
        <v>47</v>
      </c>
      <c r="H1096" s="5">
        <v>44105</v>
      </c>
      <c r="I1096" t="s">
        <v>981</v>
      </c>
      <c r="J1096" t="s">
        <v>21</v>
      </c>
      <c r="K1096" t="s">
        <v>22</v>
      </c>
      <c r="L1096" s="1">
        <v>44105</v>
      </c>
      <c r="M1096">
        <v>2020</v>
      </c>
    </row>
    <row r="1097" spans="1:13" x14ac:dyDescent="0.25">
      <c r="A1097" t="s">
        <v>987</v>
      </c>
      <c r="B1097">
        <v>4015</v>
      </c>
      <c r="C1097">
        <v>1751</v>
      </c>
      <c r="D1097">
        <v>15</v>
      </c>
      <c r="E1097" t="s">
        <v>45</v>
      </c>
      <c r="F1097" t="s">
        <v>49</v>
      </c>
      <c r="G1097" t="s">
        <v>32</v>
      </c>
      <c r="H1097" s="5">
        <v>44082</v>
      </c>
      <c r="I1097" t="s">
        <v>989</v>
      </c>
      <c r="J1097" t="s">
        <v>25</v>
      </c>
      <c r="K1097" t="s">
        <v>51</v>
      </c>
      <c r="L1097" s="1">
        <v>44075</v>
      </c>
      <c r="M1097">
        <v>2020</v>
      </c>
    </row>
    <row r="1098" spans="1:13" x14ac:dyDescent="0.25">
      <c r="A1098" t="s">
        <v>1012</v>
      </c>
      <c r="B1098">
        <v>714</v>
      </c>
      <c r="C1098">
        <v>232</v>
      </c>
      <c r="D1098">
        <v>14</v>
      </c>
      <c r="E1098" t="s">
        <v>45</v>
      </c>
      <c r="F1098" t="s">
        <v>46</v>
      </c>
      <c r="G1098" t="s">
        <v>15</v>
      </c>
      <c r="H1098" s="5">
        <v>44188</v>
      </c>
      <c r="I1098" t="s">
        <v>1014</v>
      </c>
      <c r="J1098" t="s">
        <v>71</v>
      </c>
      <c r="K1098" t="s">
        <v>86</v>
      </c>
      <c r="L1098" s="1">
        <v>44166</v>
      </c>
      <c r="M1098">
        <v>2020</v>
      </c>
    </row>
    <row r="1099" spans="1:13" x14ac:dyDescent="0.25">
      <c r="A1099" t="s">
        <v>1017</v>
      </c>
      <c r="B1099">
        <v>2401</v>
      </c>
      <c r="C1099">
        <v>1163</v>
      </c>
      <c r="D1099">
        <v>10</v>
      </c>
      <c r="E1099" t="s">
        <v>45</v>
      </c>
      <c r="F1099" t="s">
        <v>109</v>
      </c>
      <c r="G1099" t="s">
        <v>15</v>
      </c>
      <c r="H1099" s="5">
        <v>43943</v>
      </c>
      <c r="I1099" t="s">
        <v>1019</v>
      </c>
      <c r="J1099" t="s">
        <v>42</v>
      </c>
      <c r="K1099" t="s">
        <v>43</v>
      </c>
      <c r="L1099" s="1">
        <v>43922</v>
      </c>
      <c r="M1099">
        <v>2020</v>
      </c>
    </row>
    <row r="1100" spans="1:13" x14ac:dyDescent="0.25">
      <c r="A1100" t="s">
        <v>1017</v>
      </c>
      <c r="B1100">
        <v>1045</v>
      </c>
      <c r="C1100">
        <v>267</v>
      </c>
      <c r="D1100">
        <v>11</v>
      </c>
      <c r="E1100" t="s">
        <v>13</v>
      </c>
      <c r="F1100" t="s">
        <v>82</v>
      </c>
      <c r="G1100" t="s">
        <v>32</v>
      </c>
      <c r="H1100" s="5">
        <v>43943</v>
      </c>
      <c r="I1100" t="s">
        <v>1019</v>
      </c>
      <c r="J1100" t="s">
        <v>42</v>
      </c>
      <c r="K1100" t="s">
        <v>43</v>
      </c>
      <c r="L1100" s="1">
        <v>43922</v>
      </c>
      <c r="M1100">
        <v>2020</v>
      </c>
    </row>
    <row r="1101" spans="1:13" x14ac:dyDescent="0.25">
      <c r="A1101" t="s">
        <v>1040</v>
      </c>
      <c r="B1101">
        <v>8681</v>
      </c>
      <c r="C1101">
        <v>2458</v>
      </c>
      <c r="D1101">
        <v>9</v>
      </c>
      <c r="E1101" t="s">
        <v>30</v>
      </c>
      <c r="F1101" t="s">
        <v>31</v>
      </c>
      <c r="G1101" t="s">
        <v>47</v>
      </c>
      <c r="H1101" s="5">
        <v>44075</v>
      </c>
      <c r="I1101" t="s">
        <v>1041</v>
      </c>
      <c r="J1101" t="s">
        <v>25</v>
      </c>
      <c r="K1101" t="s">
        <v>51</v>
      </c>
      <c r="L1101" s="1">
        <v>44075</v>
      </c>
      <c r="M1101">
        <v>2020</v>
      </c>
    </row>
    <row r="1102" spans="1:13" x14ac:dyDescent="0.25">
      <c r="A1102" t="s">
        <v>1065</v>
      </c>
      <c r="B1102">
        <v>2472</v>
      </c>
      <c r="C1102">
        <v>211</v>
      </c>
      <c r="D1102">
        <v>5</v>
      </c>
      <c r="E1102" t="s">
        <v>13</v>
      </c>
      <c r="F1102" t="s">
        <v>28</v>
      </c>
      <c r="G1102" t="s">
        <v>65</v>
      </c>
      <c r="H1102" s="5">
        <v>44003</v>
      </c>
      <c r="I1102" t="s">
        <v>1066</v>
      </c>
      <c r="J1102" t="s">
        <v>42</v>
      </c>
      <c r="K1102" t="s">
        <v>75</v>
      </c>
      <c r="L1102" s="1">
        <v>43983</v>
      </c>
      <c r="M1102">
        <v>2020</v>
      </c>
    </row>
    <row r="1103" spans="1:13" x14ac:dyDescent="0.25">
      <c r="A1103" t="s">
        <v>1069</v>
      </c>
      <c r="B1103">
        <v>8305</v>
      </c>
      <c r="C1103">
        <v>1577</v>
      </c>
      <c r="D1103">
        <v>6</v>
      </c>
      <c r="E1103" t="s">
        <v>30</v>
      </c>
      <c r="F1103" t="s">
        <v>78</v>
      </c>
      <c r="G1103" t="s">
        <v>32</v>
      </c>
      <c r="H1103" s="5">
        <v>44181</v>
      </c>
      <c r="I1103" t="s">
        <v>1070</v>
      </c>
      <c r="J1103" t="s">
        <v>25</v>
      </c>
      <c r="K1103" t="s">
        <v>68</v>
      </c>
      <c r="L1103" s="1">
        <v>44166</v>
      </c>
      <c r="M1103">
        <v>2020</v>
      </c>
    </row>
    <row r="1104" spans="1:13" x14ac:dyDescent="0.25">
      <c r="A1104" t="s">
        <v>1077</v>
      </c>
      <c r="B1104">
        <v>8158</v>
      </c>
      <c r="C1104">
        <v>2052</v>
      </c>
      <c r="D1104">
        <v>13</v>
      </c>
      <c r="E1104" t="s">
        <v>13</v>
      </c>
      <c r="F1104" t="s">
        <v>82</v>
      </c>
      <c r="G1104" t="s">
        <v>32</v>
      </c>
      <c r="H1104" s="5">
        <v>44095</v>
      </c>
      <c r="I1104" t="s">
        <v>1078</v>
      </c>
      <c r="J1104" t="s">
        <v>98</v>
      </c>
      <c r="K1104" t="s">
        <v>107</v>
      </c>
      <c r="L1104" s="1">
        <v>44075</v>
      </c>
      <c r="M1104">
        <v>2020</v>
      </c>
    </row>
    <row r="1105" spans="1:13" x14ac:dyDescent="0.25">
      <c r="A1105" t="s">
        <v>1088</v>
      </c>
      <c r="B1105">
        <v>6783</v>
      </c>
      <c r="C1105">
        <v>3306</v>
      </c>
      <c r="D1105">
        <v>8</v>
      </c>
      <c r="E1105" t="s">
        <v>45</v>
      </c>
      <c r="F1105" t="s">
        <v>60</v>
      </c>
      <c r="G1105" t="s">
        <v>32</v>
      </c>
      <c r="H1105" s="5">
        <v>43937</v>
      </c>
      <c r="I1105" t="s">
        <v>1089</v>
      </c>
      <c r="J1105" t="s">
        <v>98</v>
      </c>
      <c r="K1105" t="s">
        <v>99</v>
      </c>
      <c r="L1105" s="1">
        <v>43922</v>
      </c>
      <c r="M1105">
        <v>2020</v>
      </c>
    </row>
    <row r="1106" spans="1:13" x14ac:dyDescent="0.25">
      <c r="A1106" t="s">
        <v>1090</v>
      </c>
      <c r="B1106">
        <v>1778</v>
      </c>
      <c r="C1106">
        <v>285</v>
      </c>
      <c r="D1106">
        <v>4</v>
      </c>
      <c r="E1106" t="s">
        <v>30</v>
      </c>
      <c r="F1106" t="s">
        <v>31</v>
      </c>
      <c r="G1106" t="s">
        <v>47</v>
      </c>
      <c r="H1106" s="5">
        <v>44016</v>
      </c>
      <c r="I1106" t="s">
        <v>1091</v>
      </c>
      <c r="J1106" t="s">
        <v>25</v>
      </c>
      <c r="K1106" t="s">
        <v>51</v>
      </c>
      <c r="L1106" s="1">
        <v>44013</v>
      </c>
      <c r="M1106">
        <v>2020</v>
      </c>
    </row>
    <row r="1107" spans="1:13" x14ac:dyDescent="0.25">
      <c r="A1107" t="s">
        <v>1100</v>
      </c>
      <c r="B1107">
        <v>8979</v>
      </c>
      <c r="C1107">
        <v>4477</v>
      </c>
      <c r="D1107">
        <v>4</v>
      </c>
      <c r="E1107" t="s">
        <v>30</v>
      </c>
      <c r="F1107" t="s">
        <v>64</v>
      </c>
      <c r="G1107" t="s">
        <v>47</v>
      </c>
      <c r="H1107" s="5">
        <v>44067</v>
      </c>
      <c r="I1107" t="s">
        <v>1101</v>
      </c>
      <c r="J1107" t="s">
        <v>21</v>
      </c>
      <c r="K1107" t="s">
        <v>22</v>
      </c>
      <c r="L1107" s="1">
        <v>44044</v>
      </c>
      <c r="M1107">
        <v>2020</v>
      </c>
    </row>
    <row r="1108" spans="1:13" x14ac:dyDescent="0.25">
      <c r="A1108" t="s">
        <v>1110</v>
      </c>
      <c r="B1108">
        <v>8572</v>
      </c>
      <c r="C1108">
        <v>2041</v>
      </c>
      <c r="D1108">
        <v>8</v>
      </c>
      <c r="E1108" t="s">
        <v>45</v>
      </c>
      <c r="F1108" t="s">
        <v>46</v>
      </c>
      <c r="G1108" t="s">
        <v>40</v>
      </c>
      <c r="H1108" s="5">
        <v>44131</v>
      </c>
      <c r="I1108" t="s">
        <v>1113</v>
      </c>
      <c r="J1108" t="s">
        <v>42</v>
      </c>
      <c r="K1108" t="s">
        <v>75</v>
      </c>
      <c r="L1108" s="1">
        <v>44105</v>
      </c>
      <c r="M1108">
        <v>2020</v>
      </c>
    </row>
    <row r="1109" spans="1:13" x14ac:dyDescent="0.25">
      <c r="A1109" t="s">
        <v>1110</v>
      </c>
      <c r="B1109">
        <v>8059</v>
      </c>
      <c r="C1109">
        <v>1834</v>
      </c>
      <c r="D1109">
        <v>10</v>
      </c>
      <c r="E1109" t="s">
        <v>13</v>
      </c>
      <c r="F1109" t="s">
        <v>28</v>
      </c>
      <c r="G1109" t="s">
        <v>47</v>
      </c>
      <c r="H1109" s="5">
        <v>44131</v>
      </c>
      <c r="I1109" t="s">
        <v>1113</v>
      </c>
      <c r="J1109" t="s">
        <v>42</v>
      </c>
      <c r="K1109" t="s">
        <v>75</v>
      </c>
      <c r="L1109" s="1">
        <v>44105</v>
      </c>
      <c r="M1109">
        <v>2020</v>
      </c>
    </row>
    <row r="1110" spans="1:13" x14ac:dyDescent="0.25">
      <c r="A1110" t="s">
        <v>1122</v>
      </c>
      <c r="B1110">
        <v>4307</v>
      </c>
      <c r="C1110">
        <v>615</v>
      </c>
      <c r="D1110">
        <v>3</v>
      </c>
      <c r="E1110" t="s">
        <v>13</v>
      </c>
      <c r="F1110" t="s">
        <v>14</v>
      </c>
      <c r="G1110" t="s">
        <v>15</v>
      </c>
      <c r="H1110" s="5">
        <v>44145</v>
      </c>
      <c r="I1110" t="s">
        <v>1124</v>
      </c>
      <c r="J1110" t="s">
        <v>21</v>
      </c>
      <c r="K1110" t="s">
        <v>63</v>
      </c>
      <c r="L1110" s="1">
        <v>44136</v>
      </c>
      <c r="M1110">
        <v>2020</v>
      </c>
    </row>
    <row r="1111" spans="1:13" x14ac:dyDescent="0.25">
      <c r="A1111" t="s">
        <v>1122</v>
      </c>
      <c r="B1111">
        <v>5694</v>
      </c>
      <c r="C1111">
        <v>1134</v>
      </c>
      <c r="D1111">
        <v>5</v>
      </c>
      <c r="E1111" t="s">
        <v>45</v>
      </c>
      <c r="F1111" t="s">
        <v>49</v>
      </c>
      <c r="G1111" t="s">
        <v>40</v>
      </c>
      <c r="H1111" s="5">
        <v>44145</v>
      </c>
      <c r="I1111" t="s">
        <v>1124</v>
      </c>
      <c r="J1111" t="s">
        <v>21</v>
      </c>
      <c r="K1111" t="s">
        <v>63</v>
      </c>
      <c r="L1111" s="1">
        <v>44136</v>
      </c>
      <c r="M1111">
        <v>2020</v>
      </c>
    </row>
    <row r="1112" spans="1:13" x14ac:dyDescent="0.25">
      <c r="A1112" t="s">
        <v>1140</v>
      </c>
      <c r="B1112">
        <v>3918</v>
      </c>
      <c r="C1112">
        <v>749</v>
      </c>
      <c r="D1112">
        <v>8</v>
      </c>
      <c r="E1112" t="s">
        <v>13</v>
      </c>
      <c r="F1112" t="s">
        <v>39</v>
      </c>
      <c r="G1112" t="s">
        <v>47</v>
      </c>
      <c r="H1112" s="5">
        <v>43953</v>
      </c>
      <c r="I1112" t="s">
        <v>1142</v>
      </c>
      <c r="J1112" t="s">
        <v>71</v>
      </c>
      <c r="K1112" t="s">
        <v>138</v>
      </c>
      <c r="L1112" s="1">
        <v>43952</v>
      </c>
      <c r="M1112">
        <v>2020</v>
      </c>
    </row>
    <row r="1113" spans="1:13" x14ac:dyDescent="0.25">
      <c r="A1113" t="s">
        <v>1147</v>
      </c>
      <c r="B1113">
        <v>5028</v>
      </c>
      <c r="C1113">
        <v>1553</v>
      </c>
      <c r="D1113">
        <v>13</v>
      </c>
      <c r="E1113" t="s">
        <v>30</v>
      </c>
      <c r="F1113" t="s">
        <v>64</v>
      </c>
      <c r="G1113" t="s">
        <v>40</v>
      </c>
      <c r="H1113" s="5">
        <v>43955</v>
      </c>
      <c r="I1113" t="s">
        <v>1148</v>
      </c>
      <c r="J1113" t="s">
        <v>17</v>
      </c>
      <c r="K1113" t="s">
        <v>150</v>
      </c>
      <c r="L1113" s="1">
        <v>43952</v>
      </c>
      <c r="M1113">
        <v>2020</v>
      </c>
    </row>
    <row r="1114" spans="1:13" x14ac:dyDescent="0.25">
      <c r="A1114" t="s">
        <v>1155</v>
      </c>
      <c r="B1114">
        <v>3518</v>
      </c>
      <c r="C1114">
        <v>1051</v>
      </c>
      <c r="D1114">
        <v>3</v>
      </c>
      <c r="E1114" t="s">
        <v>45</v>
      </c>
      <c r="F1114" t="s">
        <v>109</v>
      </c>
      <c r="G1114" t="s">
        <v>15</v>
      </c>
      <c r="H1114" s="5">
        <v>44084</v>
      </c>
      <c r="I1114" t="s">
        <v>1156</v>
      </c>
      <c r="J1114" t="s">
        <v>42</v>
      </c>
      <c r="K1114" t="s">
        <v>92</v>
      </c>
      <c r="L1114" s="1">
        <v>44075</v>
      </c>
      <c r="M1114">
        <v>2020</v>
      </c>
    </row>
    <row r="1115" spans="1:13" x14ac:dyDescent="0.25">
      <c r="A1115" t="s">
        <v>1155</v>
      </c>
      <c r="B1115">
        <v>4157</v>
      </c>
      <c r="C1115">
        <v>1874</v>
      </c>
      <c r="D1115">
        <v>8</v>
      </c>
      <c r="E1115" t="s">
        <v>13</v>
      </c>
      <c r="F1115" t="s">
        <v>39</v>
      </c>
      <c r="G1115" t="s">
        <v>40</v>
      </c>
      <c r="H1115" s="5">
        <v>44084</v>
      </c>
      <c r="I1115" t="s">
        <v>1156</v>
      </c>
      <c r="J1115" t="s">
        <v>42</v>
      </c>
      <c r="K1115" t="s">
        <v>92</v>
      </c>
      <c r="L1115" s="1">
        <v>44075</v>
      </c>
      <c r="M1115">
        <v>2020</v>
      </c>
    </row>
    <row r="1116" spans="1:13" x14ac:dyDescent="0.25">
      <c r="A1116" t="s">
        <v>1157</v>
      </c>
      <c r="B1116">
        <v>3747</v>
      </c>
      <c r="C1116">
        <v>410</v>
      </c>
      <c r="D1116">
        <v>5</v>
      </c>
      <c r="E1116" t="s">
        <v>30</v>
      </c>
      <c r="F1116" t="s">
        <v>57</v>
      </c>
      <c r="G1116" t="s">
        <v>47</v>
      </c>
      <c r="H1116" s="5">
        <v>44024</v>
      </c>
      <c r="I1116" t="s">
        <v>1158</v>
      </c>
      <c r="J1116" t="s">
        <v>21</v>
      </c>
      <c r="K1116" t="s">
        <v>63</v>
      </c>
      <c r="L1116" s="1">
        <v>44013</v>
      </c>
      <c r="M1116">
        <v>2020</v>
      </c>
    </row>
    <row r="1117" spans="1:13" x14ac:dyDescent="0.25">
      <c r="A1117" t="s">
        <v>1157</v>
      </c>
      <c r="B1117">
        <v>3194</v>
      </c>
      <c r="C1117">
        <v>534</v>
      </c>
      <c r="D1117">
        <v>4</v>
      </c>
      <c r="E1117" t="s">
        <v>30</v>
      </c>
      <c r="F1117" t="s">
        <v>78</v>
      </c>
      <c r="G1117" t="s">
        <v>15</v>
      </c>
      <c r="H1117" s="5">
        <v>44024</v>
      </c>
      <c r="I1117" t="s">
        <v>1158</v>
      </c>
      <c r="J1117" t="s">
        <v>21</v>
      </c>
      <c r="K1117" t="s">
        <v>63</v>
      </c>
      <c r="L1117" s="1">
        <v>44013</v>
      </c>
      <c r="M1117">
        <v>2020</v>
      </c>
    </row>
    <row r="1118" spans="1:13" x14ac:dyDescent="0.25">
      <c r="A1118" t="s">
        <v>1165</v>
      </c>
      <c r="B1118">
        <v>6089</v>
      </c>
      <c r="C1118">
        <v>139</v>
      </c>
      <c r="D1118">
        <v>19</v>
      </c>
      <c r="E1118" t="s">
        <v>45</v>
      </c>
      <c r="F1118" t="s">
        <v>46</v>
      </c>
      <c r="G1118" t="s">
        <v>32</v>
      </c>
      <c r="H1118" s="5">
        <v>44196</v>
      </c>
      <c r="I1118" t="s">
        <v>1166</v>
      </c>
      <c r="J1118" t="s">
        <v>98</v>
      </c>
      <c r="K1118" t="s">
        <v>107</v>
      </c>
      <c r="L1118" s="1">
        <v>44166</v>
      </c>
      <c r="M1118">
        <v>2020</v>
      </c>
    </row>
    <row r="1119" spans="1:13" x14ac:dyDescent="0.25">
      <c r="A1119" t="s">
        <v>1165</v>
      </c>
      <c r="B1119">
        <v>2586</v>
      </c>
      <c r="C1119">
        <v>800</v>
      </c>
      <c r="D1119">
        <v>16</v>
      </c>
      <c r="E1119" t="s">
        <v>45</v>
      </c>
      <c r="F1119" t="s">
        <v>46</v>
      </c>
      <c r="G1119" t="s">
        <v>15</v>
      </c>
      <c r="H1119" s="5">
        <v>44196</v>
      </c>
      <c r="I1119" t="s">
        <v>1166</v>
      </c>
      <c r="J1119" t="s">
        <v>98</v>
      </c>
      <c r="K1119" t="s">
        <v>107</v>
      </c>
      <c r="L1119" s="1">
        <v>44166</v>
      </c>
      <c r="M1119">
        <v>2020</v>
      </c>
    </row>
    <row r="1120" spans="1:13" x14ac:dyDescent="0.25">
      <c r="A1120" t="s">
        <v>1165</v>
      </c>
      <c r="B1120">
        <v>3757</v>
      </c>
      <c r="C1120">
        <v>1626</v>
      </c>
      <c r="D1120">
        <v>9</v>
      </c>
      <c r="E1120" t="s">
        <v>30</v>
      </c>
      <c r="F1120" t="s">
        <v>64</v>
      </c>
      <c r="G1120" t="s">
        <v>15</v>
      </c>
      <c r="H1120" s="5">
        <v>44196</v>
      </c>
      <c r="I1120" t="s">
        <v>1166</v>
      </c>
      <c r="J1120" t="s">
        <v>98</v>
      </c>
      <c r="K1120" t="s">
        <v>107</v>
      </c>
      <c r="L1120" s="1">
        <v>44166</v>
      </c>
      <c r="M1120">
        <v>2020</v>
      </c>
    </row>
    <row r="1121" spans="1:13" x14ac:dyDescent="0.25">
      <c r="A1121" t="s">
        <v>1172</v>
      </c>
      <c r="B1121">
        <v>7493</v>
      </c>
      <c r="C1121">
        <v>96</v>
      </c>
      <c r="D1121">
        <v>3</v>
      </c>
      <c r="E1121" t="s">
        <v>13</v>
      </c>
      <c r="F1121" t="s">
        <v>14</v>
      </c>
      <c r="G1121" t="s">
        <v>15</v>
      </c>
      <c r="H1121" s="5">
        <v>44054</v>
      </c>
      <c r="I1121" t="s">
        <v>1173</v>
      </c>
      <c r="J1121" t="s">
        <v>98</v>
      </c>
      <c r="K1121" t="s">
        <v>117</v>
      </c>
      <c r="L1121" s="1">
        <v>44044</v>
      </c>
      <c r="M1121">
        <v>2020</v>
      </c>
    </row>
    <row r="1122" spans="1:13" x14ac:dyDescent="0.25">
      <c r="A1122" t="s">
        <v>1182</v>
      </c>
      <c r="B1122">
        <v>3482</v>
      </c>
      <c r="C1122">
        <v>1554</v>
      </c>
      <c r="D1122">
        <v>15</v>
      </c>
      <c r="E1122" t="s">
        <v>13</v>
      </c>
      <c r="F1122" t="s">
        <v>39</v>
      </c>
      <c r="G1122" t="s">
        <v>32</v>
      </c>
      <c r="H1122" s="5">
        <v>44083</v>
      </c>
      <c r="I1122" t="s">
        <v>1183</v>
      </c>
      <c r="J1122" t="s">
        <v>98</v>
      </c>
      <c r="K1122" t="s">
        <v>99</v>
      </c>
      <c r="L1122" s="1">
        <v>44075</v>
      </c>
      <c r="M1122">
        <v>2020</v>
      </c>
    </row>
    <row r="1123" spans="1:13" x14ac:dyDescent="0.25">
      <c r="A1123" t="s">
        <v>1212</v>
      </c>
      <c r="B1123">
        <v>4904</v>
      </c>
      <c r="C1123">
        <v>469</v>
      </c>
      <c r="D1123">
        <v>2</v>
      </c>
      <c r="E1123" t="s">
        <v>30</v>
      </c>
      <c r="F1123" t="s">
        <v>31</v>
      </c>
      <c r="G1123" t="s">
        <v>32</v>
      </c>
      <c r="H1123" s="5">
        <v>43946</v>
      </c>
      <c r="I1123" t="s">
        <v>1213</v>
      </c>
      <c r="J1123" t="s">
        <v>71</v>
      </c>
      <c r="K1123" t="s">
        <v>72</v>
      </c>
      <c r="L1123" s="1">
        <v>43922</v>
      </c>
      <c r="M1123">
        <v>2020</v>
      </c>
    </row>
    <row r="1124" spans="1:13" x14ac:dyDescent="0.25">
      <c r="A1124" t="s">
        <v>1212</v>
      </c>
      <c r="B1124">
        <v>3080</v>
      </c>
      <c r="C1124">
        <v>737</v>
      </c>
      <c r="D1124">
        <v>6</v>
      </c>
      <c r="E1124" t="s">
        <v>30</v>
      </c>
      <c r="F1124" t="s">
        <v>78</v>
      </c>
      <c r="G1124" t="s">
        <v>15</v>
      </c>
      <c r="H1124" s="5">
        <v>43946</v>
      </c>
      <c r="I1124" t="s">
        <v>1213</v>
      </c>
      <c r="J1124" t="s">
        <v>71</v>
      </c>
      <c r="K1124" t="s">
        <v>72</v>
      </c>
      <c r="L1124" s="1">
        <v>43922</v>
      </c>
      <c r="M1124">
        <v>2020</v>
      </c>
    </row>
    <row r="1125" spans="1:13" x14ac:dyDescent="0.25">
      <c r="A1125" t="s">
        <v>1228</v>
      </c>
      <c r="B1125">
        <v>8752</v>
      </c>
      <c r="C1125">
        <v>1686</v>
      </c>
      <c r="D1125">
        <v>9</v>
      </c>
      <c r="E1125" t="s">
        <v>45</v>
      </c>
      <c r="F1125" t="s">
        <v>46</v>
      </c>
      <c r="G1125" t="s">
        <v>32</v>
      </c>
      <c r="H1125" s="5">
        <v>44192</v>
      </c>
      <c r="I1125" t="s">
        <v>1229</v>
      </c>
      <c r="J1125" t="s">
        <v>98</v>
      </c>
      <c r="K1125" t="s">
        <v>107</v>
      </c>
      <c r="L1125" s="1">
        <v>44166</v>
      </c>
      <c r="M1125">
        <v>2020</v>
      </c>
    </row>
    <row r="1126" spans="1:13" x14ac:dyDescent="0.25">
      <c r="A1126" t="s">
        <v>1250</v>
      </c>
      <c r="B1126">
        <v>9775</v>
      </c>
      <c r="C1126">
        <v>4507</v>
      </c>
      <c r="D1126">
        <v>5</v>
      </c>
      <c r="E1126" t="s">
        <v>30</v>
      </c>
      <c r="F1126" t="s">
        <v>57</v>
      </c>
      <c r="G1126" t="s">
        <v>15</v>
      </c>
      <c r="H1126" s="5">
        <v>44018</v>
      </c>
      <c r="I1126" t="s">
        <v>1251</v>
      </c>
      <c r="J1126" t="s">
        <v>98</v>
      </c>
      <c r="K1126" t="s">
        <v>107</v>
      </c>
      <c r="L1126" s="1">
        <v>44013</v>
      </c>
      <c r="M1126">
        <v>2020</v>
      </c>
    </row>
    <row r="1127" spans="1:13" x14ac:dyDescent="0.25">
      <c r="A1127" t="s">
        <v>1252</v>
      </c>
      <c r="B1127">
        <v>3309</v>
      </c>
      <c r="C1127">
        <v>177</v>
      </c>
      <c r="D1127">
        <v>13</v>
      </c>
      <c r="E1127" t="s">
        <v>45</v>
      </c>
      <c r="F1127" t="s">
        <v>109</v>
      </c>
      <c r="G1127" t="s">
        <v>40</v>
      </c>
      <c r="H1127" s="5">
        <v>44182</v>
      </c>
      <c r="I1127" t="s">
        <v>1253</v>
      </c>
      <c r="J1127" t="s">
        <v>98</v>
      </c>
      <c r="K1127" t="s">
        <v>117</v>
      </c>
      <c r="L1127" s="1">
        <v>44166</v>
      </c>
      <c r="M1127">
        <v>2020</v>
      </c>
    </row>
    <row r="1128" spans="1:13" x14ac:dyDescent="0.25">
      <c r="A1128" t="s">
        <v>1265</v>
      </c>
      <c r="B1128">
        <v>3316</v>
      </c>
      <c r="C1128">
        <v>126</v>
      </c>
      <c r="D1128">
        <v>6</v>
      </c>
      <c r="E1128" t="s">
        <v>13</v>
      </c>
      <c r="F1128" t="s">
        <v>39</v>
      </c>
      <c r="G1128" t="s">
        <v>65</v>
      </c>
      <c r="H1128" s="5">
        <v>44115</v>
      </c>
      <c r="I1128" t="s">
        <v>1266</v>
      </c>
      <c r="J1128" t="s">
        <v>98</v>
      </c>
      <c r="K1128" t="s">
        <v>107</v>
      </c>
      <c r="L1128" s="1">
        <v>44105</v>
      </c>
      <c r="M1128">
        <v>2020</v>
      </c>
    </row>
    <row r="1129" spans="1:13" x14ac:dyDescent="0.25">
      <c r="A1129" t="s">
        <v>1273</v>
      </c>
      <c r="B1129">
        <v>7019</v>
      </c>
      <c r="C1129">
        <v>2677</v>
      </c>
      <c r="D1129">
        <v>15</v>
      </c>
      <c r="E1129" t="s">
        <v>30</v>
      </c>
      <c r="F1129" t="s">
        <v>57</v>
      </c>
      <c r="G1129" t="s">
        <v>15</v>
      </c>
      <c r="H1129" s="5">
        <v>44186</v>
      </c>
      <c r="I1129" t="s">
        <v>1274</v>
      </c>
      <c r="J1129" t="s">
        <v>17</v>
      </c>
      <c r="K1129" t="s">
        <v>18</v>
      </c>
      <c r="L1129" s="1">
        <v>44166</v>
      </c>
      <c r="M1129">
        <v>2020</v>
      </c>
    </row>
    <row r="1130" spans="1:13" x14ac:dyDescent="0.25">
      <c r="A1130" t="s">
        <v>1294</v>
      </c>
      <c r="B1130">
        <v>2684</v>
      </c>
      <c r="C1130">
        <v>713</v>
      </c>
      <c r="D1130">
        <v>2</v>
      </c>
      <c r="E1130" t="s">
        <v>13</v>
      </c>
      <c r="F1130" t="s">
        <v>14</v>
      </c>
      <c r="G1130" t="s">
        <v>15</v>
      </c>
      <c r="H1130" s="5">
        <v>43962</v>
      </c>
      <c r="I1130" t="s">
        <v>1297</v>
      </c>
      <c r="J1130" t="s">
        <v>71</v>
      </c>
      <c r="K1130" t="s">
        <v>72</v>
      </c>
      <c r="L1130" s="1">
        <v>43952</v>
      </c>
      <c r="M1130">
        <v>2020</v>
      </c>
    </row>
    <row r="1131" spans="1:13" x14ac:dyDescent="0.25">
      <c r="A1131" t="s">
        <v>1298</v>
      </c>
      <c r="B1131">
        <v>7626</v>
      </c>
      <c r="C1131">
        <v>229</v>
      </c>
      <c r="D1131">
        <v>5</v>
      </c>
      <c r="E1131" t="s">
        <v>30</v>
      </c>
      <c r="F1131" t="s">
        <v>31</v>
      </c>
      <c r="G1131" t="s">
        <v>40</v>
      </c>
      <c r="H1131" s="5">
        <v>44160</v>
      </c>
      <c r="I1131" t="s">
        <v>1300</v>
      </c>
      <c r="J1131" t="s">
        <v>98</v>
      </c>
      <c r="K1131" t="s">
        <v>99</v>
      </c>
      <c r="L1131" s="1">
        <v>44136</v>
      </c>
      <c r="M1131">
        <v>2020</v>
      </c>
    </row>
    <row r="1132" spans="1:13" x14ac:dyDescent="0.25">
      <c r="A1132" t="s">
        <v>1320</v>
      </c>
      <c r="B1132">
        <v>5461</v>
      </c>
      <c r="C1132">
        <v>1214</v>
      </c>
      <c r="D1132">
        <v>7</v>
      </c>
      <c r="E1132" t="s">
        <v>45</v>
      </c>
      <c r="F1132" t="s">
        <v>60</v>
      </c>
      <c r="G1132" t="s">
        <v>47</v>
      </c>
      <c r="H1132" s="5">
        <v>43989</v>
      </c>
      <c r="I1132" t="s">
        <v>1321</v>
      </c>
      <c r="J1132" t="s">
        <v>25</v>
      </c>
      <c r="K1132" t="s">
        <v>68</v>
      </c>
      <c r="L1132" s="1">
        <v>43983</v>
      </c>
      <c r="M1132">
        <v>2020</v>
      </c>
    </row>
    <row r="1133" spans="1:13" x14ac:dyDescent="0.25">
      <c r="A1133" t="s">
        <v>1324</v>
      </c>
      <c r="B1133">
        <v>6087</v>
      </c>
      <c r="C1133">
        <v>3043</v>
      </c>
      <c r="D1133">
        <v>1</v>
      </c>
      <c r="E1133" t="s">
        <v>45</v>
      </c>
      <c r="F1133" t="s">
        <v>60</v>
      </c>
      <c r="G1133" t="s">
        <v>65</v>
      </c>
      <c r="H1133" s="5">
        <v>44048</v>
      </c>
      <c r="I1133" t="s">
        <v>1325</v>
      </c>
      <c r="J1133" t="s">
        <v>25</v>
      </c>
      <c r="K1133" t="s">
        <v>26</v>
      </c>
      <c r="L1133" s="1">
        <v>44044</v>
      </c>
      <c r="M1133">
        <v>2020</v>
      </c>
    </row>
    <row r="1134" spans="1:13" x14ac:dyDescent="0.25">
      <c r="A1134" t="s">
        <v>1326</v>
      </c>
      <c r="B1134">
        <v>611</v>
      </c>
      <c r="C1134">
        <v>300</v>
      </c>
      <c r="D1134">
        <v>3</v>
      </c>
      <c r="E1134" t="s">
        <v>45</v>
      </c>
      <c r="F1134" t="s">
        <v>109</v>
      </c>
      <c r="G1134" t="s">
        <v>47</v>
      </c>
      <c r="H1134" s="5">
        <v>44119</v>
      </c>
      <c r="I1134" t="s">
        <v>1327</v>
      </c>
      <c r="J1134" t="s">
        <v>21</v>
      </c>
      <c r="K1134" t="s">
        <v>172</v>
      </c>
      <c r="L1134" s="1">
        <v>44105</v>
      </c>
      <c r="M1134">
        <v>2020</v>
      </c>
    </row>
    <row r="1135" spans="1:13" x14ac:dyDescent="0.25">
      <c r="A1135" t="s">
        <v>1337</v>
      </c>
      <c r="B1135">
        <v>7786</v>
      </c>
      <c r="C1135">
        <v>1202</v>
      </c>
      <c r="D1135">
        <v>4</v>
      </c>
      <c r="E1135" t="s">
        <v>45</v>
      </c>
      <c r="F1135" t="s">
        <v>60</v>
      </c>
      <c r="G1135" t="s">
        <v>40</v>
      </c>
      <c r="H1135" s="5">
        <v>44005</v>
      </c>
      <c r="I1135" t="s">
        <v>1338</v>
      </c>
      <c r="J1135" t="s">
        <v>21</v>
      </c>
      <c r="K1135" t="s">
        <v>172</v>
      </c>
      <c r="L1135" s="1">
        <v>43983</v>
      </c>
      <c r="M1135">
        <v>2020</v>
      </c>
    </row>
    <row r="1136" spans="1:13" x14ac:dyDescent="0.25">
      <c r="A1136" t="s">
        <v>1344</v>
      </c>
      <c r="B1136">
        <v>3445</v>
      </c>
      <c r="C1136">
        <v>1405</v>
      </c>
      <c r="D1136">
        <v>16</v>
      </c>
      <c r="E1136" t="s">
        <v>45</v>
      </c>
      <c r="F1136" t="s">
        <v>60</v>
      </c>
      <c r="G1136" t="s">
        <v>40</v>
      </c>
      <c r="H1136" s="5">
        <v>44095</v>
      </c>
      <c r="I1136" t="s">
        <v>1345</v>
      </c>
      <c r="J1136" t="s">
        <v>42</v>
      </c>
      <c r="K1136" t="s">
        <v>92</v>
      </c>
      <c r="L1136" s="1">
        <v>44075</v>
      </c>
      <c r="M1136">
        <v>2020</v>
      </c>
    </row>
    <row r="1137" spans="1:13" x14ac:dyDescent="0.25">
      <c r="A1137" t="s">
        <v>1344</v>
      </c>
      <c r="B1137">
        <v>9837</v>
      </c>
      <c r="C1137">
        <v>384</v>
      </c>
      <c r="D1137">
        <v>1</v>
      </c>
      <c r="E1137" t="s">
        <v>13</v>
      </c>
      <c r="F1137" t="s">
        <v>39</v>
      </c>
      <c r="G1137" t="s">
        <v>15</v>
      </c>
      <c r="H1137" s="5">
        <v>44095</v>
      </c>
      <c r="I1137" t="s">
        <v>1345</v>
      </c>
      <c r="J1137" t="s">
        <v>42</v>
      </c>
      <c r="K1137" t="s">
        <v>92</v>
      </c>
      <c r="L1137" s="1">
        <v>44075</v>
      </c>
      <c r="M1137">
        <v>2020</v>
      </c>
    </row>
    <row r="1138" spans="1:13" x14ac:dyDescent="0.25">
      <c r="A1138" t="s">
        <v>1376</v>
      </c>
      <c r="B1138">
        <v>9609</v>
      </c>
      <c r="C1138">
        <v>4339</v>
      </c>
      <c r="D1138">
        <v>3</v>
      </c>
      <c r="E1138" t="s">
        <v>45</v>
      </c>
      <c r="F1138" t="s">
        <v>60</v>
      </c>
      <c r="G1138" t="s">
        <v>32</v>
      </c>
      <c r="H1138" s="5">
        <v>43926</v>
      </c>
      <c r="I1138" t="s">
        <v>1378</v>
      </c>
      <c r="J1138" t="s">
        <v>98</v>
      </c>
      <c r="K1138" t="s">
        <v>107</v>
      </c>
      <c r="L1138" s="1">
        <v>43922</v>
      </c>
      <c r="M1138">
        <v>2020</v>
      </c>
    </row>
    <row r="1139" spans="1:13" x14ac:dyDescent="0.25">
      <c r="A1139" t="s">
        <v>1381</v>
      </c>
      <c r="B1139">
        <v>9873</v>
      </c>
      <c r="C1139">
        <v>4585</v>
      </c>
      <c r="D1139">
        <v>7</v>
      </c>
      <c r="E1139" t="s">
        <v>30</v>
      </c>
      <c r="F1139" t="s">
        <v>64</v>
      </c>
      <c r="G1139" t="s">
        <v>47</v>
      </c>
      <c r="H1139" s="5">
        <v>44053</v>
      </c>
      <c r="I1139" t="s">
        <v>1382</v>
      </c>
      <c r="J1139" t="s">
        <v>98</v>
      </c>
      <c r="K1139" t="s">
        <v>99</v>
      </c>
      <c r="L1139" s="1">
        <v>44044</v>
      </c>
      <c r="M1139">
        <v>2020</v>
      </c>
    </row>
    <row r="1140" spans="1:13" x14ac:dyDescent="0.25">
      <c r="A1140" t="s">
        <v>1383</v>
      </c>
      <c r="B1140">
        <v>3560</v>
      </c>
      <c r="C1140">
        <v>1335</v>
      </c>
      <c r="D1140">
        <v>15</v>
      </c>
      <c r="E1140" t="s">
        <v>13</v>
      </c>
      <c r="F1140" t="s">
        <v>14</v>
      </c>
      <c r="G1140" t="s">
        <v>65</v>
      </c>
      <c r="H1140" s="5">
        <v>43950</v>
      </c>
      <c r="I1140" t="s">
        <v>1384</v>
      </c>
      <c r="J1140" t="s">
        <v>25</v>
      </c>
      <c r="K1140" t="s">
        <v>51</v>
      </c>
      <c r="L1140" s="1">
        <v>43922</v>
      </c>
      <c r="M1140">
        <v>2020</v>
      </c>
    </row>
    <row r="1141" spans="1:13" x14ac:dyDescent="0.25">
      <c r="A1141" t="s">
        <v>1386</v>
      </c>
      <c r="B1141">
        <v>6528</v>
      </c>
      <c r="C1141">
        <v>76</v>
      </c>
      <c r="D1141">
        <v>9</v>
      </c>
      <c r="E1141" t="s">
        <v>13</v>
      </c>
      <c r="F1141" t="s">
        <v>82</v>
      </c>
      <c r="G1141" t="s">
        <v>32</v>
      </c>
      <c r="H1141" s="5">
        <v>43955</v>
      </c>
      <c r="I1141" t="s">
        <v>1387</v>
      </c>
      <c r="J1141" t="s">
        <v>25</v>
      </c>
      <c r="K1141" t="s">
        <v>26</v>
      </c>
      <c r="L1141" s="1">
        <v>43952</v>
      </c>
      <c r="M1141">
        <v>2020</v>
      </c>
    </row>
    <row r="1142" spans="1:13" x14ac:dyDescent="0.25">
      <c r="A1142" t="s">
        <v>1386</v>
      </c>
      <c r="B1142">
        <v>8930</v>
      </c>
      <c r="C1142">
        <v>3374</v>
      </c>
      <c r="D1142">
        <v>12</v>
      </c>
      <c r="E1142" t="s">
        <v>45</v>
      </c>
      <c r="F1142" t="s">
        <v>60</v>
      </c>
      <c r="G1142" t="s">
        <v>32</v>
      </c>
      <c r="H1142" s="5">
        <v>43955</v>
      </c>
      <c r="I1142" t="s">
        <v>1387</v>
      </c>
      <c r="J1142" t="s">
        <v>25</v>
      </c>
      <c r="K1142" t="s">
        <v>26</v>
      </c>
      <c r="L1142" s="1">
        <v>43952</v>
      </c>
      <c r="M1142">
        <v>2020</v>
      </c>
    </row>
    <row r="1143" spans="1:13" x14ac:dyDescent="0.25">
      <c r="A1143" t="s">
        <v>1392</v>
      </c>
      <c r="B1143">
        <v>2101</v>
      </c>
      <c r="C1143">
        <v>287</v>
      </c>
      <c r="D1143">
        <v>8</v>
      </c>
      <c r="E1143" t="s">
        <v>30</v>
      </c>
      <c r="F1143" t="s">
        <v>31</v>
      </c>
      <c r="G1143" t="s">
        <v>65</v>
      </c>
      <c r="H1143" s="5">
        <v>44016</v>
      </c>
      <c r="I1143" t="s">
        <v>703</v>
      </c>
      <c r="J1143" t="s">
        <v>98</v>
      </c>
      <c r="K1143" t="s">
        <v>117</v>
      </c>
      <c r="L1143" s="1">
        <v>44013</v>
      </c>
      <c r="M1143">
        <v>2020</v>
      </c>
    </row>
    <row r="1144" spans="1:13" x14ac:dyDescent="0.25">
      <c r="A1144" t="s">
        <v>1404</v>
      </c>
      <c r="B1144">
        <v>5460</v>
      </c>
      <c r="C1144">
        <v>2088</v>
      </c>
      <c r="D1144">
        <v>14</v>
      </c>
      <c r="E1144" t="s">
        <v>45</v>
      </c>
      <c r="F1144" t="s">
        <v>46</v>
      </c>
      <c r="G1144" t="s">
        <v>32</v>
      </c>
      <c r="H1144" s="5">
        <v>43940</v>
      </c>
      <c r="I1144" t="s">
        <v>1406</v>
      </c>
      <c r="J1144" t="s">
        <v>98</v>
      </c>
      <c r="K1144" t="s">
        <v>107</v>
      </c>
      <c r="L1144" s="1">
        <v>43922</v>
      </c>
      <c r="M1144">
        <v>2020</v>
      </c>
    </row>
    <row r="1145" spans="1:13" x14ac:dyDescent="0.25">
      <c r="A1145" t="s">
        <v>1407</v>
      </c>
      <c r="B1145">
        <v>9272</v>
      </c>
      <c r="C1145">
        <v>1771</v>
      </c>
      <c r="D1145">
        <v>19</v>
      </c>
      <c r="E1145" t="s">
        <v>30</v>
      </c>
      <c r="F1145" t="s">
        <v>57</v>
      </c>
      <c r="G1145" t="s">
        <v>15</v>
      </c>
      <c r="H1145" s="5">
        <v>43939</v>
      </c>
      <c r="I1145" t="s">
        <v>1409</v>
      </c>
      <c r="J1145" t="s">
        <v>71</v>
      </c>
      <c r="K1145" t="s">
        <v>72</v>
      </c>
      <c r="L1145" s="1">
        <v>43922</v>
      </c>
      <c r="M1145">
        <v>2020</v>
      </c>
    </row>
    <row r="1146" spans="1:13" x14ac:dyDescent="0.25">
      <c r="A1146" t="s">
        <v>1422</v>
      </c>
      <c r="B1146">
        <v>8044</v>
      </c>
      <c r="C1146">
        <v>3634</v>
      </c>
      <c r="D1146">
        <v>3</v>
      </c>
      <c r="E1146" t="s">
        <v>30</v>
      </c>
      <c r="F1146" t="s">
        <v>57</v>
      </c>
      <c r="G1146" t="s">
        <v>65</v>
      </c>
      <c r="H1146" s="5">
        <v>44189</v>
      </c>
      <c r="I1146" t="s">
        <v>1423</v>
      </c>
      <c r="J1146" t="s">
        <v>17</v>
      </c>
      <c r="K1146" t="s">
        <v>34</v>
      </c>
      <c r="L1146" s="1">
        <v>44166</v>
      </c>
      <c r="M1146">
        <v>2020</v>
      </c>
    </row>
    <row r="1147" spans="1:13" x14ac:dyDescent="0.25">
      <c r="A1147" t="s">
        <v>1438</v>
      </c>
      <c r="B1147">
        <v>2689</v>
      </c>
      <c r="C1147">
        <v>1330</v>
      </c>
      <c r="D1147">
        <v>3</v>
      </c>
      <c r="E1147" t="s">
        <v>45</v>
      </c>
      <c r="F1147" t="s">
        <v>46</v>
      </c>
      <c r="G1147" t="s">
        <v>15</v>
      </c>
      <c r="H1147" s="5">
        <v>44178</v>
      </c>
      <c r="I1147" t="s">
        <v>1439</v>
      </c>
      <c r="J1147" t="s">
        <v>42</v>
      </c>
      <c r="K1147" t="s">
        <v>43</v>
      </c>
      <c r="L1147" s="1">
        <v>44166</v>
      </c>
      <c r="M1147">
        <v>2020</v>
      </c>
    </row>
    <row r="1148" spans="1:13" x14ac:dyDescent="0.25">
      <c r="A1148" t="s">
        <v>1446</v>
      </c>
      <c r="B1148">
        <v>8962</v>
      </c>
      <c r="C1148">
        <v>2444</v>
      </c>
      <c r="D1148">
        <v>18</v>
      </c>
      <c r="E1148" t="s">
        <v>13</v>
      </c>
      <c r="F1148" t="s">
        <v>14</v>
      </c>
      <c r="G1148" t="s">
        <v>32</v>
      </c>
      <c r="H1148" s="5">
        <v>43912</v>
      </c>
      <c r="I1148" t="s">
        <v>1448</v>
      </c>
      <c r="J1148" t="s">
        <v>21</v>
      </c>
      <c r="K1148" t="s">
        <v>172</v>
      </c>
      <c r="L1148" s="1">
        <v>43891</v>
      </c>
      <c r="M1148">
        <v>2020</v>
      </c>
    </row>
    <row r="1149" spans="1:13" x14ac:dyDescent="0.25">
      <c r="A1149" t="s">
        <v>1449</v>
      </c>
      <c r="B1149">
        <v>1961</v>
      </c>
      <c r="C1149">
        <v>59</v>
      </c>
      <c r="D1149">
        <v>12</v>
      </c>
      <c r="E1149" t="s">
        <v>30</v>
      </c>
      <c r="F1149" t="s">
        <v>78</v>
      </c>
      <c r="G1149" t="s">
        <v>15</v>
      </c>
      <c r="H1149" s="5">
        <v>44052</v>
      </c>
      <c r="I1149" t="s">
        <v>1450</v>
      </c>
      <c r="J1149" t="s">
        <v>17</v>
      </c>
      <c r="K1149" t="s">
        <v>34</v>
      </c>
      <c r="L1149" s="1">
        <v>44044</v>
      </c>
      <c r="M1149">
        <v>2020</v>
      </c>
    </row>
    <row r="1150" spans="1:13" x14ac:dyDescent="0.25">
      <c r="A1150" t="s">
        <v>1460</v>
      </c>
      <c r="B1150">
        <v>2082</v>
      </c>
      <c r="C1150">
        <v>642</v>
      </c>
      <c r="D1150">
        <v>8</v>
      </c>
      <c r="E1150" t="s">
        <v>13</v>
      </c>
      <c r="F1150" t="s">
        <v>82</v>
      </c>
      <c r="G1150" t="s">
        <v>40</v>
      </c>
      <c r="H1150" s="5">
        <v>43984</v>
      </c>
      <c r="I1150" t="s">
        <v>1461</v>
      </c>
      <c r="J1150" t="s">
        <v>25</v>
      </c>
      <c r="K1150" t="s">
        <v>68</v>
      </c>
      <c r="L1150" s="1">
        <v>43983</v>
      </c>
      <c r="M1150">
        <v>2020</v>
      </c>
    </row>
    <row r="1151" spans="1:13" x14ac:dyDescent="0.25">
      <c r="A1151" t="s">
        <v>1460</v>
      </c>
      <c r="B1151">
        <v>2082</v>
      </c>
      <c r="C1151">
        <v>642</v>
      </c>
      <c r="D1151">
        <v>8</v>
      </c>
      <c r="E1151" t="s">
        <v>13</v>
      </c>
      <c r="F1151" t="s">
        <v>82</v>
      </c>
      <c r="G1151" t="s">
        <v>40</v>
      </c>
      <c r="H1151" s="5">
        <v>44050</v>
      </c>
      <c r="I1151" t="s">
        <v>1463</v>
      </c>
      <c r="J1151" t="s">
        <v>25</v>
      </c>
      <c r="K1151" t="s">
        <v>26</v>
      </c>
      <c r="L1151" s="1">
        <v>44044</v>
      </c>
      <c r="M1151">
        <v>2020</v>
      </c>
    </row>
    <row r="1152" spans="1:13" x14ac:dyDescent="0.25">
      <c r="A1152" t="s">
        <v>69</v>
      </c>
      <c r="B1152">
        <v>1629</v>
      </c>
      <c r="C1152">
        <v>265</v>
      </c>
      <c r="D1152">
        <v>1</v>
      </c>
      <c r="E1152" t="s">
        <v>30</v>
      </c>
      <c r="F1152" t="s">
        <v>64</v>
      </c>
      <c r="G1152" t="s">
        <v>15</v>
      </c>
      <c r="H1152" s="5">
        <v>45699</v>
      </c>
      <c r="I1152" t="s">
        <v>70</v>
      </c>
      <c r="J1152" t="s">
        <v>71</v>
      </c>
      <c r="K1152" t="s">
        <v>72</v>
      </c>
      <c r="L1152" s="1">
        <v>45689</v>
      </c>
      <c r="M1152">
        <v>2025</v>
      </c>
    </row>
    <row r="1153" spans="1:13" x14ac:dyDescent="0.25">
      <c r="A1153" t="s">
        <v>155</v>
      </c>
      <c r="B1153">
        <v>2750</v>
      </c>
      <c r="C1153">
        <v>1239</v>
      </c>
      <c r="D1153">
        <v>11</v>
      </c>
      <c r="E1153" t="s">
        <v>13</v>
      </c>
      <c r="F1153" t="s">
        <v>82</v>
      </c>
      <c r="G1153" t="s">
        <v>32</v>
      </c>
      <c r="H1153" s="5">
        <v>45726</v>
      </c>
      <c r="I1153" t="s">
        <v>156</v>
      </c>
      <c r="J1153" t="s">
        <v>25</v>
      </c>
      <c r="K1153" t="s">
        <v>26</v>
      </c>
      <c r="L1153" s="1">
        <v>45717</v>
      </c>
      <c r="M1153">
        <v>2025</v>
      </c>
    </row>
    <row r="1154" spans="1:13" x14ac:dyDescent="0.25">
      <c r="A1154" t="s">
        <v>155</v>
      </c>
      <c r="B1154">
        <v>8639</v>
      </c>
      <c r="C1154">
        <v>3104</v>
      </c>
      <c r="D1154">
        <v>19</v>
      </c>
      <c r="E1154" t="s">
        <v>30</v>
      </c>
      <c r="F1154" t="s">
        <v>31</v>
      </c>
      <c r="G1154" t="s">
        <v>40</v>
      </c>
      <c r="H1154" s="5">
        <v>45726</v>
      </c>
      <c r="I1154" t="s">
        <v>156</v>
      </c>
      <c r="J1154" t="s">
        <v>25</v>
      </c>
      <c r="K1154" t="s">
        <v>26</v>
      </c>
      <c r="L1154" s="1">
        <v>45717</v>
      </c>
      <c r="M1154">
        <v>2025</v>
      </c>
    </row>
    <row r="1155" spans="1:13" x14ac:dyDescent="0.25">
      <c r="A1155" t="s">
        <v>305</v>
      </c>
      <c r="B1155">
        <v>7759</v>
      </c>
      <c r="C1155">
        <v>3741</v>
      </c>
      <c r="D1155">
        <v>17</v>
      </c>
      <c r="E1155" t="s">
        <v>13</v>
      </c>
      <c r="F1155" t="s">
        <v>28</v>
      </c>
      <c r="G1155" t="s">
        <v>15</v>
      </c>
      <c r="H1155" s="5">
        <v>45663</v>
      </c>
      <c r="I1155" t="s">
        <v>307</v>
      </c>
      <c r="J1155" t="s">
        <v>71</v>
      </c>
      <c r="K1155" t="s">
        <v>72</v>
      </c>
      <c r="L1155" s="1">
        <v>45658</v>
      </c>
      <c r="M1155">
        <v>2025</v>
      </c>
    </row>
    <row r="1156" spans="1:13" x14ac:dyDescent="0.25">
      <c r="A1156" t="s">
        <v>305</v>
      </c>
      <c r="B1156">
        <v>7521</v>
      </c>
      <c r="C1156">
        <v>3457</v>
      </c>
      <c r="D1156">
        <v>16</v>
      </c>
      <c r="E1156" t="s">
        <v>30</v>
      </c>
      <c r="F1156" t="s">
        <v>57</v>
      </c>
      <c r="G1156" t="s">
        <v>32</v>
      </c>
      <c r="H1156" s="5">
        <v>45663</v>
      </c>
      <c r="I1156" t="s">
        <v>307</v>
      </c>
      <c r="J1156" t="s">
        <v>71</v>
      </c>
      <c r="K1156" t="s">
        <v>72</v>
      </c>
      <c r="L1156" s="1">
        <v>45658</v>
      </c>
      <c r="M1156">
        <v>2025</v>
      </c>
    </row>
    <row r="1157" spans="1:13" x14ac:dyDescent="0.25">
      <c r="A1157" t="s">
        <v>336</v>
      </c>
      <c r="B1157">
        <v>6962</v>
      </c>
      <c r="C1157">
        <v>3429</v>
      </c>
      <c r="D1157">
        <v>12</v>
      </c>
      <c r="E1157" t="s">
        <v>13</v>
      </c>
      <c r="F1157" t="s">
        <v>14</v>
      </c>
      <c r="G1157" t="s">
        <v>15</v>
      </c>
      <c r="H1157" s="5">
        <v>45707</v>
      </c>
      <c r="I1157" t="s">
        <v>339</v>
      </c>
      <c r="J1157" t="s">
        <v>17</v>
      </c>
      <c r="K1157" t="s">
        <v>18</v>
      </c>
      <c r="L1157" s="1">
        <v>45689</v>
      </c>
      <c r="M1157">
        <v>2025</v>
      </c>
    </row>
    <row r="1158" spans="1:13" x14ac:dyDescent="0.25">
      <c r="A1158" t="s">
        <v>406</v>
      </c>
      <c r="B1158">
        <v>3137</v>
      </c>
      <c r="C1158">
        <v>571</v>
      </c>
      <c r="D1158">
        <v>9</v>
      </c>
      <c r="E1158" t="s">
        <v>30</v>
      </c>
      <c r="F1158" t="s">
        <v>31</v>
      </c>
      <c r="G1158" t="s">
        <v>32</v>
      </c>
      <c r="H1158" s="5">
        <v>45690</v>
      </c>
      <c r="I1158" t="s">
        <v>407</v>
      </c>
      <c r="J1158" t="s">
        <v>21</v>
      </c>
      <c r="K1158" t="s">
        <v>22</v>
      </c>
      <c r="L1158" s="1">
        <v>45689</v>
      </c>
      <c r="M1158">
        <v>2025</v>
      </c>
    </row>
    <row r="1159" spans="1:13" x14ac:dyDescent="0.25">
      <c r="A1159" t="s">
        <v>514</v>
      </c>
      <c r="B1159">
        <v>9845</v>
      </c>
      <c r="C1159">
        <v>3062</v>
      </c>
      <c r="D1159">
        <v>9</v>
      </c>
      <c r="E1159" t="s">
        <v>30</v>
      </c>
      <c r="F1159" t="s">
        <v>64</v>
      </c>
      <c r="G1159" t="s">
        <v>65</v>
      </c>
      <c r="H1159" s="5">
        <v>45730</v>
      </c>
      <c r="I1159" t="s">
        <v>515</v>
      </c>
      <c r="J1159" t="s">
        <v>17</v>
      </c>
      <c r="K1159" t="s">
        <v>34</v>
      </c>
      <c r="L1159" s="1">
        <v>45717</v>
      </c>
      <c r="M1159">
        <v>2025</v>
      </c>
    </row>
    <row r="1160" spans="1:13" x14ac:dyDescent="0.25">
      <c r="A1160" t="s">
        <v>528</v>
      </c>
      <c r="B1160">
        <v>9707</v>
      </c>
      <c r="C1160">
        <v>3483</v>
      </c>
      <c r="D1160">
        <v>10</v>
      </c>
      <c r="E1160" t="s">
        <v>13</v>
      </c>
      <c r="F1160" t="s">
        <v>14</v>
      </c>
      <c r="G1160" t="s">
        <v>40</v>
      </c>
      <c r="H1160" s="5">
        <v>45686</v>
      </c>
      <c r="I1160" t="s">
        <v>529</v>
      </c>
      <c r="J1160" t="s">
        <v>21</v>
      </c>
      <c r="K1160" t="s">
        <v>172</v>
      </c>
      <c r="L1160" s="1">
        <v>45658</v>
      </c>
      <c r="M1160">
        <v>2025</v>
      </c>
    </row>
    <row r="1161" spans="1:13" x14ac:dyDescent="0.25">
      <c r="A1161" t="s">
        <v>528</v>
      </c>
      <c r="B1161">
        <v>8521</v>
      </c>
      <c r="C1161">
        <v>2584</v>
      </c>
      <c r="D1161">
        <v>7</v>
      </c>
      <c r="E1161" t="s">
        <v>30</v>
      </c>
      <c r="F1161" t="s">
        <v>64</v>
      </c>
      <c r="G1161" t="s">
        <v>65</v>
      </c>
      <c r="H1161" s="5">
        <v>45686</v>
      </c>
      <c r="I1161" t="s">
        <v>529</v>
      </c>
      <c r="J1161" t="s">
        <v>21</v>
      </c>
      <c r="K1161" t="s">
        <v>172</v>
      </c>
      <c r="L1161" s="1">
        <v>45658</v>
      </c>
      <c r="M1161">
        <v>2025</v>
      </c>
    </row>
    <row r="1162" spans="1:13" x14ac:dyDescent="0.25">
      <c r="A1162" t="s">
        <v>583</v>
      </c>
      <c r="B1162">
        <v>2140</v>
      </c>
      <c r="C1162">
        <v>970</v>
      </c>
      <c r="D1162">
        <v>4</v>
      </c>
      <c r="E1162" t="s">
        <v>30</v>
      </c>
      <c r="F1162" t="s">
        <v>64</v>
      </c>
      <c r="G1162" t="s">
        <v>47</v>
      </c>
      <c r="H1162" s="5">
        <v>45708</v>
      </c>
      <c r="I1162" t="s">
        <v>585</v>
      </c>
      <c r="J1162" t="s">
        <v>17</v>
      </c>
      <c r="K1162" t="s">
        <v>34</v>
      </c>
      <c r="L1162" s="1">
        <v>45689</v>
      </c>
      <c r="M1162">
        <v>2025</v>
      </c>
    </row>
    <row r="1163" spans="1:13" x14ac:dyDescent="0.25">
      <c r="A1163" t="s">
        <v>583</v>
      </c>
      <c r="B1163">
        <v>2670</v>
      </c>
      <c r="C1163">
        <v>1026</v>
      </c>
      <c r="D1163">
        <v>1</v>
      </c>
      <c r="E1163" t="s">
        <v>13</v>
      </c>
      <c r="F1163" t="s">
        <v>39</v>
      </c>
      <c r="G1163" t="s">
        <v>32</v>
      </c>
      <c r="H1163" s="5">
        <v>45708</v>
      </c>
      <c r="I1163" t="s">
        <v>585</v>
      </c>
      <c r="J1163" t="s">
        <v>17</v>
      </c>
      <c r="K1163" t="s">
        <v>34</v>
      </c>
      <c r="L1163" s="1">
        <v>45689</v>
      </c>
      <c r="M1163">
        <v>2025</v>
      </c>
    </row>
    <row r="1164" spans="1:13" x14ac:dyDescent="0.25">
      <c r="A1164" t="s">
        <v>587</v>
      </c>
      <c r="B1164">
        <v>1108</v>
      </c>
      <c r="C1164">
        <v>167</v>
      </c>
      <c r="D1164">
        <v>18</v>
      </c>
      <c r="E1164" t="s">
        <v>13</v>
      </c>
      <c r="F1164" t="s">
        <v>39</v>
      </c>
      <c r="G1164" t="s">
        <v>32</v>
      </c>
      <c r="H1164" s="5">
        <v>45723</v>
      </c>
      <c r="I1164" t="s">
        <v>588</v>
      </c>
      <c r="J1164" t="s">
        <v>21</v>
      </c>
      <c r="K1164" t="s">
        <v>63</v>
      </c>
      <c r="L1164" s="1">
        <v>45717</v>
      </c>
      <c r="M1164">
        <v>2025</v>
      </c>
    </row>
    <row r="1165" spans="1:13" x14ac:dyDescent="0.25">
      <c r="A1165" t="s">
        <v>587</v>
      </c>
      <c r="B1165">
        <v>9776</v>
      </c>
      <c r="C1165">
        <v>3750</v>
      </c>
      <c r="D1165">
        <v>9</v>
      </c>
      <c r="E1165" t="s">
        <v>30</v>
      </c>
      <c r="F1165" t="s">
        <v>78</v>
      </c>
      <c r="G1165" t="s">
        <v>15</v>
      </c>
      <c r="H1165" s="5">
        <v>45723</v>
      </c>
      <c r="I1165" t="s">
        <v>588</v>
      </c>
      <c r="J1165" t="s">
        <v>21</v>
      </c>
      <c r="K1165" t="s">
        <v>63</v>
      </c>
      <c r="L1165" s="1">
        <v>45717</v>
      </c>
      <c r="M1165">
        <v>2025</v>
      </c>
    </row>
    <row r="1166" spans="1:13" x14ac:dyDescent="0.25">
      <c r="A1166" t="s">
        <v>587</v>
      </c>
      <c r="B1166">
        <v>535</v>
      </c>
      <c r="C1166">
        <v>72</v>
      </c>
      <c r="D1166">
        <v>6</v>
      </c>
      <c r="E1166" t="s">
        <v>45</v>
      </c>
      <c r="F1166" t="s">
        <v>109</v>
      </c>
      <c r="G1166" t="s">
        <v>65</v>
      </c>
      <c r="H1166" s="5">
        <v>45723</v>
      </c>
      <c r="I1166" t="s">
        <v>588</v>
      </c>
      <c r="J1166" t="s">
        <v>21</v>
      </c>
      <c r="K1166" t="s">
        <v>63</v>
      </c>
      <c r="L1166" s="1">
        <v>45717</v>
      </c>
      <c r="M1166">
        <v>2025</v>
      </c>
    </row>
    <row r="1167" spans="1:13" x14ac:dyDescent="0.25">
      <c r="A1167" t="s">
        <v>649</v>
      </c>
      <c r="B1167">
        <v>4470</v>
      </c>
      <c r="C1167">
        <v>413</v>
      </c>
      <c r="D1167">
        <v>13</v>
      </c>
      <c r="E1167" t="s">
        <v>13</v>
      </c>
      <c r="F1167" t="s">
        <v>39</v>
      </c>
      <c r="G1167" t="s">
        <v>15</v>
      </c>
      <c r="H1167" s="5">
        <v>45690</v>
      </c>
      <c r="I1167" t="s">
        <v>650</v>
      </c>
      <c r="J1167" t="s">
        <v>42</v>
      </c>
      <c r="K1167" t="s">
        <v>43</v>
      </c>
      <c r="L1167" s="1">
        <v>45689</v>
      </c>
      <c r="M1167">
        <v>2025</v>
      </c>
    </row>
    <row r="1168" spans="1:13" x14ac:dyDescent="0.25">
      <c r="A1168" t="s">
        <v>669</v>
      </c>
      <c r="B1168">
        <v>7900</v>
      </c>
      <c r="C1168">
        <v>482</v>
      </c>
      <c r="D1168">
        <v>4</v>
      </c>
      <c r="E1168" t="s">
        <v>13</v>
      </c>
      <c r="F1168" t="s">
        <v>82</v>
      </c>
      <c r="G1168" t="s">
        <v>65</v>
      </c>
      <c r="H1168" s="5">
        <v>45724</v>
      </c>
      <c r="I1168" t="s">
        <v>670</v>
      </c>
      <c r="J1168" t="s">
        <v>98</v>
      </c>
      <c r="K1168" t="s">
        <v>99</v>
      </c>
      <c r="L1168" s="1">
        <v>45717</v>
      </c>
      <c r="M1168">
        <v>2025</v>
      </c>
    </row>
    <row r="1169" spans="1:13" x14ac:dyDescent="0.25">
      <c r="A1169" t="s">
        <v>708</v>
      </c>
      <c r="B1169">
        <v>3665</v>
      </c>
      <c r="C1169">
        <v>802</v>
      </c>
      <c r="D1169">
        <v>4</v>
      </c>
      <c r="E1169" t="s">
        <v>30</v>
      </c>
      <c r="F1169" t="s">
        <v>57</v>
      </c>
      <c r="G1169" t="s">
        <v>47</v>
      </c>
      <c r="H1169" s="5">
        <v>45697</v>
      </c>
      <c r="I1169" t="s">
        <v>710</v>
      </c>
      <c r="J1169" t="s">
        <v>17</v>
      </c>
      <c r="K1169" t="s">
        <v>150</v>
      </c>
      <c r="L1169" s="1">
        <v>45689</v>
      </c>
      <c r="M1169">
        <v>2025</v>
      </c>
    </row>
    <row r="1170" spans="1:13" x14ac:dyDescent="0.25">
      <c r="A1170" t="s">
        <v>716</v>
      </c>
      <c r="B1170">
        <v>5666</v>
      </c>
      <c r="C1170">
        <v>2733</v>
      </c>
      <c r="D1170">
        <v>17</v>
      </c>
      <c r="E1170" t="s">
        <v>13</v>
      </c>
      <c r="F1170" t="s">
        <v>14</v>
      </c>
      <c r="G1170" t="s">
        <v>47</v>
      </c>
      <c r="H1170" s="5">
        <v>45684</v>
      </c>
      <c r="I1170" t="s">
        <v>717</v>
      </c>
      <c r="J1170" t="s">
        <v>17</v>
      </c>
      <c r="K1170" t="s">
        <v>150</v>
      </c>
      <c r="L1170" s="1">
        <v>45658</v>
      </c>
      <c r="M1170">
        <v>2025</v>
      </c>
    </row>
    <row r="1171" spans="1:13" x14ac:dyDescent="0.25">
      <c r="A1171" t="s">
        <v>754</v>
      </c>
      <c r="B1171">
        <v>5632</v>
      </c>
      <c r="C1171">
        <v>2358</v>
      </c>
      <c r="D1171">
        <v>20</v>
      </c>
      <c r="E1171" t="s">
        <v>45</v>
      </c>
      <c r="F1171" t="s">
        <v>60</v>
      </c>
      <c r="G1171" t="s">
        <v>47</v>
      </c>
      <c r="H1171" s="5">
        <v>45692</v>
      </c>
      <c r="I1171" t="s">
        <v>757</v>
      </c>
      <c r="J1171" t="s">
        <v>98</v>
      </c>
      <c r="K1171" t="s">
        <v>117</v>
      </c>
      <c r="L1171" s="1">
        <v>45689</v>
      </c>
      <c r="M1171">
        <v>2025</v>
      </c>
    </row>
    <row r="1172" spans="1:13" x14ac:dyDescent="0.25">
      <c r="A1172" t="s">
        <v>799</v>
      </c>
      <c r="B1172">
        <v>5412</v>
      </c>
      <c r="C1172">
        <v>1192</v>
      </c>
      <c r="D1172">
        <v>18</v>
      </c>
      <c r="E1172" t="s">
        <v>45</v>
      </c>
      <c r="F1172" t="s">
        <v>46</v>
      </c>
      <c r="G1172" t="s">
        <v>47</v>
      </c>
      <c r="H1172" s="5">
        <v>45660</v>
      </c>
      <c r="I1172" t="s">
        <v>801</v>
      </c>
      <c r="J1172" t="s">
        <v>42</v>
      </c>
      <c r="K1172" t="s">
        <v>43</v>
      </c>
      <c r="L1172" s="1">
        <v>45658</v>
      </c>
      <c r="M1172">
        <v>2025</v>
      </c>
    </row>
    <row r="1173" spans="1:13" x14ac:dyDescent="0.25">
      <c r="A1173" t="s">
        <v>835</v>
      </c>
      <c r="B1173">
        <v>1579</v>
      </c>
      <c r="C1173">
        <v>602</v>
      </c>
      <c r="D1173">
        <v>9</v>
      </c>
      <c r="E1173" t="s">
        <v>13</v>
      </c>
      <c r="F1173" t="s">
        <v>39</v>
      </c>
      <c r="G1173" t="s">
        <v>47</v>
      </c>
      <c r="H1173" s="5">
        <v>45704</v>
      </c>
      <c r="I1173" t="s">
        <v>837</v>
      </c>
      <c r="J1173" t="s">
        <v>71</v>
      </c>
      <c r="K1173" t="s">
        <v>72</v>
      </c>
      <c r="L1173" s="1">
        <v>45689</v>
      </c>
      <c r="M1173">
        <v>2025</v>
      </c>
    </row>
    <row r="1174" spans="1:13" x14ac:dyDescent="0.25">
      <c r="A1174" t="s">
        <v>835</v>
      </c>
      <c r="B1174">
        <v>3760</v>
      </c>
      <c r="C1174">
        <v>1849</v>
      </c>
      <c r="D1174">
        <v>19</v>
      </c>
      <c r="E1174" t="s">
        <v>45</v>
      </c>
      <c r="F1174" t="s">
        <v>49</v>
      </c>
      <c r="G1174" t="s">
        <v>40</v>
      </c>
      <c r="H1174" s="5">
        <v>45704</v>
      </c>
      <c r="I1174" t="s">
        <v>837</v>
      </c>
      <c r="J1174" t="s">
        <v>71</v>
      </c>
      <c r="K1174" t="s">
        <v>72</v>
      </c>
      <c r="L1174" s="1">
        <v>45689</v>
      </c>
      <c r="M1174">
        <v>2025</v>
      </c>
    </row>
    <row r="1175" spans="1:13" x14ac:dyDescent="0.25">
      <c r="A1175" t="s">
        <v>867</v>
      </c>
      <c r="B1175">
        <v>6129</v>
      </c>
      <c r="C1175">
        <v>2976</v>
      </c>
      <c r="D1175">
        <v>2</v>
      </c>
      <c r="E1175" t="s">
        <v>13</v>
      </c>
      <c r="F1175" t="s">
        <v>39</v>
      </c>
      <c r="G1175" t="s">
        <v>40</v>
      </c>
      <c r="H1175" s="5">
        <v>45712</v>
      </c>
      <c r="I1175" t="s">
        <v>868</v>
      </c>
      <c r="J1175" t="s">
        <v>25</v>
      </c>
      <c r="K1175" t="s">
        <v>51</v>
      </c>
      <c r="L1175" s="1">
        <v>45689</v>
      </c>
      <c r="M1175">
        <v>2025</v>
      </c>
    </row>
    <row r="1176" spans="1:13" x14ac:dyDescent="0.25">
      <c r="A1176" t="s">
        <v>867</v>
      </c>
      <c r="B1176">
        <v>4395</v>
      </c>
      <c r="C1176">
        <v>1663</v>
      </c>
      <c r="D1176">
        <v>3</v>
      </c>
      <c r="E1176" t="s">
        <v>45</v>
      </c>
      <c r="F1176" t="s">
        <v>109</v>
      </c>
      <c r="G1176" t="s">
        <v>65</v>
      </c>
      <c r="H1176" s="5">
        <v>45712</v>
      </c>
      <c r="I1176" t="s">
        <v>868</v>
      </c>
      <c r="J1176" t="s">
        <v>25</v>
      </c>
      <c r="K1176" t="s">
        <v>51</v>
      </c>
      <c r="L1176" s="1">
        <v>45689</v>
      </c>
      <c r="M1176">
        <v>2025</v>
      </c>
    </row>
    <row r="1177" spans="1:13" x14ac:dyDescent="0.25">
      <c r="A1177" t="s">
        <v>894</v>
      </c>
      <c r="B1177">
        <v>5344</v>
      </c>
      <c r="C1177">
        <v>2607</v>
      </c>
      <c r="D1177">
        <v>6</v>
      </c>
      <c r="E1177" t="s">
        <v>30</v>
      </c>
      <c r="F1177" t="s">
        <v>64</v>
      </c>
      <c r="G1177" t="s">
        <v>32</v>
      </c>
      <c r="H1177" s="5">
        <v>45706</v>
      </c>
      <c r="I1177" t="s">
        <v>896</v>
      </c>
      <c r="J1177" t="s">
        <v>25</v>
      </c>
      <c r="K1177" t="s">
        <v>68</v>
      </c>
      <c r="L1177" s="1">
        <v>45689</v>
      </c>
      <c r="M1177">
        <v>2025</v>
      </c>
    </row>
    <row r="1178" spans="1:13" x14ac:dyDescent="0.25">
      <c r="A1178" t="s">
        <v>900</v>
      </c>
      <c r="B1178">
        <v>5376</v>
      </c>
      <c r="C1178">
        <v>1928</v>
      </c>
      <c r="D1178">
        <v>7</v>
      </c>
      <c r="E1178" t="s">
        <v>45</v>
      </c>
      <c r="F1178" t="s">
        <v>46</v>
      </c>
      <c r="G1178" t="s">
        <v>47</v>
      </c>
      <c r="H1178" s="5">
        <v>45672</v>
      </c>
      <c r="I1178" t="s">
        <v>901</v>
      </c>
      <c r="J1178" t="s">
        <v>25</v>
      </c>
      <c r="K1178" t="s">
        <v>51</v>
      </c>
      <c r="L1178" s="1">
        <v>45658</v>
      </c>
      <c r="M1178">
        <v>2025</v>
      </c>
    </row>
    <row r="1179" spans="1:13" x14ac:dyDescent="0.25">
      <c r="A1179" t="s">
        <v>923</v>
      </c>
      <c r="B1179">
        <v>5402</v>
      </c>
      <c r="C1179">
        <v>1666</v>
      </c>
      <c r="D1179">
        <v>12</v>
      </c>
      <c r="E1179" t="s">
        <v>45</v>
      </c>
      <c r="F1179" t="s">
        <v>109</v>
      </c>
      <c r="G1179" t="s">
        <v>40</v>
      </c>
      <c r="H1179" s="5">
        <v>45714</v>
      </c>
      <c r="I1179" t="s">
        <v>924</v>
      </c>
      <c r="J1179" t="s">
        <v>98</v>
      </c>
      <c r="K1179" t="s">
        <v>117</v>
      </c>
      <c r="L1179" s="1">
        <v>45689</v>
      </c>
      <c r="M1179">
        <v>2025</v>
      </c>
    </row>
    <row r="1180" spans="1:13" x14ac:dyDescent="0.25">
      <c r="A1180" t="s">
        <v>1042</v>
      </c>
      <c r="B1180">
        <v>6195</v>
      </c>
      <c r="C1180">
        <v>1556</v>
      </c>
      <c r="D1180">
        <v>18</v>
      </c>
      <c r="E1180" t="s">
        <v>45</v>
      </c>
      <c r="F1180" t="s">
        <v>60</v>
      </c>
      <c r="G1180" t="s">
        <v>40</v>
      </c>
      <c r="H1180" s="5">
        <v>45689</v>
      </c>
      <c r="I1180" t="s">
        <v>1043</v>
      </c>
      <c r="J1180" t="s">
        <v>21</v>
      </c>
      <c r="K1180" t="s">
        <v>63</v>
      </c>
      <c r="L1180" s="1">
        <v>45689</v>
      </c>
      <c r="M1180">
        <v>2025</v>
      </c>
    </row>
    <row r="1181" spans="1:13" x14ac:dyDescent="0.25">
      <c r="A1181" t="s">
        <v>1047</v>
      </c>
      <c r="B1181">
        <v>9369</v>
      </c>
      <c r="C1181">
        <v>3297</v>
      </c>
      <c r="D1181">
        <v>6</v>
      </c>
      <c r="E1181" t="s">
        <v>13</v>
      </c>
      <c r="F1181" t="s">
        <v>28</v>
      </c>
      <c r="G1181" t="s">
        <v>32</v>
      </c>
      <c r="H1181" s="5">
        <v>45687</v>
      </c>
      <c r="I1181" t="s">
        <v>1049</v>
      </c>
      <c r="J1181" t="s">
        <v>25</v>
      </c>
      <c r="K1181" t="s">
        <v>51</v>
      </c>
      <c r="L1181" s="1">
        <v>45658</v>
      </c>
      <c r="M1181">
        <v>2025</v>
      </c>
    </row>
    <row r="1182" spans="1:13" x14ac:dyDescent="0.25">
      <c r="A1182" t="s">
        <v>1047</v>
      </c>
      <c r="B1182">
        <v>8680</v>
      </c>
      <c r="C1182">
        <v>4068</v>
      </c>
      <c r="D1182">
        <v>20</v>
      </c>
      <c r="E1182" t="s">
        <v>13</v>
      </c>
      <c r="F1182" t="s">
        <v>28</v>
      </c>
      <c r="G1182" t="s">
        <v>47</v>
      </c>
      <c r="H1182" s="5">
        <v>45687</v>
      </c>
      <c r="I1182" t="s">
        <v>1049</v>
      </c>
      <c r="J1182" t="s">
        <v>25</v>
      </c>
      <c r="K1182" t="s">
        <v>51</v>
      </c>
      <c r="L1182" s="1">
        <v>45658</v>
      </c>
      <c r="M1182">
        <v>2025</v>
      </c>
    </row>
    <row r="1183" spans="1:13" x14ac:dyDescent="0.25">
      <c r="A1183" t="s">
        <v>1047</v>
      </c>
      <c r="B1183">
        <v>3067</v>
      </c>
      <c r="C1183">
        <v>1475</v>
      </c>
      <c r="D1183">
        <v>8</v>
      </c>
      <c r="E1183" t="s">
        <v>13</v>
      </c>
      <c r="F1183" t="s">
        <v>39</v>
      </c>
      <c r="G1183" t="s">
        <v>15</v>
      </c>
      <c r="H1183" s="5">
        <v>45687</v>
      </c>
      <c r="I1183" t="s">
        <v>1049</v>
      </c>
      <c r="J1183" t="s">
        <v>25</v>
      </c>
      <c r="K1183" t="s">
        <v>51</v>
      </c>
      <c r="L1183" s="1">
        <v>45658</v>
      </c>
      <c r="M1183">
        <v>2025</v>
      </c>
    </row>
    <row r="1184" spans="1:13" x14ac:dyDescent="0.25">
      <c r="A1184" t="s">
        <v>1050</v>
      </c>
      <c r="B1184">
        <v>9002</v>
      </c>
      <c r="C1184">
        <v>4197</v>
      </c>
      <c r="D1184">
        <v>2</v>
      </c>
      <c r="E1184" t="s">
        <v>30</v>
      </c>
      <c r="F1184" t="s">
        <v>57</v>
      </c>
      <c r="G1184" t="s">
        <v>40</v>
      </c>
      <c r="H1184" s="5">
        <v>45672</v>
      </c>
      <c r="I1184" t="s">
        <v>1051</v>
      </c>
      <c r="J1184" t="s">
        <v>98</v>
      </c>
      <c r="K1184" t="s">
        <v>107</v>
      </c>
      <c r="L1184" s="1">
        <v>45658</v>
      </c>
      <c r="M1184">
        <v>2025</v>
      </c>
    </row>
    <row r="1185" spans="1:13" x14ac:dyDescent="0.25">
      <c r="A1185" t="s">
        <v>1071</v>
      </c>
      <c r="B1185">
        <v>1010</v>
      </c>
      <c r="C1185">
        <v>58</v>
      </c>
      <c r="D1185">
        <v>19</v>
      </c>
      <c r="E1185" t="s">
        <v>13</v>
      </c>
      <c r="F1185" t="s">
        <v>14</v>
      </c>
      <c r="G1185" t="s">
        <v>65</v>
      </c>
      <c r="H1185" s="5">
        <v>45731</v>
      </c>
      <c r="I1185" t="s">
        <v>1072</v>
      </c>
      <c r="J1185" t="s">
        <v>17</v>
      </c>
      <c r="K1185" t="s">
        <v>150</v>
      </c>
      <c r="L1185" s="1">
        <v>45717</v>
      </c>
      <c r="M1185">
        <v>2025</v>
      </c>
    </row>
    <row r="1186" spans="1:13" x14ac:dyDescent="0.25">
      <c r="A1186" t="s">
        <v>1079</v>
      </c>
      <c r="B1186">
        <v>3411</v>
      </c>
      <c r="C1186">
        <v>1704</v>
      </c>
      <c r="D1186">
        <v>14</v>
      </c>
      <c r="E1186" t="s">
        <v>30</v>
      </c>
      <c r="F1186" t="s">
        <v>31</v>
      </c>
      <c r="G1186" t="s">
        <v>15</v>
      </c>
      <c r="H1186" s="5">
        <v>45668</v>
      </c>
      <c r="I1186" t="s">
        <v>1080</v>
      </c>
      <c r="J1186" t="s">
        <v>42</v>
      </c>
      <c r="K1186" t="s">
        <v>43</v>
      </c>
      <c r="L1186" s="1">
        <v>45658</v>
      </c>
      <c r="M1186">
        <v>2025</v>
      </c>
    </row>
    <row r="1187" spans="1:13" x14ac:dyDescent="0.25">
      <c r="A1187" t="s">
        <v>1199</v>
      </c>
      <c r="B1187">
        <v>7895</v>
      </c>
      <c r="C1187">
        <v>1005</v>
      </c>
      <c r="D1187">
        <v>1</v>
      </c>
      <c r="E1187" t="s">
        <v>45</v>
      </c>
      <c r="F1187" t="s">
        <v>49</v>
      </c>
      <c r="G1187" t="s">
        <v>47</v>
      </c>
      <c r="H1187" s="5">
        <v>45717</v>
      </c>
      <c r="I1187" t="s">
        <v>1201</v>
      </c>
      <c r="J1187" t="s">
        <v>42</v>
      </c>
      <c r="K1187" t="s">
        <v>75</v>
      </c>
      <c r="L1187" s="1">
        <v>45717</v>
      </c>
      <c r="M1187">
        <v>2025</v>
      </c>
    </row>
    <row r="1188" spans="1:13" x14ac:dyDescent="0.25">
      <c r="A1188" t="s">
        <v>1199</v>
      </c>
      <c r="B1188">
        <v>2740</v>
      </c>
      <c r="C1188">
        <v>558</v>
      </c>
      <c r="D1188">
        <v>8</v>
      </c>
      <c r="E1188" t="s">
        <v>30</v>
      </c>
      <c r="F1188" t="s">
        <v>31</v>
      </c>
      <c r="G1188" t="s">
        <v>15</v>
      </c>
      <c r="H1188" s="5">
        <v>45717</v>
      </c>
      <c r="I1188" t="s">
        <v>1201</v>
      </c>
      <c r="J1188" t="s">
        <v>42</v>
      </c>
      <c r="K1188" t="s">
        <v>75</v>
      </c>
      <c r="L1188" s="1">
        <v>45717</v>
      </c>
      <c r="M1188">
        <v>2025</v>
      </c>
    </row>
    <row r="1189" spans="1:13" x14ac:dyDescent="0.25">
      <c r="A1189" t="s">
        <v>1254</v>
      </c>
      <c r="B1189">
        <v>4163</v>
      </c>
      <c r="C1189">
        <v>897</v>
      </c>
      <c r="D1189">
        <v>14</v>
      </c>
      <c r="E1189" t="s">
        <v>13</v>
      </c>
      <c r="F1189" t="s">
        <v>14</v>
      </c>
      <c r="G1189" t="s">
        <v>65</v>
      </c>
      <c r="H1189" s="5">
        <v>45715</v>
      </c>
      <c r="I1189" t="s">
        <v>1256</v>
      </c>
      <c r="J1189" t="s">
        <v>98</v>
      </c>
      <c r="K1189" t="s">
        <v>117</v>
      </c>
      <c r="L1189" s="1">
        <v>45689</v>
      </c>
      <c r="M1189">
        <v>2025</v>
      </c>
    </row>
    <row r="1190" spans="1:13" x14ac:dyDescent="0.25">
      <c r="A1190" t="s">
        <v>1260</v>
      </c>
      <c r="B1190">
        <v>7566</v>
      </c>
      <c r="C1190">
        <v>606</v>
      </c>
      <c r="D1190">
        <v>6</v>
      </c>
      <c r="E1190" t="s">
        <v>13</v>
      </c>
      <c r="F1190" t="s">
        <v>82</v>
      </c>
      <c r="G1190" t="s">
        <v>32</v>
      </c>
      <c r="H1190" s="5">
        <v>45682</v>
      </c>
      <c r="I1190" t="s">
        <v>1261</v>
      </c>
      <c r="J1190" t="s">
        <v>98</v>
      </c>
      <c r="K1190" t="s">
        <v>99</v>
      </c>
      <c r="L1190" s="1">
        <v>45658</v>
      </c>
      <c r="M1190">
        <v>2025</v>
      </c>
    </row>
    <row r="1191" spans="1:13" x14ac:dyDescent="0.25">
      <c r="A1191" t="s">
        <v>1260</v>
      </c>
      <c r="B1191">
        <v>7566</v>
      </c>
      <c r="C1191">
        <v>606</v>
      </c>
      <c r="D1191">
        <v>6</v>
      </c>
      <c r="E1191" t="s">
        <v>13</v>
      </c>
      <c r="F1191" t="s">
        <v>82</v>
      </c>
      <c r="G1191" t="s">
        <v>32</v>
      </c>
      <c r="H1191" s="5">
        <v>45702</v>
      </c>
      <c r="I1191" t="s">
        <v>1262</v>
      </c>
      <c r="J1191" t="s">
        <v>42</v>
      </c>
      <c r="K1191" t="s">
        <v>75</v>
      </c>
      <c r="L1191" s="1">
        <v>45689</v>
      </c>
      <c r="M1191">
        <v>2025</v>
      </c>
    </row>
    <row r="1192" spans="1:13" x14ac:dyDescent="0.25">
      <c r="A1192" t="s">
        <v>1288</v>
      </c>
      <c r="B1192">
        <v>9874</v>
      </c>
      <c r="C1192">
        <v>3895</v>
      </c>
      <c r="D1192">
        <v>4</v>
      </c>
      <c r="E1192" t="s">
        <v>30</v>
      </c>
      <c r="F1192" t="s">
        <v>78</v>
      </c>
      <c r="G1192" t="s">
        <v>40</v>
      </c>
      <c r="H1192" s="5">
        <v>45712</v>
      </c>
      <c r="I1192" t="s">
        <v>1289</v>
      </c>
      <c r="J1192" t="s">
        <v>98</v>
      </c>
      <c r="K1192" t="s">
        <v>117</v>
      </c>
      <c r="L1192" s="1">
        <v>45689</v>
      </c>
      <c r="M1192">
        <v>2025</v>
      </c>
    </row>
    <row r="1193" spans="1:13" x14ac:dyDescent="0.25">
      <c r="A1193" t="s">
        <v>1307</v>
      </c>
      <c r="B1193">
        <v>8104</v>
      </c>
      <c r="C1193">
        <v>1039</v>
      </c>
      <c r="D1193">
        <v>6</v>
      </c>
      <c r="E1193" t="s">
        <v>30</v>
      </c>
      <c r="F1193" t="s">
        <v>57</v>
      </c>
      <c r="G1193" t="s">
        <v>65</v>
      </c>
      <c r="H1193" s="5">
        <v>45684</v>
      </c>
      <c r="I1193" t="s">
        <v>1310</v>
      </c>
      <c r="J1193" t="s">
        <v>42</v>
      </c>
      <c r="K1193" t="s">
        <v>92</v>
      </c>
      <c r="L1193" s="1">
        <v>45658</v>
      </c>
      <c r="M1193">
        <v>2025</v>
      </c>
    </row>
    <row r="1194" spans="1:13" x14ac:dyDescent="0.25">
      <c r="A1194" t="s">
        <v>1401</v>
      </c>
      <c r="B1194">
        <v>4897</v>
      </c>
      <c r="C1194">
        <v>1001</v>
      </c>
      <c r="D1194">
        <v>14</v>
      </c>
      <c r="E1194" t="s">
        <v>45</v>
      </c>
      <c r="F1194" t="s">
        <v>60</v>
      </c>
      <c r="G1194" t="s">
        <v>32</v>
      </c>
      <c r="H1194" s="5">
        <v>45663</v>
      </c>
      <c r="I1194" t="s">
        <v>1403</v>
      </c>
      <c r="J1194" t="s">
        <v>98</v>
      </c>
      <c r="K1194" t="s">
        <v>107</v>
      </c>
      <c r="L1194" s="1">
        <v>45658</v>
      </c>
      <c r="M1194">
        <v>2025</v>
      </c>
    </row>
    <row r="1195" spans="1:13" x14ac:dyDescent="0.25">
      <c r="A1195" t="s">
        <v>1420</v>
      </c>
      <c r="B1195">
        <v>8848</v>
      </c>
      <c r="C1195">
        <v>2090</v>
      </c>
      <c r="D1195">
        <v>9</v>
      </c>
      <c r="E1195" t="s">
        <v>30</v>
      </c>
      <c r="F1195" t="s">
        <v>31</v>
      </c>
      <c r="G1195" t="s">
        <v>32</v>
      </c>
      <c r="H1195" s="5">
        <v>45671</v>
      </c>
      <c r="I1195" t="s">
        <v>1421</v>
      </c>
      <c r="J1195" t="s">
        <v>42</v>
      </c>
      <c r="K1195" t="s">
        <v>75</v>
      </c>
      <c r="L1195" s="1">
        <v>45658</v>
      </c>
      <c r="M1195">
        <v>2025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143F-4306-4DD6-A2F0-F1F3D42D1DC4}">
  <dimension ref="A1"/>
  <sheetViews>
    <sheetView showGridLines="0" showRowColHeaders="0" zoomScale="87" zoomScaleNormal="87" workbookViewId="0">
      <selection activeCell="T14" sqref="T14"/>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E92029-2F64-4DE3-AF4C-CC439BC48D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Analysis1</vt:lpstr>
      <vt:lpstr> Dashboards </vt:lpstr>
      <vt:lpstr>Sales Dataset</vt:lpstr>
      <vt:lpstr>Table1</vt:lpstr>
      <vt:lpstr> Dashboards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HELLOW</dc:creator>
  <cp:lastModifiedBy>Onuh Chinecherem</cp:lastModifiedBy>
  <dcterms:created xsi:type="dcterms:W3CDTF">2026-02-20T11:07:57Z</dcterms:created>
  <dcterms:modified xsi:type="dcterms:W3CDTF">2026-02-21T11:23:40Z</dcterms:modified>
</cp:coreProperties>
</file>